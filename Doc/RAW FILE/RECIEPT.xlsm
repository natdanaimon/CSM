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COM1\Desktop\"/>
    </mc:Choice>
  </mc:AlternateContent>
  <bookViews>
    <workbookView xWindow="240" yWindow="30" windowWidth="13335" windowHeight="3855" xr2:uid="{00000000-000D-0000-FFFF-FFFF00000000}"/>
  </bookViews>
  <sheets>
    <sheet name="RECEIPT" sheetId="1" r:id="rId1"/>
    <sheet name="PROFILE" sheetId="2" r:id="rId2"/>
    <sheet name="RECLIST" sheetId="3" r:id="rId3"/>
  </sheets>
  <definedNames>
    <definedName name="_xlnm.Print_Area" localSheetId="0">RECEIPT!$B$2:$G$34</definedName>
  </definedNames>
  <calcPr calcId="171027"/>
</workbook>
</file>

<file path=xl/calcChain.xml><?xml version="1.0" encoding="utf-8"?>
<calcChain xmlns="http://schemas.openxmlformats.org/spreadsheetml/2006/main">
  <c r="F10" i="1" l="1"/>
  <c r="F11" i="1"/>
  <c r="F29" i="1" s="1"/>
  <c r="F12" i="1"/>
  <c r="F30" i="1" s="1"/>
  <c r="E10" i="1"/>
  <c r="E28" i="1" s="1"/>
  <c r="E11" i="1"/>
  <c r="E12" i="1"/>
  <c r="G12" i="1" s="1"/>
  <c r="O8" i="1"/>
  <c r="O7" i="1"/>
  <c r="O6" i="1"/>
  <c r="O5" i="1"/>
  <c r="O4" i="1"/>
  <c r="O3" i="1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E29" i="1" l="1"/>
  <c r="G11" i="1"/>
  <c r="F28" i="1"/>
  <c r="G10" i="1"/>
  <c r="G28" i="1"/>
  <c r="E30" i="1"/>
  <c r="G30" i="1" s="1"/>
  <c r="G29" i="1"/>
  <c r="A1" i="3"/>
  <c r="L3" i="1" l="1"/>
  <c r="G3" i="1" s="1"/>
  <c r="G21" i="1" l="1"/>
  <c r="E13" i="1"/>
  <c r="F13" i="1"/>
  <c r="F31" i="1" s="1"/>
  <c r="F9" i="1"/>
  <c r="E9" i="1"/>
  <c r="E27" i="1" s="1"/>
  <c r="C10" i="1"/>
  <c r="C28" i="1" s="1"/>
  <c r="C11" i="1"/>
  <c r="C29" i="1" s="1"/>
  <c r="C12" i="1"/>
  <c r="C30" i="1" s="1"/>
  <c r="C13" i="1"/>
  <c r="C31" i="1" s="1"/>
  <c r="C9" i="1"/>
  <c r="C27" i="1" s="1"/>
  <c r="E31" i="1" l="1"/>
  <c r="G13" i="1"/>
  <c r="F27" i="1"/>
  <c r="G9" i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D5" i="1" l="1"/>
  <c r="D23" i="1" s="1"/>
  <c r="D7" i="1"/>
  <c r="D25" i="1" s="1"/>
  <c r="F5" i="1"/>
  <c r="F23" i="1" s="1"/>
  <c r="F7" i="1"/>
  <c r="F25" i="1" s="1"/>
  <c r="I11" i="1"/>
  <c r="G31" i="1"/>
  <c r="G27" i="1"/>
  <c r="G22" i="1"/>
  <c r="G14" i="1" l="1"/>
  <c r="B9" i="1"/>
  <c r="B27" i="1" s="1"/>
  <c r="I12" i="1"/>
  <c r="D6" i="1"/>
  <c r="D24" i="1" s="1"/>
  <c r="F6" i="1"/>
  <c r="F24" i="1" s="1"/>
  <c r="B2" i="1"/>
  <c r="B20" i="1" s="1"/>
  <c r="G4" i="1"/>
  <c r="G15" i="1" l="1"/>
  <c r="G33" i="1" s="1"/>
  <c r="G32" i="1"/>
  <c r="B10" i="1"/>
  <c r="B28" i="1" s="1"/>
  <c r="I13" i="1"/>
  <c r="B11" i="1" s="1"/>
  <c r="B29" i="1" s="1"/>
  <c r="K18" i="1"/>
  <c r="K19" i="1" s="1"/>
  <c r="G16" i="1" l="1"/>
  <c r="G34" i="1" s="1"/>
  <c r="I14" i="1"/>
  <c r="B14" i="1" l="1"/>
  <c r="B32" i="1" s="1"/>
  <c r="B12" i="1"/>
  <c r="B30" i="1" s="1"/>
  <c r="I15" i="1"/>
  <c r="B13" i="1" s="1"/>
  <c r="B31" i="1" s="1"/>
</calcChain>
</file>

<file path=xl/sharedStrings.xml><?xml version="1.0" encoding="utf-8"?>
<sst xmlns="http://schemas.openxmlformats.org/spreadsheetml/2006/main" count="13970" uniqueCount="4424">
  <si>
    <t>ที่</t>
  </si>
  <si>
    <t>รายการ</t>
  </si>
  <si>
    <t>จำนวนเงิน</t>
  </si>
  <si>
    <t>จำนวน</t>
  </si>
  <si>
    <t>ราคา</t>
  </si>
  <si>
    <t>รวมเงิน</t>
  </si>
  <si>
    <t>ชื่อลูกค้า</t>
  </si>
  <si>
    <t>ที่อยู่</t>
  </si>
  <si>
    <t>เบอร์โทร</t>
  </si>
  <si>
    <t>ชื่อลูกค้า:</t>
  </si>
  <si>
    <t>ที่อยู่:</t>
  </si>
  <si>
    <t>เบอร์โทร:</t>
  </si>
  <si>
    <t>ยี่ห้อ</t>
  </si>
  <si>
    <t>รุ่น</t>
  </si>
  <si>
    <t>ยี่ห้อ/รุ่น</t>
  </si>
  <si>
    <t>ทะเบียน</t>
  </si>
  <si>
    <t>ประกันภัย</t>
  </si>
  <si>
    <t>ยี่ห้อ/รุ่น:</t>
  </si>
  <si>
    <t>ทะเบียน:</t>
  </si>
  <si>
    <t>ประกันภัย:</t>
  </si>
  <si>
    <t>เลขที่</t>
  </si>
  <si>
    <t xml:space="preserve">เลขที่  </t>
  </si>
  <si>
    <t xml:space="preserve">วันที่  </t>
  </si>
  <si>
    <t>ใบเสร็จรับเงิน</t>
  </si>
  <si>
    <t>รวมเป็นเงิน</t>
  </si>
  <si>
    <t>ส่วนลด</t>
  </si>
  <si>
    <t>รวมทั้งสิ้น</t>
  </si>
  <si>
    <t>ได้รับสินค้าหรือบริการครบถ้วนสมบูรณ์ดีแล้ว</t>
  </si>
  <si>
    <t>ตัวอย่าง ก่อนพิมพ์</t>
  </si>
  <si>
    <t>สำเนา</t>
  </si>
  <si>
    <t>ตันฉบับ</t>
  </si>
  <si>
    <t>ออกใบเสร็จรับเงิน</t>
  </si>
  <si>
    <t>ref.NO.</t>
  </si>
  <si>
    <t>กรอกรายการสินค้า/บริการ</t>
  </si>
  <si>
    <t>กรอกข้อมูลลูกค้าด้วยตนเอง</t>
  </si>
  <si>
    <t>ชื่อ</t>
  </si>
  <si>
    <t>1606001</t>
  </si>
  <si>
    <t>No fix</t>
  </si>
  <si>
    <t>1606002</t>
  </si>
  <si>
    <t>OUT</t>
  </si>
  <si>
    <t/>
  </si>
  <si>
    <t>ฎพ7075</t>
  </si>
  <si>
    <t>HONDA</t>
  </si>
  <si>
    <t>JAZZ</t>
  </si>
  <si>
    <t>-</t>
  </si>
  <si>
    <t>1606003</t>
  </si>
  <si>
    <t>2กก1403</t>
  </si>
  <si>
    <t>TOYOTA</t>
  </si>
  <si>
    <t>ALTIS</t>
  </si>
  <si>
    <t>1606004</t>
  </si>
  <si>
    <t>ฌช2654</t>
  </si>
  <si>
    <t>VIOS</t>
  </si>
  <si>
    <t>1606005</t>
  </si>
  <si>
    <t>ฆส9334</t>
  </si>
  <si>
    <t>MITSUBISHI</t>
  </si>
  <si>
    <t>PAJARO SPORT</t>
  </si>
  <si>
    <t>1606006</t>
  </si>
  <si>
    <t>ณฮ1550</t>
  </si>
  <si>
    <t>ISUZU</t>
  </si>
  <si>
    <t>DMAX</t>
  </si>
  <si>
    <t>1606007</t>
  </si>
  <si>
    <t>บท2600</t>
  </si>
  <si>
    <t>1606008</t>
  </si>
  <si>
    <t>2กท4058</t>
  </si>
  <si>
    <t>1606009</t>
  </si>
  <si>
    <t>ฎจ8337</t>
  </si>
  <si>
    <t>1606010</t>
  </si>
  <si>
    <t>ตล7784</t>
  </si>
  <si>
    <t>1606011</t>
  </si>
  <si>
    <t>ชภ9122</t>
  </si>
  <si>
    <t>1606012</t>
  </si>
  <si>
    <t>ฒญ6943</t>
  </si>
  <si>
    <t>TRITON</t>
  </si>
  <si>
    <t>1606013</t>
  </si>
  <si>
    <t>ฎฟ4951</t>
  </si>
  <si>
    <t>CITY</t>
  </si>
  <si>
    <t>1606014</t>
  </si>
  <si>
    <t>สม9996</t>
  </si>
  <si>
    <t>FORTUNER</t>
  </si>
  <si>
    <t>1606015</t>
  </si>
  <si>
    <t>ญล5534</t>
  </si>
  <si>
    <t>INNOVA</t>
  </si>
  <si>
    <t>1606016</t>
  </si>
  <si>
    <t>ฎภ233</t>
  </si>
  <si>
    <t>CIVIC</t>
  </si>
  <si>
    <t>1606017</t>
  </si>
  <si>
    <t>ฎฎ1885</t>
  </si>
  <si>
    <t>MAZDA</t>
  </si>
  <si>
    <t>1606018</t>
  </si>
  <si>
    <t>ญญ9365</t>
  </si>
  <si>
    <t>MU7</t>
  </si>
  <si>
    <t>1606019</t>
  </si>
  <si>
    <t>ฆถ8367</t>
  </si>
  <si>
    <t>FORD</t>
  </si>
  <si>
    <t>FIESTA</t>
  </si>
  <si>
    <t>1606020</t>
  </si>
  <si>
    <t>ฒล8233</t>
  </si>
  <si>
    <t>1606021</t>
  </si>
  <si>
    <t>ปอ6656</t>
  </si>
  <si>
    <t>TIGER</t>
  </si>
  <si>
    <t>1606022</t>
  </si>
  <si>
    <t>ฎย3887</t>
  </si>
  <si>
    <t>1606023</t>
  </si>
  <si>
    <t>บบ9640</t>
  </si>
  <si>
    <t>1606024</t>
  </si>
  <si>
    <t>ตน6859</t>
  </si>
  <si>
    <t>VIGO</t>
  </si>
  <si>
    <t>1606025</t>
  </si>
  <si>
    <t>ญย6131</t>
  </si>
  <si>
    <t>CHEVROLET</t>
  </si>
  <si>
    <t>AVEO</t>
  </si>
  <si>
    <t>1606026</t>
  </si>
  <si>
    <t>ฆภ142</t>
  </si>
  <si>
    <t>1606027</t>
  </si>
  <si>
    <t>1ฒฒ1087</t>
  </si>
  <si>
    <t>1606028</t>
  </si>
  <si>
    <t>1กฬ9324</t>
  </si>
  <si>
    <t>1606029</t>
  </si>
  <si>
    <t>ศย9327</t>
  </si>
  <si>
    <t>1606030</t>
  </si>
  <si>
    <t>ฎย2429</t>
  </si>
  <si>
    <t>AVANZA</t>
  </si>
  <si>
    <t>1606031</t>
  </si>
  <si>
    <t>3กล2164</t>
  </si>
  <si>
    <t>1606032</t>
  </si>
  <si>
    <t>บต9760</t>
  </si>
  <si>
    <t>NISSAN</t>
  </si>
  <si>
    <t>FRONTIER</t>
  </si>
  <si>
    <t>1606033</t>
  </si>
  <si>
    <t>ฎพ2488</t>
  </si>
  <si>
    <t>1606034</t>
  </si>
  <si>
    <t>ณฉ9560</t>
  </si>
  <si>
    <t>1606035</t>
  </si>
  <si>
    <t>1กฐ9433</t>
  </si>
  <si>
    <t>MIRAGE</t>
  </si>
  <si>
    <t>1606036</t>
  </si>
  <si>
    <t>ญล6944</t>
  </si>
  <si>
    <t>1606037</t>
  </si>
  <si>
    <t>ฎน8097</t>
  </si>
  <si>
    <t>1606038</t>
  </si>
  <si>
    <t>ชพ529</t>
  </si>
  <si>
    <t>1606039</t>
  </si>
  <si>
    <t>ฌจ671</t>
  </si>
  <si>
    <t>1606040</t>
  </si>
  <si>
    <t>บท9439</t>
  </si>
  <si>
    <t>1606041</t>
  </si>
  <si>
    <t>ฒล1330</t>
  </si>
  <si>
    <t>1606042</t>
  </si>
  <si>
    <t>ญฉ807</t>
  </si>
  <si>
    <t>1606043</t>
  </si>
  <si>
    <t>ฒม5321</t>
  </si>
  <si>
    <t>1606044</t>
  </si>
  <si>
    <t>1กจ9815</t>
  </si>
  <si>
    <t>1606045</t>
  </si>
  <si>
    <t>ฒอ7634</t>
  </si>
  <si>
    <t>RANGER</t>
  </si>
  <si>
    <t>1606046</t>
  </si>
  <si>
    <t>ญฒ8213</t>
  </si>
  <si>
    <t>1606047</t>
  </si>
  <si>
    <t>เงินสด</t>
  </si>
  <si>
    <t>ศณ6082</t>
  </si>
  <si>
    <t>FOCUS</t>
  </si>
  <si>
    <t>1606048</t>
  </si>
  <si>
    <t>4กฎ5453</t>
  </si>
  <si>
    <t>1606049</t>
  </si>
  <si>
    <t>บท2774</t>
  </si>
  <si>
    <t>1606050</t>
  </si>
  <si>
    <t>ถจ9918</t>
  </si>
  <si>
    <t>1606051</t>
  </si>
  <si>
    <t>2กฆ6277</t>
  </si>
  <si>
    <t>1606052</t>
  </si>
  <si>
    <t>1ฒญ6903</t>
  </si>
  <si>
    <t>NAVARA</t>
  </si>
  <si>
    <t>1606053</t>
  </si>
  <si>
    <t>ฎฎ8052</t>
  </si>
  <si>
    <t>1606054</t>
  </si>
  <si>
    <t>1กบ9171</t>
  </si>
  <si>
    <t>1606055</t>
  </si>
  <si>
    <t>ถก2869</t>
  </si>
  <si>
    <t>1606056</t>
  </si>
  <si>
    <t>สช8037</t>
  </si>
  <si>
    <t>1606057</t>
  </si>
  <si>
    <t>ตต5939</t>
  </si>
  <si>
    <t>1606058</t>
  </si>
  <si>
    <t>ผข2403</t>
  </si>
  <si>
    <t>1606059</t>
  </si>
  <si>
    <t>ตฎ2892</t>
  </si>
  <si>
    <t>1606060</t>
  </si>
  <si>
    <t>ไม่ระบุ</t>
  </si>
  <si>
    <t>1606061</t>
  </si>
  <si>
    <t>ฎภ1719</t>
  </si>
  <si>
    <t>CRV</t>
  </si>
  <si>
    <t>1606062</t>
  </si>
  <si>
    <t>1กญ5964</t>
  </si>
  <si>
    <t>TRIRON</t>
  </si>
  <si>
    <t>1606063</t>
  </si>
  <si>
    <t>อาคเนย์</t>
  </si>
  <si>
    <t>ปษ9817</t>
  </si>
  <si>
    <t>1606064</t>
  </si>
  <si>
    <t>เอเซีย</t>
  </si>
  <si>
    <t>ฎก7699</t>
  </si>
  <si>
    <t>1606065</t>
  </si>
  <si>
    <t>เทเวศ</t>
  </si>
  <si>
    <t>บธ6681</t>
  </si>
  <si>
    <t>DAIHATSU</t>
  </si>
  <si>
    <t>HIJET S38</t>
  </si>
  <si>
    <t>1606066</t>
  </si>
  <si>
    <t>ธนชาต</t>
  </si>
  <si>
    <t>ญธ4233</t>
  </si>
  <si>
    <t>CAMRY</t>
  </si>
  <si>
    <t>1606067</t>
  </si>
  <si>
    <t>3กท6927</t>
  </si>
  <si>
    <t>YARIS</t>
  </si>
  <si>
    <t>1606068</t>
  </si>
  <si>
    <t>วิชาญ</t>
  </si>
  <si>
    <t>สำโรงเหนือ</t>
  </si>
  <si>
    <t>ชฮ4551</t>
  </si>
  <si>
    <t>2+/100000</t>
  </si>
  <si>
    <t>1606069</t>
  </si>
  <si>
    <t>เงินสด+ประกันภัย</t>
  </si>
  <si>
    <t>คิวบีอี</t>
  </si>
  <si>
    <t>ตรีรัก</t>
  </si>
  <si>
    <t>บางเมืองใหม่</t>
  </si>
  <si>
    <t>สช9929</t>
  </si>
  <si>
    <t>1606070</t>
  </si>
  <si>
    <t>กรุงไทย</t>
  </si>
  <si>
    <t>นิยม</t>
  </si>
  <si>
    <t>บางหัวเสือ</t>
  </si>
  <si>
    <t>ฎฮ317</t>
  </si>
  <si>
    <t>2+/200000</t>
  </si>
  <si>
    <t>1606071</t>
  </si>
  <si>
    <t>เจ้าพระยา</t>
  </si>
  <si>
    <t>ธันต์จิรา</t>
  </si>
  <si>
    <t>บางเมือง</t>
  </si>
  <si>
    <t>ญฌ774</t>
  </si>
  <si>
    <t>MARCH</t>
  </si>
  <si>
    <t>1/230000</t>
  </si>
  <si>
    <t>1606072</t>
  </si>
  <si>
    <t>ฉลอง</t>
  </si>
  <si>
    <t>ตน746</t>
  </si>
  <si>
    <t>COLORADO</t>
  </si>
  <si>
    <t>1606073</t>
  </si>
  <si>
    <t>มงคล</t>
  </si>
  <si>
    <t>บางปูใหม่</t>
  </si>
  <si>
    <t>กต1651</t>
  </si>
  <si>
    <t>DMAX SPACECAB</t>
  </si>
  <si>
    <t>2+/250000</t>
  </si>
  <si>
    <t>1606074</t>
  </si>
  <si>
    <t>อาทิตย์</t>
  </si>
  <si>
    <t>ฒห6913</t>
  </si>
  <si>
    <t>MISUBISHI</t>
  </si>
  <si>
    <t>1/350000</t>
  </si>
  <si>
    <t>1606075</t>
  </si>
  <si>
    <t>อภิเดช</t>
  </si>
  <si>
    <t>ท้ายบ้านใหม่</t>
  </si>
  <si>
    <t>ฌศ2843</t>
  </si>
  <si>
    <t>1/300000</t>
  </si>
  <si>
    <t>1606076</t>
  </si>
  <si>
    <t>สุจินต์</t>
  </si>
  <si>
    <t>ญฮ5872</t>
  </si>
  <si>
    <t>1/400000</t>
  </si>
  <si>
    <t>1606077</t>
  </si>
  <si>
    <t>ปริญญา</t>
  </si>
  <si>
    <t>ปากน้ำ</t>
  </si>
  <si>
    <t>กฉ4826</t>
  </si>
  <si>
    <t>1606078</t>
  </si>
  <si>
    <t>อัครพล</t>
  </si>
  <si>
    <t>บางพลีใหญ่</t>
  </si>
  <si>
    <t>ฎฐ9254</t>
  </si>
  <si>
    <t>1606079</t>
  </si>
  <si>
    <t>ภูวนัย</t>
  </si>
  <si>
    <t>บางเสาธง</t>
  </si>
  <si>
    <t>บฉ2112</t>
  </si>
  <si>
    <t>1/150000</t>
  </si>
  <si>
    <t>1606080</t>
  </si>
  <si>
    <t>อรทัย</t>
  </si>
  <si>
    <t>ฌศ5357</t>
  </si>
  <si>
    <t xml:space="preserve"> -/250000</t>
  </si>
  <si>
    <t>1606081</t>
  </si>
  <si>
    <t>สุรัตน์</t>
  </si>
  <si>
    <t>หัวน้ำวน</t>
  </si>
  <si>
    <t>1กม8028</t>
  </si>
  <si>
    <t>SUZUKI</t>
  </si>
  <si>
    <t>SWIFT</t>
  </si>
  <si>
    <t>1606082</t>
  </si>
  <si>
    <t>สมบัติ</t>
  </si>
  <si>
    <t>แพรกษา</t>
  </si>
  <si>
    <t>ชฬ3395</t>
  </si>
  <si>
    <t>1/330000</t>
  </si>
  <si>
    <t>1606083</t>
  </si>
  <si>
    <t>พัชรินทร์</t>
  </si>
  <si>
    <t>ฌฉ2671</t>
  </si>
  <si>
    <t>1/270000</t>
  </si>
  <si>
    <t>1606084</t>
  </si>
  <si>
    <t>ประพันธ์พงศ์</t>
  </si>
  <si>
    <t>สำโรง</t>
  </si>
  <si>
    <t>ฒพ9366</t>
  </si>
  <si>
    <t>ALMERA</t>
  </si>
  <si>
    <t>1606085</t>
  </si>
  <si>
    <t>บุญจันทร์</t>
  </si>
  <si>
    <t>ตล6236</t>
  </si>
  <si>
    <t>2/100000</t>
  </si>
  <si>
    <t>1606086</t>
  </si>
  <si>
    <t>โตเกียว</t>
  </si>
  <si>
    <t>วุฒินันท์</t>
  </si>
  <si>
    <t>ท้ายบ้าน</t>
  </si>
  <si>
    <t>ปม8876</t>
  </si>
  <si>
    <t>1606087</t>
  </si>
  <si>
    <t>อุดร</t>
  </si>
  <si>
    <t>ฒธ3815</t>
  </si>
  <si>
    <t>5+/360000</t>
  </si>
  <si>
    <t>1606088</t>
  </si>
  <si>
    <t>ดำ</t>
  </si>
  <si>
    <t>ตพ8413</t>
  </si>
  <si>
    <t>1606089</t>
  </si>
  <si>
    <t>นิลันต์</t>
  </si>
  <si>
    <t>ตฉ8423</t>
  </si>
  <si>
    <t>2/150000</t>
  </si>
  <si>
    <t>1606090</t>
  </si>
  <si>
    <t>ปิยณัฐ</t>
  </si>
  <si>
    <t>ถล5550</t>
  </si>
  <si>
    <t>1606091</t>
  </si>
  <si>
    <t>นุจรินทร์</t>
  </si>
  <si>
    <t>ฎห6877</t>
  </si>
  <si>
    <t>1/-</t>
  </si>
  <si>
    <t>1606092</t>
  </si>
  <si>
    <t>จุรีพร</t>
  </si>
  <si>
    <t>4กฒ2336</t>
  </si>
  <si>
    <t>1606093</t>
  </si>
  <si>
    <t>ธำมรงค์</t>
  </si>
  <si>
    <t>ศว7981</t>
  </si>
  <si>
    <t>1/200000</t>
  </si>
  <si>
    <t>1606094</t>
  </si>
  <si>
    <t>วิวัฒน์</t>
  </si>
  <si>
    <t>ถศ7936</t>
  </si>
  <si>
    <t>1/320000</t>
  </si>
  <si>
    <t>1606095</t>
  </si>
  <si>
    <t>เมืองไทย</t>
  </si>
  <si>
    <t>ปารณีย์</t>
  </si>
  <si>
    <t>สำโรงกลาง</t>
  </si>
  <si>
    <t>ญถ7223</t>
  </si>
  <si>
    <t>1/380000</t>
  </si>
  <si>
    <t>1606096</t>
  </si>
  <si>
    <t>สุริยา</t>
  </si>
  <si>
    <t>ษต6242</t>
  </si>
  <si>
    <t>SUNNY NEO</t>
  </si>
  <si>
    <t>2/210000</t>
  </si>
  <si>
    <t>1606097</t>
  </si>
  <si>
    <t>สำราญ</t>
  </si>
  <si>
    <t>ฒก5239</t>
  </si>
  <si>
    <t>2+/350000</t>
  </si>
  <si>
    <t>1606098</t>
  </si>
  <si>
    <t>ถข5754</t>
  </si>
  <si>
    <t>1606099</t>
  </si>
  <si>
    <t>ญท8391</t>
  </si>
  <si>
    <t>1606100</t>
  </si>
  <si>
    <t>ณฮ5047</t>
  </si>
  <si>
    <t>1606101</t>
  </si>
  <si>
    <t>ศล1967</t>
  </si>
  <si>
    <t>1606102</t>
  </si>
  <si>
    <t>สุวรรณ</t>
  </si>
  <si>
    <t>1ฒณ5231</t>
  </si>
  <si>
    <t>4/400000</t>
  </si>
  <si>
    <t>1607001</t>
  </si>
  <si>
    <t>รัชชานนท์</t>
  </si>
  <si>
    <t>2กฆ6279</t>
  </si>
  <si>
    <t>1/550000</t>
  </si>
  <si>
    <t>1607002</t>
  </si>
  <si>
    <t>สายัณห์</t>
  </si>
  <si>
    <t>9ษ9252</t>
  </si>
  <si>
    <t>EXSIOR</t>
  </si>
  <si>
    <t>1607003</t>
  </si>
  <si>
    <t>วีระ</t>
  </si>
  <si>
    <t>ฒณ3969</t>
  </si>
  <si>
    <t>1/480000</t>
  </si>
  <si>
    <t>1607004</t>
  </si>
  <si>
    <t>ธวัชชัย</t>
  </si>
  <si>
    <t>ฎห1604</t>
  </si>
  <si>
    <t>1607005</t>
  </si>
  <si>
    <t>พรรณา</t>
  </si>
  <si>
    <t>กค187</t>
  </si>
  <si>
    <t>SONIC</t>
  </si>
  <si>
    <t>2+/300000</t>
  </si>
  <si>
    <t>1607006</t>
  </si>
  <si>
    <t>สุธีรา</t>
  </si>
  <si>
    <t>ญฬ4461</t>
  </si>
  <si>
    <t>1607007</t>
  </si>
  <si>
    <t>ไชยา</t>
  </si>
  <si>
    <t>1ฒถ6170</t>
  </si>
  <si>
    <t>1/560000</t>
  </si>
  <si>
    <t>1607008</t>
  </si>
  <si>
    <t>สุก</t>
  </si>
  <si>
    <t>ฒฐ2871</t>
  </si>
  <si>
    <t>1607009</t>
  </si>
  <si>
    <t>ฐนิศร์</t>
  </si>
  <si>
    <t>ฌช1086</t>
  </si>
  <si>
    <t>1607010</t>
  </si>
  <si>
    <t>สุรินทร์ ทิมมฌี</t>
  </si>
  <si>
    <t>089-964-4367</t>
  </si>
  <si>
    <t>4กฌ5934</t>
  </si>
  <si>
    <t>TRAILBRAZER</t>
  </si>
  <si>
    <t>1/710,000</t>
  </si>
  <si>
    <t>1607011</t>
  </si>
  <si>
    <t>ฐิติมา</t>
  </si>
  <si>
    <t>1กภ9882</t>
  </si>
  <si>
    <t>1/280000</t>
  </si>
  <si>
    <t>1607012</t>
  </si>
  <si>
    <t>มนัส โตจุ้ย</t>
  </si>
  <si>
    <t>บางน้ำผึ้ง</t>
  </si>
  <si>
    <t>ภท1160</t>
  </si>
  <si>
    <t>SUNNY</t>
  </si>
  <si>
    <t>1607013</t>
  </si>
  <si>
    <t>จันทร์ทิพย์ รัตนจันทร์</t>
  </si>
  <si>
    <t>ตฐ6993</t>
  </si>
  <si>
    <t>D-MAX</t>
  </si>
  <si>
    <t>2+/330000</t>
  </si>
  <si>
    <t>1607014</t>
  </si>
  <si>
    <t>นารีรัตน์ ชัยสงคราม</t>
  </si>
  <si>
    <t>ศย3046</t>
  </si>
  <si>
    <t>1/410000</t>
  </si>
  <si>
    <t>1607015</t>
  </si>
  <si>
    <t>ศุภพจี นาคน้อย</t>
  </si>
  <si>
    <t>บางงเมืองใหม่</t>
  </si>
  <si>
    <t>ฆศ3722</t>
  </si>
  <si>
    <t>1607016</t>
  </si>
  <si>
    <t>ธนาภา แย้มกลิ่น</t>
  </si>
  <si>
    <t>ฎฬ838</t>
  </si>
  <si>
    <t>1607017</t>
  </si>
  <si>
    <t>นิมิตร์ เทียนอุดม</t>
  </si>
  <si>
    <t>บางปลา</t>
  </si>
  <si>
    <t>ฌป3911</t>
  </si>
  <si>
    <t>1607018</t>
  </si>
  <si>
    <t>แสวง ชุมพล</t>
  </si>
  <si>
    <t>สำโรงใต้</t>
  </si>
  <si>
    <t>1กล2575</t>
  </si>
  <si>
    <t>HI-LANDER</t>
  </si>
  <si>
    <t>1/540000</t>
  </si>
  <si>
    <t>1607019</t>
  </si>
  <si>
    <t>สุวัจ บุตรบุญปั้น</t>
  </si>
  <si>
    <t>นิคมบางปู</t>
  </si>
  <si>
    <t>วษ6985</t>
  </si>
  <si>
    <t>1607020</t>
  </si>
  <si>
    <t>นวลออง บรรเลิศ</t>
  </si>
  <si>
    <t>ฎณ2594</t>
  </si>
  <si>
    <t>1607021</t>
  </si>
  <si>
    <t>เมตตา อ่อนจันทึก</t>
  </si>
  <si>
    <t>ฎล5828</t>
  </si>
  <si>
    <t>1607022</t>
  </si>
  <si>
    <t>มานะ สุขมล</t>
  </si>
  <si>
    <t>บว5014</t>
  </si>
  <si>
    <t>1607023</t>
  </si>
  <si>
    <t>ธนิดา สุรินทร์</t>
  </si>
  <si>
    <t>บางพลี</t>
  </si>
  <si>
    <t>ฌฮ2728</t>
  </si>
  <si>
    <t>1/680000</t>
  </si>
  <si>
    <t>1607024</t>
  </si>
  <si>
    <t>วิชัย สอิ้งดวง</t>
  </si>
  <si>
    <t>บางหญ้าแพรก</t>
  </si>
  <si>
    <t>ญธ4801</t>
  </si>
  <si>
    <t>1607025</t>
  </si>
  <si>
    <t>นพพรรค์ ปัตซา</t>
  </si>
  <si>
    <t>20-323-0727-8</t>
  </si>
  <si>
    <t>ฒล921</t>
  </si>
  <si>
    <t>1607026</t>
  </si>
  <si>
    <t>แมน เงินจันทร์</t>
  </si>
  <si>
    <t>สฐ7039</t>
  </si>
  <si>
    <t>2+/410000</t>
  </si>
  <si>
    <t>1607027</t>
  </si>
  <si>
    <t>สุภเดช ตุ่มศรียา</t>
  </si>
  <si>
    <t>2กล4044</t>
  </si>
  <si>
    <t>1/800000</t>
  </si>
  <si>
    <t>1607028</t>
  </si>
  <si>
    <t>สุรพันธ์ ราษฎร์นิยม</t>
  </si>
  <si>
    <t>บต2078</t>
  </si>
  <si>
    <t>1607029</t>
  </si>
  <si>
    <t>ชนากานต์ เข่งสมุทร</t>
  </si>
  <si>
    <t>ศฉ9392</t>
  </si>
  <si>
    <t>1/310000</t>
  </si>
  <si>
    <t>1607030</t>
  </si>
  <si>
    <t>ปานทิพย์ มิตรป่าเว</t>
  </si>
  <si>
    <t>บางมด</t>
  </si>
  <si>
    <t>2กฒ4293</t>
  </si>
  <si>
    <t>1607031</t>
  </si>
  <si>
    <t>ณรงค์ เจริญสุดใจ</t>
  </si>
  <si>
    <t>ฌษ1788</t>
  </si>
  <si>
    <t>1607032</t>
  </si>
  <si>
    <t>ธีรภาส อิสสระวงศ์เทวา</t>
  </si>
  <si>
    <t>3กณ4616</t>
  </si>
  <si>
    <t>D-MAX ALL-NEW</t>
  </si>
  <si>
    <t>1/700000</t>
  </si>
  <si>
    <t>1607033</t>
  </si>
  <si>
    <t>สุภาภรณ์ พิลาภ</t>
  </si>
  <si>
    <t>เทพารักษ์</t>
  </si>
  <si>
    <t>1กล3403</t>
  </si>
  <si>
    <t>BRIO</t>
  </si>
  <si>
    <t>1607034</t>
  </si>
  <si>
    <t>มนตรี จันทร์ศรี</t>
  </si>
  <si>
    <t>1กง4635</t>
  </si>
  <si>
    <t>BT-50</t>
  </si>
  <si>
    <t>1/500000</t>
  </si>
  <si>
    <t>1607035</t>
  </si>
  <si>
    <t>อุทัย อุทก</t>
  </si>
  <si>
    <t>ฒธ-8151</t>
  </si>
  <si>
    <t>2+/290000</t>
  </si>
  <si>
    <t>1607036</t>
  </si>
  <si>
    <t>ทิวาพร รักซ้อน</t>
  </si>
  <si>
    <t>แพรกษาใหม่</t>
  </si>
  <si>
    <t>4กบ940</t>
  </si>
  <si>
    <t>ATTRACE</t>
  </si>
  <si>
    <t>1607037</t>
  </si>
  <si>
    <t>อาวุธ แจ้สูงเนิน</t>
  </si>
  <si>
    <t>ขจ4212</t>
  </si>
  <si>
    <t>VOLVO</t>
  </si>
  <si>
    <t>V 70</t>
  </si>
  <si>
    <t>1607038</t>
  </si>
  <si>
    <t>วิทยา เสาร์สุวรรณ์</t>
  </si>
  <si>
    <t>3กษ2227</t>
  </si>
  <si>
    <t>1607039</t>
  </si>
  <si>
    <t>เชิดชัย หมุนสี</t>
  </si>
  <si>
    <t>ฌฉ6393</t>
  </si>
  <si>
    <t>2/200000</t>
  </si>
  <si>
    <t>1607040</t>
  </si>
  <si>
    <t>สุรินทร์ ทิมมณี</t>
  </si>
  <si>
    <t>TRAILBLAZER</t>
  </si>
  <si>
    <t>1/710000</t>
  </si>
  <si>
    <t>1607041</t>
  </si>
  <si>
    <t>จิรศักดิ์ สิริพันธุนนท์</t>
  </si>
  <si>
    <t>ถจ-1048</t>
  </si>
  <si>
    <t>1607042</t>
  </si>
  <si>
    <t>ปวีณา คานียอ</t>
  </si>
  <si>
    <t>ฆฆ7414</t>
  </si>
  <si>
    <t>1/290000</t>
  </si>
  <si>
    <t>1607043</t>
  </si>
  <si>
    <t>รัชนี ไชยศรีมาลย์</t>
  </si>
  <si>
    <t>ตธ3800</t>
  </si>
  <si>
    <t>1607044</t>
  </si>
  <si>
    <t>อรอนงค์ เหมะจุฑา</t>
  </si>
  <si>
    <t>ฆฌ5104</t>
  </si>
  <si>
    <t>PROTON</t>
  </si>
  <si>
    <t>EXORA</t>
  </si>
  <si>
    <t>1/360000</t>
  </si>
  <si>
    <t>1607045</t>
  </si>
  <si>
    <t>เวคีพัทธ์ มณีฉาย</t>
  </si>
  <si>
    <t>ฒฐ3249</t>
  </si>
  <si>
    <t>1607046</t>
  </si>
  <si>
    <t>ปิ่น</t>
  </si>
  <si>
    <t>ญท8777</t>
  </si>
  <si>
    <t>1607047</t>
  </si>
  <si>
    <t>ณัฐพล พลูน้อย</t>
  </si>
  <si>
    <t>ฆท408</t>
  </si>
  <si>
    <t>1607048</t>
  </si>
  <si>
    <t>ศศิประภา ชูหน้า</t>
  </si>
  <si>
    <t>ฌค2117</t>
  </si>
  <si>
    <t>TIIDA</t>
  </si>
  <si>
    <t>1607049</t>
  </si>
  <si>
    <t>สมบูรณ์ บรรจง</t>
  </si>
  <si>
    <t>กจ7081</t>
  </si>
  <si>
    <t>พ ร บ</t>
  </si>
  <si>
    <t>1607050</t>
  </si>
  <si>
    <t>ชัยสิทธิ์ เมืองมูล</t>
  </si>
  <si>
    <t>บร3524</t>
  </si>
  <si>
    <t>1607051</t>
  </si>
  <si>
    <t>ลันจวน สิงทุย</t>
  </si>
  <si>
    <t>ฒอ1176</t>
  </si>
  <si>
    <t>1/450000</t>
  </si>
  <si>
    <t>1607052</t>
  </si>
  <si>
    <t>โชคชัย แสนบัณฑิต</t>
  </si>
  <si>
    <t>1ฒค3173</t>
  </si>
  <si>
    <t>1607053</t>
  </si>
  <si>
    <t>แมน มังคุณ</t>
  </si>
  <si>
    <t>บท-4796</t>
  </si>
  <si>
    <t>พ.ร.บ</t>
  </si>
  <si>
    <t>1608001</t>
  </si>
  <si>
    <t>จำเนียร บางแบ่ง</t>
  </si>
  <si>
    <t>ฎณ7910</t>
  </si>
  <si>
    <t>1608002</t>
  </si>
  <si>
    <t>สุวิทย์ เพิกแสง</t>
  </si>
  <si>
    <t>คลองด่าน</t>
  </si>
  <si>
    <t>ฒฌ8829</t>
  </si>
  <si>
    <t>1608003</t>
  </si>
  <si>
    <t>มิตรแท้</t>
  </si>
  <si>
    <t>พรพิมล ประเสริฐสุด</t>
  </si>
  <si>
    <t>วห8026</t>
  </si>
  <si>
    <t>1608004</t>
  </si>
  <si>
    <t>สยามซิตี้</t>
  </si>
  <si>
    <t>มนตรี วันทุมมา</t>
  </si>
  <si>
    <t>พระประแดง</t>
  </si>
  <si>
    <t>4กฉ5548</t>
  </si>
  <si>
    <t>ERTIGA</t>
  </si>
  <si>
    <t>1608005</t>
  </si>
  <si>
    <t>เอ๋ แก้วงาม</t>
  </si>
  <si>
    <t>กฉ7076</t>
  </si>
  <si>
    <t>3/600000</t>
  </si>
  <si>
    <t>1608006</t>
  </si>
  <si>
    <t>ปิยะวุฒิ เชื้อจำรูญ</t>
  </si>
  <si>
    <t>บษ1726</t>
  </si>
  <si>
    <t>พรบ</t>
  </si>
  <si>
    <t>1608007</t>
  </si>
  <si>
    <t>ประเสริฐ นิลสนธิ</t>
  </si>
  <si>
    <t>กม.30</t>
  </si>
  <si>
    <t>ออ8939</t>
  </si>
  <si>
    <t>1608008</t>
  </si>
  <si>
    <t>ทศวรรณ แก้วสอาด</t>
  </si>
  <si>
    <t>ญษ593</t>
  </si>
  <si>
    <t>คู่กรณี</t>
  </si>
  <si>
    <t>1608009</t>
  </si>
  <si>
    <t>อนุสรณ์ อุ่นศรี</t>
  </si>
  <si>
    <t>1ฒม579</t>
  </si>
  <si>
    <t>1608010</t>
  </si>
  <si>
    <t>พัฒน์รดี ชูเกียรติธนัสถ์</t>
  </si>
  <si>
    <t>ชอ7050</t>
  </si>
  <si>
    <t>2+/450000</t>
  </si>
  <si>
    <t>1608011</t>
  </si>
  <si>
    <t>เฉลิมชัย</t>
  </si>
  <si>
    <t>2กภ3848</t>
  </si>
  <si>
    <t xml:space="preserve">FORD </t>
  </si>
  <si>
    <t>รอตรวจสอบ</t>
  </si>
  <si>
    <t>1608012</t>
  </si>
  <si>
    <t>รุทธ์ บ่อเกิด</t>
  </si>
  <si>
    <t>ชฮ3458</t>
  </si>
  <si>
    <t>1608013</t>
  </si>
  <si>
    <t>พิมชนก คำภูมี</t>
  </si>
  <si>
    <t>บท4495</t>
  </si>
  <si>
    <t>1608014</t>
  </si>
  <si>
    <t>หนูเพชร เดชบำรุง</t>
  </si>
  <si>
    <t>บางปู</t>
  </si>
  <si>
    <t>ฌน2486</t>
  </si>
  <si>
    <t>1608015</t>
  </si>
  <si>
    <t>เสริม สมรูป</t>
  </si>
  <si>
    <t>ภฐ6829</t>
  </si>
  <si>
    <t>COROLLA</t>
  </si>
  <si>
    <t>1608016</t>
  </si>
  <si>
    <t>สุทิน แก้วยก</t>
  </si>
  <si>
    <t>ฒร1456</t>
  </si>
  <si>
    <t>2+/170000</t>
  </si>
  <si>
    <t>1608017</t>
  </si>
  <si>
    <t>อรัญ แก้วฝ่าย</t>
  </si>
  <si>
    <t>เทพารกษ์</t>
  </si>
  <si>
    <t>ฆฎ8704</t>
  </si>
  <si>
    <t>DOUBLE-CAB</t>
  </si>
  <si>
    <t>1/510000</t>
  </si>
  <si>
    <t>1608018</t>
  </si>
  <si>
    <t>เชิงชายชาญ ชื่นชุ่ม</t>
  </si>
  <si>
    <t>ตพ4330</t>
  </si>
  <si>
    <t>1608019</t>
  </si>
  <si>
    <t>สุพศิน อังครา</t>
  </si>
  <si>
    <t>4กน3373</t>
  </si>
  <si>
    <t>CAB-4</t>
  </si>
  <si>
    <t>1/670000</t>
  </si>
  <si>
    <t>1608020</t>
  </si>
  <si>
    <t>ฉัตรกุล ทนันต์ชัย</t>
  </si>
  <si>
    <t>ฏภ4942</t>
  </si>
  <si>
    <t>1608021</t>
  </si>
  <si>
    <t>สิทธิพงศ์ ปรัชญาโณทัย</t>
  </si>
  <si>
    <t>สาธร</t>
  </si>
  <si>
    <t>ผม8729</t>
  </si>
  <si>
    <t>1/490000</t>
  </si>
  <si>
    <t>1608022</t>
  </si>
  <si>
    <t>สวาส ไชยลังกา</t>
  </si>
  <si>
    <t>ตฎ3260</t>
  </si>
  <si>
    <t>1/220000</t>
  </si>
  <si>
    <t>1608023</t>
  </si>
  <si>
    <t>มังกร มีโสม</t>
  </si>
  <si>
    <t>กฉ3119</t>
  </si>
  <si>
    <t>1/240000</t>
  </si>
  <si>
    <t>1608024</t>
  </si>
  <si>
    <t>รุ้งนภา คูสมิต</t>
  </si>
  <si>
    <t>2กฬ5934</t>
  </si>
  <si>
    <t>1/520000</t>
  </si>
  <si>
    <t>1608025</t>
  </si>
  <si>
    <t>วรเมธ อุดทา</t>
  </si>
  <si>
    <t>1ฒต8936</t>
  </si>
  <si>
    <t>COLORDO</t>
  </si>
  <si>
    <t>1608026</t>
  </si>
  <si>
    <t>ธงไชย นิลยิ้ม</t>
  </si>
  <si>
    <t>ญฎ8735</t>
  </si>
  <si>
    <t>SAJERO SPORT</t>
  </si>
  <si>
    <t>1/460000</t>
  </si>
  <si>
    <t>1608027</t>
  </si>
  <si>
    <t>พัลลภา</t>
  </si>
  <si>
    <t>รร.สตรีฯ</t>
  </si>
  <si>
    <t>ญพ8462</t>
  </si>
  <si>
    <t>1608028</t>
  </si>
  <si>
    <t>วิมล แสงครุฑ</t>
  </si>
  <si>
    <t>2กอ4790</t>
  </si>
  <si>
    <t>1/650000</t>
  </si>
  <si>
    <t>1608029</t>
  </si>
  <si>
    <t>กิติพล พฤหัสบดีเชาวลิต</t>
  </si>
  <si>
    <t>สร6177</t>
  </si>
  <si>
    <t>1608030</t>
  </si>
  <si>
    <t>สถาพร วงศ์แก้ว</t>
  </si>
  <si>
    <t>1ฒท1275</t>
  </si>
  <si>
    <t>1608031</t>
  </si>
  <si>
    <t>เดชา คชายั่งยืน</t>
  </si>
  <si>
    <t>ษท4074</t>
  </si>
  <si>
    <t>1608032</t>
  </si>
  <si>
    <t>พรภัยวัน พลสุวรรณ์</t>
  </si>
  <si>
    <t>บน9628</t>
  </si>
  <si>
    <t>1608033</t>
  </si>
  <si>
    <t>นิรุทธ์ ชวนโพธิ์</t>
  </si>
  <si>
    <t>พระสมุทรเจดีย์</t>
  </si>
  <si>
    <t>ญท3934</t>
  </si>
  <si>
    <t>1608034</t>
  </si>
  <si>
    <t>จินติกุล วีระโยธิน</t>
  </si>
  <si>
    <t>ฌง3077</t>
  </si>
  <si>
    <t>1608035</t>
  </si>
  <si>
    <t>อภิชิต กุลวงศ์</t>
  </si>
  <si>
    <t>1กว7017</t>
  </si>
  <si>
    <t>1608036</t>
  </si>
  <si>
    <t>อุไร ลีลาศพิศาล</t>
  </si>
  <si>
    <t>ฎศ6762</t>
  </si>
  <si>
    <t>1608037</t>
  </si>
  <si>
    <t>อภิชญา สุขเกิด</t>
  </si>
  <si>
    <t>1กฆ2712</t>
  </si>
  <si>
    <t>1608038</t>
  </si>
  <si>
    <t>ยุทธจักร รักธัญกร</t>
  </si>
  <si>
    <t>ฒผ3703</t>
  </si>
  <si>
    <t>SPACECAB</t>
  </si>
  <si>
    <t>1608039</t>
  </si>
  <si>
    <t>พรพิทักษ์ เชียงใส</t>
  </si>
  <si>
    <t>4กน6228</t>
  </si>
  <si>
    <t>1608040</t>
  </si>
  <si>
    <t>โสภา ปัญญาแก้ว</t>
  </si>
  <si>
    <t>บบ1291</t>
  </si>
  <si>
    <t>1608041</t>
  </si>
  <si>
    <t>ชลารักษ์ ถิรดำรง</t>
  </si>
  <si>
    <t>ฌก41</t>
  </si>
  <si>
    <t>1608042</t>
  </si>
  <si>
    <t>เทอดศักดิ์ ธรรมสอน</t>
  </si>
  <si>
    <t>ฆฉ9616</t>
  </si>
  <si>
    <t>CAPTIVA</t>
  </si>
  <si>
    <t>2+/580000</t>
  </si>
  <si>
    <t>1608043</t>
  </si>
  <si>
    <t>เอกสิทธิ์ อุทัยวัฒน์</t>
  </si>
  <si>
    <t>ญย1972</t>
  </si>
  <si>
    <t>1608044</t>
  </si>
  <si>
    <t>ยุทธนา ภูมิเมฆ</t>
  </si>
  <si>
    <t>1ฒฎ446</t>
  </si>
  <si>
    <t>1608045</t>
  </si>
  <si>
    <t>อังศุธร อึ้งตระกูล</t>
  </si>
  <si>
    <t>กค804</t>
  </si>
  <si>
    <t>1608046</t>
  </si>
  <si>
    <t>สุนันทา พรมมานอก</t>
  </si>
  <si>
    <t>ฒภ9594</t>
  </si>
  <si>
    <t>1608047</t>
  </si>
  <si>
    <t>ณรงค์ จันทร์มั่น</t>
  </si>
  <si>
    <t>บท5897</t>
  </si>
  <si>
    <t>1608048</t>
  </si>
  <si>
    <t>ทรงพล ปริวรรตวิทยา</t>
  </si>
  <si>
    <t>2กญ3218</t>
  </si>
  <si>
    <t>1608049</t>
  </si>
  <si>
    <t>1608050</t>
  </si>
  <si>
    <t>จริยา สงวนญาติ</t>
  </si>
  <si>
    <t>ฎฎ6654</t>
  </si>
  <si>
    <t>1608051</t>
  </si>
  <si>
    <t>สุวัฒน์ กวินภูมิเสถียร</t>
  </si>
  <si>
    <t>1กร6299</t>
  </si>
  <si>
    <t>1608052</t>
  </si>
  <si>
    <t>อรพรรณ์ หลวงอุดม</t>
  </si>
  <si>
    <t>3กผ8703</t>
  </si>
  <si>
    <t>1608053</t>
  </si>
  <si>
    <t>บุษยารัตน์ พิศเพ็ง</t>
  </si>
  <si>
    <t>ชฮ6962</t>
  </si>
  <si>
    <t>1/210000</t>
  </si>
  <si>
    <t>1608054</t>
  </si>
  <si>
    <t>ฐิติกร โฉมงาม</t>
  </si>
  <si>
    <t>ตณ2810</t>
  </si>
  <si>
    <t>1608055</t>
  </si>
  <si>
    <t>ประเทือง บางวิเศษ</t>
  </si>
  <si>
    <t>บพ9877</t>
  </si>
  <si>
    <t>2+/180000</t>
  </si>
  <si>
    <t>1608056</t>
  </si>
  <si>
    <t>อธิษฐาน แก้วถาวร</t>
  </si>
  <si>
    <t>3กล7527</t>
  </si>
  <si>
    <t>1/420000</t>
  </si>
  <si>
    <t>1608057</t>
  </si>
  <si>
    <t>วรพรรณ จันทร์เพ็ง</t>
  </si>
  <si>
    <t>ฌฮ4954</t>
  </si>
  <si>
    <t>CR-V</t>
  </si>
  <si>
    <t>1/580000</t>
  </si>
  <si>
    <t>1608058</t>
  </si>
  <si>
    <t>ภาคภูมิ</t>
  </si>
  <si>
    <t>ฎฉ4345</t>
  </si>
  <si>
    <t>1608059</t>
  </si>
  <si>
    <t>วินัย ศรีนาค</t>
  </si>
  <si>
    <t>บต2999</t>
  </si>
  <si>
    <t>1608060</t>
  </si>
  <si>
    <t>คณิศร จงเจริญไพสิฐ</t>
  </si>
  <si>
    <t>2กฒ8624</t>
  </si>
  <si>
    <t>1/1000000</t>
  </si>
  <si>
    <t>1608061</t>
  </si>
  <si>
    <t>ธันวา พิเคราะห์</t>
  </si>
  <si>
    <t>แบริ่ง</t>
  </si>
  <si>
    <t>ศว3544</t>
  </si>
  <si>
    <t>1608062</t>
  </si>
  <si>
    <t>คำนึง ละมูลมอญ</t>
  </si>
  <si>
    <t>บว3544</t>
  </si>
  <si>
    <t>1/260000</t>
  </si>
  <si>
    <t>1608063</t>
  </si>
  <si>
    <t>วันเพ็ญ จิตรักไทย</t>
  </si>
  <si>
    <t>ดอนเมือง</t>
  </si>
  <si>
    <t>ฆร4635</t>
  </si>
  <si>
    <t>1608064</t>
  </si>
  <si>
    <t>พิมนภัทร์ ศิริคำ</t>
  </si>
  <si>
    <t>ฎค7246</t>
  </si>
  <si>
    <t>1608065</t>
  </si>
  <si>
    <t>ภาคภูมิ วารีดี</t>
  </si>
  <si>
    <t>ฎค9061</t>
  </si>
  <si>
    <t>1608066</t>
  </si>
  <si>
    <t>พลอยไพลิน โอบอ้อม</t>
  </si>
  <si>
    <t>ฎฎ4701</t>
  </si>
  <si>
    <t>1608067</t>
  </si>
  <si>
    <t>ชะลอ เพชรพรมมาศ</t>
  </si>
  <si>
    <t>ฒฒ7922</t>
  </si>
  <si>
    <t>1608068</t>
  </si>
  <si>
    <t>สายพิณ อุปะเก</t>
  </si>
  <si>
    <t>ฆธ5948</t>
  </si>
  <si>
    <t>1608069</t>
  </si>
  <si>
    <t>กริษฐา ธีระยุทธ</t>
  </si>
  <si>
    <t>ถส3669</t>
  </si>
  <si>
    <t>1/430000</t>
  </si>
  <si>
    <t>1608070</t>
  </si>
  <si>
    <t>สมชาย พ่วงกลัด</t>
  </si>
  <si>
    <t>บต2350</t>
  </si>
  <si>
    <t>1608071</t>
  </si>
  <si>
    <t>ยืนยง ดวงขำ</t>
  </si>
  <si>
    <t>ญอ376</t>
  </si>
  <si>
    <t>1608072</t>
  </si>
  <si>
    <t>อนุรัตน์ เกสร</t>
  </si>
  <si>
    <t>ฌจ7073</t>
  </si>
  <si>
    <t>1608073</t>
  </si>
  <si>
    <t>เปรมยุดา คำมะณี</t>
  </si>
  <si>
    <t>พระโขนง</t>
  </si>
  <si>
    <t>ฎร4869</t>
  </si>
  <si>
    <t>1608074</t>
  </si>
  <si>
    <t>อริสา มโนธรรม</t>
  </si>
  <si>
    <t>ญฮ7767</t>
  </si>
  <si>
    <t>PAJERO SPORT</t>
  </si>
  <si>
    <t>1608075</t>
  </si>
  <si>
    <t>สมหมาย ทองอินทร์</t>
  </si>
  <si>
    <t>วม533</t>
  </si>
  <si>
    <t>1608076</t>
  </si>
  <si>
    <t>ชำนาญ นันตะราม</t>
  </si>
  <si>
    <t>ฒถ9795</t>
  </si>
  <si>
    <t>ประเภท 3</t>
  </si>
  <si>
    <t>1608077</t>
  </si>
  <si>
    <t>ชนิตา งามถิ่น</t>
  </si>
  <si>
    <t>ษค8481</t>
  </si>
  <si>
    <t>1608078</t>
  </si>
  <si>
    <t>ว่าที่เรือตรี ชัยธาร ปั้นเลิศ</t>
  </si>
  <si>
    <t>วง5553</t>
  </si>
  <si>
    <t>หน้าหมู</t>
  </si>
  <si>
    <t>1608079</t>
  </si>
  <si>
    <t>นายณรงค์ ศรีมุกข์</t>
  </si>
  <si>
    <t>1ฒญ3628</t>
  </si>
  <si>
    <t>1608080</t>
  </si>
  <si>
    <t>สุมิตร โพธิ์แก้ว</t>
  </si>
  <si>
    <t>ฒส4442</t>
  </si>
  <si>
    <t>1608081</t>
  </si>
  <si>
    <t>สุดใจ กุนรา</t>
  </si>
  <si>
    <t>บท2918</t>
  </si>
  <si>
    <t>1608082</t>
  </si>
  <si>
    <t>ณฐา ปานลภัสอังกูร</t>
  </si>
  <si>
    <t>1กศ9220</t>
  </si>
  <si>
    <t>1608083</t>
  </si>
  <si>
    <t>ยุทธศิลป์ สุขสมทรัพย์</t>
  </si>
  <si>
    <t>ชภ9294</t>
  </si>
  <si>
    <t>1608084</t>
  </si>
  <si>
    <t>คำพอง หลักหาญ</t>
  </si>
  <si>
    <t>ณม5110</t>
  </si>
  <si>
    <t>1608085</t>
  </si>
  <si>
    <t>โสภณ สุทธิสนธิ์</t>
  </si>
  <si>
    <t>ญญ5780</t>
  </si>
  <si>
    <t>LANCER</t>
  </si>
  <si>
    <t>1608086</t>
  </si>
  <si>
    <t>อำพันธ์ ทองสุทธิ์</t>
  </si>
  <si>
    <t>ญห4539</t>
  </si>
  <si>
    <t>1/370000</t>
  </si>
  <si>
    <t>1609001</t>
  </si>
  <si>
    <t>ธวัชเทพ ฤทธิยา</t>
  </si>
  <si>
    <t>ผม8193</t>
  </si>
  <si>
    <t>1609002</t>
  </si>
  <si>
    <t>ปราโมทย์ รัชเดช</t>
  </si>
  <si>
    <t>3กภ1342</t>
  </si>
  <si>
    <t>ACCORD</t>
  </si>
  <si>
    <t>1609003</t>
  </si>
  <si>
    <t>สิทธิชัย พุ่มโมรา</t>
  </si>
  <si>
    <t>ศง7754</t>
  </si>
  <si>
    <t>1609004</t>
  </si>
  <si>
    <t>สนิท คงสุข</t>
  </si>
  <si>
    <t>บท1133</t>
  </si>
  <si>
    <t>1609005</t>
  </si>
  <si>
    <t>วัลลภ อุตสาหะ</t>
  </si>
  <si>
    <t>ชอ8690</t>
  </si>
  <si>
    <t>1609006</t>
  </si>
  <si>
    <t>ภาณุพงศ์ จันทร์ขาว</t>
  </si>
  <si>
    <t>ฒค2960</t>
  </si>
  <si>
    <t>1609007</t>
  </si>
  <si>
    <t>สุปราณี สังข์ลักษณ์</t>
  </si>
  <si>
    <t>2กท2213</t>
  </si>
  <si>
    <t>1609008</t>
  </si>
  <si>
    <t>เอมอร เอกอติคุณ</t>
  </si>
  <si>
    <t>1กอ9592</t>
  </si>
  <si>
    <t>1609009</t>
  </si>
  <si>
    <t>กิตติคุณ ศรีบุญถม</t>
  </si>
  <si>
    <t>บจ6568</t>
  </si>
  <si>
    <t>1609010</t>
  </si>
  <si>
    <t>กำพล สุขปาน</t>
  </si>
  <si>
    <t>ตล8323</t>
  </si>
  <si>
    <t>1/250000</t>
  </si>
  <si>
    <t>1609011</t>
  </si>
  <si>
    <t>วรรณชิต ขาวพุ่ม</t>
  </si>
  <si>
    <t>1กด8381</t>
  </si>
  <si>
    <t>1609012</t>
  </si>
  <si>
    <t>จิรวัฒน์ ปัญญาไว</t>
  </si>
  <si>
    <t>ชศ2726</t>
  </si>
  <si>
    <t>1609013</t>
  </si>
  <si>
    <t>อนัน กันมาลัย</t>
  </si>
  <si>
    <t>ฒณ7792</t>
  </si>
  <si>
    <t>1609014</t>
  </si>
  <si>
    <t>ปรีชา ดอกกระโทก</t>
  </si>
  <si>
    <t>ถพ5325</t>
  </si>
  <si>
    <t>1609015</t>
  </si>
  <si>
    <t>อนุสรณ์ เครืออ้อ</t>
  </si>
  <si>
    <t>ถห7502</t>
  </si>
  <si>
    <t>3/100000</t>
  </si>
  <si>
    <t>1609016</t>
  </si>
  <si>
    <t>สุวรรณี คนตรง</t>
  </si>
  <si>
    <t>บุคคโล</t>
  </si>
  <si>
    <t>ชห3982</t>
  </si>
  <si>
    <t>1609017</t>
  </si>
  <si>
    <t>บริพันธ์ ไทยเย็น</t>
  </si>
  <si>
    <t>1ฒถ6042</t>
  </si>
  <si>
    <t>1609018</t>
  </si>
  <si>
    <t>นิวัฒน์ แก้วกัลยา</t>
  </si>
  <si>
    <t>ญษ3034</t>
  </si>
  <si>
    <t>1609019</t>
  </si>
  <si>
    <t>นุชจรินทร์ คงสมนาม</t>
  </si>
  <si>
    <t>คลองตันเหนือ</t>
  </si>
  <si>
    <t>บบ6353</t>
  </si>
  <si>
    <t>1609020</t>
  </si>
  <si>
    <t>ศุภภรณ์ ศิริพันธ์</t>
  </si>
  <si>
    <t>ฌห4221</t>
  </si>
  <si>
    <t>ไม่มีตารางกรมธรรม์</t>
  </si>
  <si>
    <t>ประเภท 1</t>
  </si>
  <si>
    <t>1609021</t>
  </si>
  <si>
    <t>พุทธวงศ์ ตู้จินดา</t>
  </si>
  <si>
    <t>ชง9491</t>
  </si>
  <si>
    <t>1609022</t>
  </si>
  <si>
    <t>สมชัย ละม่อม</t>
  </si>
  <si>
    <t>ฒก2945</t>
  </si>
  <si>
    <t>2+/360000</t>
  </si>
  <si>
    <t>1609023</t>
  </si>
  <si>
    <t>สกฤษฎ์ ลั่นซ้าย</t>
  </si>
  <si>
    <t>2กฎ7486</t>
  </si>
  <si>
    <t>1609024</t>
  </si>
  <si>
    <t>ระวิ พันธุเสน</t>
  </si>
  <si>
    <t>ภศ5453</t>
  </si>
  <si>
    <t>LEXUS</t>
  </si>
  <si>
    <t>1609025</t>
  </si>
  <si>
    <t>ทองสุข บุญปัญ</t>
  </si>
  <si>
    <t>บท7354</t>
  </si>
  <si>
    <t>ไม่มี พ.ร.บ มา</t>
  </si>
  <si>
    <t>1609026</t>
  </si>
  <si>
    <t>รัตนา เกิดรอด</t>
  </si>
  <si>
    <t>บางพลัด</t>
  </si>
  <si>
    <t>วง8398</t>
  </si>
  <si>
    <t>1609027</t>
  </si>
  <si>
    <t>บุญชนะ โพธิ์ศรี</t>
  </si>
  <si>
    <t>ฒฎ8379</t>
  </si>
  <si>
    <t>1609028</t>
  </si>
  <si>
    <t>สุรินทร์ อินอิว</t>
  </si>
  <si>
    <t>1กม8059</t>
  </si>
  <si>
    <t>1609029</t>
  </si>
  <si>
    <t>อัครวัฒน์ สุขชัยรมย์</t>
  </si>
  <si>
    <t>ฌล507</t>
  </si>
  <si>
    <t>1609030</t>
  </si>
  <si>
    <t>1609031</t>
  </si>
  <si>
    <t>ษิญาภา ชัยกรภากิตติ</t>
  </si>
  <si>
    <t>บางนา</t>
  </si>
  <si>
    <t>ญษ9059</t>
  </si>
  <si>
    <t>X-TRAIL</t>
  </si>
  <si>
    <t>1609032</t>
  </si>
  <si>
    <t>วีระชน ถนอมนาค</t>
  </si>
  <si>
    <t>กท1083</t>
  </si>
  <si>
    <t>1609033</t>
  </si>
  <si>
    <t>กาด แพงเจริญ</t>
  </si>
  <si>
    <t>ฒก2471</t>
  </si>
  <si>
    <t>1609034</t>
  </si>
  <si>
    <t>พชรพล สุขมีทรัพย์สกุล</t>
  </si>
  <si>
    <t>ฆฐ2648</t>
  </si>
  <si>
    <t>1609035</t>
  </si>
  <si>
    <t>ณัฐพล ลมัยพันธ์</t>
  </si>
  <si>
    <t>ตลาดขวัญ</t>
  </si>
  <si>
    <t>1ฒน4947</t>
  </si>
  <si>
    <t>1609036</t>
  </si>
  <si>
    <t>อธิวัฒน์ ผลวาด</t>
  </si>
  <si>
    <t>ฌส2189</t>
  </si>
  <si>
    <t>1609037</t>
  </si>
  <si>
    <t>โสภณ โมบัณดิษฐ์</t>
  </si>
  <si>
    <t>กง3595</t>
  </si>
  <si>
    <t>OTHER</t>
  </si>
  <si>
    <t>1609038</t>
  </si>
  <si>
    <t>วิบูลย์ ไพโรจน์ฤทธิ์</t>
  </si>
  <si>
    <t>ฎจ5578</t>
  </si>
  <si>
    <t>1609039</t>
  </si>
  <si>
    <t>เฉลิมพล โคตรมีสุข</t>
  </si>
  <si>
    <t>1609040</t>
  </si>
  <si>
    <t>ศิรพัชร คงสง</t>
  </si>
  <si>
    <t>ฒผ8874</t>
  </si>
  <si>
    <t>1609041</t>
  </si>
  <si>
    <t>เมืองมล วาระสิทธิ์</t>
  </si>
  <si>
    <t>1ฒต9298</t>
  </si>
  <si>
    <t>1/470000</t>
  </si>
  <si>
    <t>1609042</t>
  </si>
  <si>
    <t>รักษ์ โพธิมาตร</t>
  </si>
  <si>
    <t>1ฒผ547</t>
  </si>
  <si>
    <t>1609043</t>
  </si>
  <si>
    <t>ฐฌะวัฒน์ อัญธนเวโรจน์</t>
  </si>
  <si>
    <t>ชว4001</t>
  </si>
  <si>
    <t>1609044</t>
  </si>
  <si>
    <t>วานิช แสนบุราณ</t>
  </si>
  <si>
    <t>ฒม8636</t>
  </si>
  <si>
    <t>1609045</t>
  </si>
  <si>
    <t>สำอาง พายุพัด</t>
  </si>
  <si>
    <t>ถฎ176</t>
  </si>
  <si>
    <t>1609046</t>
  </si>
  <si>
    <t>มนตรี สันโดด</t>
  </si>
  <si>
    <t>บางด้วน</t>
  </si>
  <si>
    <t>ถน1008</t>
  </si>
  <si>
    <t>2+/270000</t>
  </si>
  <si>
    <t>1609047</t>
  </si>
  <si>
    <t>ปริศนา ครวญหา</t>
  </si>
  <si>
    <t>ถท9566</t>
  </si>
  <si>
    <t>1609048</t>
  </si>
  <si>
    <t>รัฐสิทธิ์ อังกุโร</t>
  </si>
  <si>
    <t>บางเขน</t>
  </si>
  <si>
    <t>ฆฐ1878</t>
  </si>
  <si>
    <t>1609049</t>
  </si>
  <si>
    <t>วิเศษ เงินล้วน</t>
  </si>
  <si>
    <t>1ฒน8489</t>
  </si>
  <si>
    <t>SPSCECAB</t>
  </si>
  <si>
    <t>1/530000</t>
  </si>
  <si>
    <t>1609050</t>
  </si>
  <si>
    <t>รัศมี ลุนสำโรง</t>
  </si>
  <si>
    <t>ฆด8041</t>
  </si>
  <si>
    <t>1609051</t>
  </si>
  <si>
    <t>รัฐพล แสนตลาด</t>
  </si>
  <si>
    <t>ญฌ1201</t>
  </si>
  <si>
    <t>2+300000</t>
  </si>
  <si>
    <t>1609052</t>
  </si>
  <si>
    <t>กนิษฐ์ แซ่ลิ้ม</t>
  </si>
  <si>
    <t>ชธ6202</t>
  </si>
  <si>
    <t>1609053</t>
  </si>
  <si>
    <t>นิคม พรมดี</t>
  </si>
  <si>
    <t>บจ8101</t>
  </si>
  <si>
    <t>1609054</t>
  </si>
  <si>
    <t>สุมิตรา เซี่ยงจง</t>
  </si>
  <si>
    <t>บางกะปิ</t>
  </si>
  <si>
    <t>1กฎ5737</t>
  </si>
  <si>
    <t>1609055</t>
  </si>
  <si>
    <t>อำพร จำปาเกตุ</t>
  </si>
  <si>
    <t>ฒษ2411</t>
  </si>
  <si>
    <t>1609056</t>
  </si>
  <si>
    <t>นพพล แต่งตั้ง</t>
  </si>
  <si>
    <t>3กร9377</t>
  </si>
  <si>
    <t>1609057</t>
  </si>
  <si>
    <t>กิตติ ธนพันธ์สกุล</t>
  </si>
  <si>
    <t>ฌผ2181</t>
  </si>
  <si>
    <t>1/340000</t>
  </si>
  <si>
    <t>1609058</t>
  </si>
  <si>
    <t>สุทน แสมกระโทก</t>
  </si>
  <si>
    <t>ฎบ9680</t>
  </si>
  <si>
    <t>1609059</t>
  </si>
  <si>
    <t>นัฐชา แก้วงาม</t>
  </si>
  <si>
    <t>กท3955</t>
  </si>
  <si>
    <t>SAVVY</t>
  </si>
  <si>
    <t>1609060</t>
  </si>
  <si>
    <t>อัมรินทร์ เพชรแก้ว</t>
  </si>
  <si>
    <t>กจ9836</t>
  </si>
  <si>
    <t>3/120000</t>
  </si>
  <si>
    <t>1609061</t>
  </si>
  <si>
    <t>นะกูล แซ่ซิ้ม</t>
  </si>
  <si>
    <t>ฒษ6987</t>
  </si>
  <si>
    <t>1609062</t>
  </si>
  <si>
    <t>อรรถสิทธิ์ ภูมิศรีเกียรติ</t>
  </si>
  <si>
    <t>บางโปรง</t>
  </si>
  <si>
    <t>ฆม8773</t>
  </si>
  <si>
    <t>1609063</t>
  </si>
  <si>
    <t>บุปผา จูมั่น</t>
  </si>
  <si>
    <t>2กญ4610</t>
  </si>
  <si>
    <t>1609064</t>
  </si>
  <si>
    <t>ภพ เหลือกาฬ</t>
  </si>
  <si>
    <t>ฆง1162</t>
  </si>
  <si>
    <t>1609065</t>
  </si>
  <si>
    <t>ทวีวัฒย์ ดวงใจ</t>
  </si>
  <si>
    <t>ฎอ8309</t>
  </si>
  <si>
    <t>1609066</t>
  </si>
  <si>
    <t>สายันต์ แย้มพราย</t>
  </si>
  <si>
    <t>ษน5256</t>
  </si>
  <si>
    <t>1609067</t>
  </si>
  <si>
    <t>พิเศก บุญริ้ว</t>
  </si>
  <si>
    <t>ฆธ4042</t>
  </si>
  <si>
    <t>1609068</t>
  </si>
  <si>
    <t>ปิ่น สุคำภา</t>
  </si>
  <si>
    <t>ฆม4893</t>
  </si>
  <si>
    <t>1609069</t>
  </si>
  <si>
    <t>ภุชงค์ นาคเกิด</t>
  </si>
  <si>
    <t>บางบ่อ</t>
  </si>
  <si>
    <t>1กต8562</t>
  </si>
  <si>
    <t>1609070</t>
  </si>
  <si>
    <t>นิตยา เล่าใจ</t>
  </si>
  <si>
    <t>ตว957</t>
  </si>
  <si>
    <t>1609071</t>
  </si>
  <si>
    <t>จงรัก โพธิสิทธิ์</t>
  </si>
  <si>
    <t>ศร8879</t>
  </si>
  <si>
    <t>NEW LANCER</t>
  </si>
  <si>
    <t>1609072</t>
  </si>
  <si>
    <t>พินท์นภัส เนตรภักดี</t>
  </si>
  <si>
    <t>ฆษ7680</t>
  </si>
  <si>
    <t>ไม่มีกรมธรรม์</t>
  </si>
  <si>
    <t>1609073</t>
  </si>
  <si>
    <t>นชกานต์ กมลรัตน์</t>
  </si>
  <si>
    <t>4กฆ7376</t>
  </si>
  <si>
    <t>ATTRAGE</t>
  </si>
  <si>
    <t>1609074</t>
  </si>
  <si>
    <t>สาคร บัวบุญ</t>
  </si>
  <si>
    <t>ฒช5647</t>
  </si>
  <si>
    <t>2+/320000</t>
  </si>
  <si>
    <t>1609075</t>
  </si>
  <si>
    <t>ประเสริฐผล ปลูกพันธ์</t>
  </si>
  <si>
    <t>1กล8866</t>
  </si>
  <si>
    <t>1609076</t>
  </si>
  <si>
    <t>สุวนันท์ สุทธิประภา</t>
  </si>
  <si>
    <t>ฎน746</t>
  </si>
  <si>
    <t>1610001</t>
  </si>
  <si>
    <t>สุรินทร์ เจริญศรีทวีชัย</t>
  </si>
  <si>
    <t>บางบอน</t>
  </si>
  <si>
    <t>ตส7857</t>
  </si>
  <si>
    <t>ไม่มีตารางกรมธรรท์</t>
  </si>
  <si>
    <t>1610002</t>
  </si>
  <si>
    <t>สมเชาว์ สมพร</t>
  </si>
  <si>
    <t>ฌฐ3436</t>
  </si>
  <si>
    <t>1/630000</t>
  </si>
  <si>
    <t>1610003</t>
  </si>
  <si>
    <t>วิศาล จันทวงษ์</t>
  </si>
  <si>
    <t>ปน3497</t>
  </si>
  <si>
    <t>1610004</t>
  </si>
  <si>
    <t>จักรพงษ์ คำสันเทียะ</t>
  </si>
  <si>
    <t>1กฌ5844</t>
  </si>
  <si>
    <t>1610005</t>
  </si>
  <si>
    <t>ญาณวดี ชอบมาก</t>
  </si>
  <si>
    <t>02-733-9322-23</t>
  </si>
  <si>
    <t>สช3292</t>
  </si>
  <si>
    <t>MU-7</t>
  </si>
  <si>
    <t>1610006</t>
  </si>
  <si>
    <t>วิสูตร ยอดสุข</t>
  </si>
  <si>
    <t>ฌธ3241</t>
  </si>
  <si>
    <t>1610007</t>
  </si>
  <si>
    <t>อรษา ทิพย์พิมล</t>
  </si>
  <si>
    <t>ฆก5185</t>
  </si>
  <si>
    <t>1610008</t>
  </si>
  <si>
    <t>อนุชิต</t>
  </si>
  <si>
    <t>ผพ8978</t>
  </si>
  <si>
    <t>1610009</t>
  </si>
  <si>
    <t>นภัทร เสือสาวะถี่</t>
  </si>
  <si>
    <t>ศต769</t>
  </si>
  <si>
    <t>1610010</t>
  </si>
  <si>
    <t>โกวิท จันทร์เม้า</t>
  </si>
  <si>
    <t>ฏร2124</t>
  </si>
  <si>
    <t>1610011</t>
  </si>
  <si>
    <t>สมชาย ย่ามเรือนทอง</t>
  </si>
  <si>
    <t>บร2210</t>
  </si>
  <si>
    <t>3+/100000</t>
  </si>
  <si>
    <t>1610012</t>
  </si>
  <si>
    <t>เฉลิมพร ตั้งกิตติรุ่งเรือง</t>
  </si>
  <si>
    <t>ฌส9115</t>
  </si>
  <si>
    <t>1610013</t>
  </si>
  <si>
    <t>อานนท์ ชัยวร</t>
  </si>
  <si>
    <t>ชลบุรี</t>
  </si>
  <si>
    <t>ผข4286</t>
  </si>
  <si>
    <t>1610014</t>
  </si>
  <si>
    <t>พรพรรณ ศรีคง</t>
  </si>
  <si>
    <t>1ถล7715</t>
  </si>
  <si>
    <t>1610015</t>
  </si>
  <si>
    <t>มนเฑียร เพ็งจันทร์ดี</t>
  </si>
  <si>
    <t>บางแค</t>
  </si>
  <si>
    <t>ฒฉ483</t>
  </si>
  <si>
    <t>1610016</t>
  </si>
  <si>
    <t>ทัศษุระ ยศปัญญา</t>
  </si>
  <si>
    <t>1610017</t>
  </si>
  <si>
    <t>โกศล ตังคะพิภพ</t>
  </si>
  <si>
    <t>บางแก้ว</t>
  </si>
  <si>
    <t>ศฐ2691</t>
  </si>
  <si>
    <t>OPTRA</t>
  </si>
  <si>
    <t>1610018</t>
  </si>
  <si>
    <t>ทองศรี ชาญเทศน์</t>
  </si>
  <si>
    <t>ญห3178</t>
  </si>
  <si>
    <t>3/200000</t>
  </si>
  <si>
    <t>1610019</t>
  </si>
  <si>
    <t>จตุพร เรียงแก้ว</t>
  </si>
  <si>
    <t>สุขุมวิท</t>
  </si>
  <si>
    <t>1กฒ692</t>
  </si>
  <si>
    <t>1/620000</t>
  </si>
  <si>
    <t>1610020</t>
  </si>
  <si>
    <t>สำราญ ฟักสกุล</t>
  </si>
  <si>
    <t>ตษ1436</t>
  </si>
  <si>
    <t>1610021</t>
  </si>
  <si>
    <t>นารีลักษณ์ มงคลศิริกูล</t>
  </si>
  <si>
    <t>ฌถ2903</t>
  </si>
  <si>
    <t>1610022</t>
  </si>
  <si>
    <t>ธีรยุทธ ศรีรินทร์</t>
  </si>
  <si>
    <t>ฌษ9956</t>
  </si>
  <si>
    <t>1/190000</t>
  </si>
  <si>
    <t>1610023</t>
  </si>
  <si>
    <t>เปรมินทร์ ครุฑจันทร์</t>
  </si>
  <si>
    <t>ญฉ5615</t>
  </si>
  <si>
    <t>1610024</t>
  </si>
  <si>
    <t>สมนึก คุ้มไพรันต์</t>
  </si>
  <si>
    <t>ฎย5306</t>
  </si>
  <si>
    <t>1610025</t>
  </si>
  <si>
    <t>SEUNG HYUN</t>
  </si>
  <si>
    <t>5กน1670</t>
  </si>
  <si>
    <t>HR-V</t>
  </si>
  <si>
    <t>1610026</t>
  </si>
  <si>
    <t>วิเชียร คงสมมนต์</t>
  </si>
  <si>
    <t>4กธ6926</t>
  </si>
  <si>
    <t>1610027</t>
  </si>
  <si>
    <t>นพพร เบ้ตระกูล</t>
  </si>
  <si>
    <t>ตง5381</t>
  </si>
  <si>
    <t>1610028</t>
  </si>
  <si>
    <t>วิบูรณ์ชัย ไชยสนาม</t>
  </si>
  <si>
    <t>ฒง2570</t>
  </si>
  <si>
    <t>SPARK</t>
  </si>
  <si>
    <t>1610029</t>
  </si>
  <si>
    <t>สุบิน บัวศรี</t>
  </si>
  <si>
    <t>บางอ้อ</t>
  </si>
  <si>
    <t>ขย2766</t>
  </si>
  <si>
    <t>1610030</t>
  </si>
  <si>
    <t>อรพรรณ อิรวดีกุล</t>
  </si>
  <si>
    <t>3กถ8042</t>
  </si>
  <si>
    <t>1610031</t>
  </si>
  <si>
    <t>อรุณ จันทา</t>
  </si>
  <si>
    <t>ชษ9406</t>
  </si>
  <si>
    <t>1610032</t>
  </si>
  <si>
    <t>บุญมา เนียมนิยม</t>
  </si>
  <si>
    <t>1ฒบ6894</t>
  </si>
  <si>
    <t>3/300000</t>
  </si>
  <si>
    <t>1610033</t>
  </si>
  <si>
    <t>พรปวีณ์ แซ่ลื่ม</t>
  </si>
  <si>
    <t>1กจ9300</t>
  </si>
  <si>
    <t>1610034</t>
  </si>
  <si>
    <t>ธงชัย ก้อนทอง</t>
  </si>
  <si>
    <t>ฒง775</t>
  </si>
  <si>
    <t>1610035</t>
  </si>
  <si>
    <t>สนั่น อุ่นเพ็ง</t>
  </si>
  <si>
    <t>1ฒณ2181</t>
  </si>
  <si>
    <t>1610036</t>
  </si>
  <si>
    <t>ทิวา ปวงสันเทียะ</t>
  </si>
  <si>
    <t>ณต7883</t>
  </si>
  <si>
    <t>ประวัติลูกค้า</t>
  </si>
  <si>
    <t>วันที่เข้า</t>
  </si>
  <si>
    <t>วันที่นัดรับ</t>
  </si>
  <si>
    <t>วันที่ออก</t>
  </si>
  <si>
    <t>ประเภท</t>
  </si>
  <si>
    <t>ข้อมูลลูกค้า</t>
  </si>
  <si>
    <t>ข้อมูลรถ</t>
  </si>
  <si>
    <t>ปี</t>
  </si>
  <si>
    <t>กธ หมดอายุ</t>
  </si>
  <si>
    <t>ประเภท/ทุน</t>
  </si>
  <si>
    <t>ข้อมูลค้นหา</t>
  </si>
  <si>
    <t>เลขที่:</t>
  </si>
  <si>
    <t>ฆฌ976</t>
  </si>
  <si>
    <t>1610037</t>
  </si>
  <si>
    <t>สุพรรณี แร่สันเทียะ</t>
  </si>
  <si>
    <t>ญถ4372</t>
  </si>
  <si>
    <t>1610038</t>
  </si>
  <si>
    <t>วโรดม ธรรมโภคิน</t>
  </si>
  <si>
    <t>4กล1889</t>
  </si>
  <si>
    <t>CEEIRO</t>
  </si>
  <si>
    <t>1610039</t>
  </si>
  <si>
    <t>สมพงษ์ กางด้วง</t>
  </si>
  <si>
    <t>ฒอ2812</t>
  </si>
  <si>
    <t>1610040</t>
  </si>
  <si>
    <t>สมควร ลาวรรณ</t>
  </si>
  <si>
    <t>ฆถ7519</t>
  </si>
  <si>
    <t>1610041</t>
  </si>
  <si>
    <t>ธนภัทร สิงห์คำ</t>
  </si>
  <si>
    <t>ศล1252</t>
  </si>
  <si>
    <t>1610042</t>
  </si>
  <si>
    <t>นัฐพล สวาสดี</t>
  </si>
  <si>
    <t>2กจ3294</t>
  </si>
  <si>
    <t>1610043</t>
  </si>
  <si>
    <t>ศิริกาญจน์ ศรีสุขโข</t>
  </si>
  <si>
    <t>1610044</t>
  </si>
  <si>
    <t>อัจฉริยาพร เลิสเสรี</t>
  </si>
  <si>
    <t>ฌศ992</t>
  </si>
  <si>
    <t>1610045</t>
  </si>
  <si>
    <t>ธรรม์ แดงท่าขาม</t>
  </si>
  <si>
    <t>ฒฎ8227</t>
  </si>
  <si>
    <t>1610046</t>
  </si>
  <si>
    <t>ศิริวรรณ ชะเอมพงศ์</t>
  </si>
  <si>
    <t>4กจ3890</t>
  </si>
  <si>
    <t>SWITF</t>
  </si>
  <si>
    <t>1610047</t>
  </si>
  <si>
    <t>มาลา ดาบชัย</t>
  </si>
  <si>
    <t>ถห309</t>
  </si>
  <si>
    <t>1610048</t>
  </si>
  <si>
    <t>ประทุม ทิมทอง</t>
  </si>
  <si>
    <t>ลว2701</t>
  </si>
  <si>
    <t>1/130000</t>
  </si>
  <si>
    <t>1610049</t>
  </si>
  <si>
    <t>อรุณรุ่ง พึ่งร่วมกลาง</t>
  </si>
  <si>
    <t>ญว1785</t>
  </si>
  <si>
    <t>1610050</t>
  </si>
  <si>
    <t>สวัสดิ์ นิยมคุณ</t>
  </si>
  <si>
    <t>แหลมฟ้าผ่า</t>
  </si>
  <si>
    <t>ฆฐ8940</t>
  </si>
  <si>
    <t>1610051</t>
  </si>
  <si>
    <t>ไพจิตร วิลาศรี</t>
  </si>
  <si>
    <t>ฎฬ6554</t>
  </si>
  <si>
    <t>1610052</t>
  </si>
  <si>
    <t>ไพสาร กังวลทรัพย์</t>
  </si>
  <si>
    <t>ฒผ7693</t>
  </si>
  <si>
    <t>3/150000</t>
  </si>
  <si>
    <t>1610053</t>
  </si>
  <si>
    <t>จิระ ปัญญา</t>
  </si>
  <si>
    <t>บธ853</t>
  </si>
  <si>
    <t>1610054</t>
  </si>
  <si>
    <t>จิรพงษ์ จิตรสมควร</t>
  </si>
  <si>
    <t>นาเกลือ</t>
  </si>
  <si>
    <t>ฆถ6018</t>
  </si>
  <si>
    <t>1610055</t>
  </si>
  <si>
    <t>ศศิมา ทรัพย์สมบุญ</t>
  </si>
  <si>
    <t>ชษ9803</t>
  </si>
  <si>
    <t>TOYITA</t>
  </si>
  <si>
    <t>1610056</t>
  </si>
  <si>
    <t>สันติ จิตเรือ</t>
  </si>
  <si>
    <t>1ฒก9162</t>
  </si>
  <si>
    <t>1610057</t>
  </si>
  <si>
    <t>พิรัตน์ ทั่งเชียงใหม่</t>
  </si>
  <si>
    <t>ฌช8836</t>
  </si>
  <si>
    <t>1610058</t>
  </si>
  <si>
    <t>วิฑูรย์ บำเพ็ญทาน</t>
  </si>
  <si>
    <t>ฒก1193</t>
  </si>
  <si>
    <t>1610059</t>
  </si>
  <si>
    <t>คมกริช สิมลี</t>
  </si>
  <si>
    <t>4กล2217</t>
  </si>
  <si>
    <t>1610060</t>
  </si>
  <si>
    <t>ฐากร โลหะนันทชัย</t>
  </si>
  <si>
    <t>ฆร6541</t>
  </si>
  <si>
    <t>1610061</t>
  </si>
  <si>
    <t>สมพร สุดใจ</t>
  </si>
  <si>
    <t>บจ4664</t>
  </si>
  <si>
    <t>1610062</t>
  </si>
  <si>
    <t>ปวีร์ อัคราธิมากร</t>
  </si>
  <si>
    <t>ฌธ6832</t>
  </si>
  <si>
    <t>1610063</t>
  </si>
  <si>
    <t>คอลงด่าน</t>
  </si>
  <si>
    <t>1610064</t>
  </si>
  <si>
    <t>เสาวลักษณ์ พันธุเจริญศรี</t>
  </si>
  <si>
    <t>ฏป7190</t>
  </si>
  <si>
    <t>1610065</t>
  </si>
  <si>
    <t>ภวริศา บรรพสุข</t>
  </si>
  <si>
    <t>แสมดำ</t>
  </si>
  <si>
    <t>2กฆ2242</t>
  </si>
  <si>
    <t>BRIO AMAZE</t>
  </si>
  <si>
    <t>1610066</t>
  </si>
  <si>
    <t>เสาวลักษณ์ ศรีสุขา</t>
  </si>
  <si>
    <t>2กด309</t>
  </si>
  <si>
    <t>1610067</t>
  </si>
  <si>
    <t>นพรัตน์</t>
  </si>
  <si>
    <t>นง234</t>
  </si>
  <si>
    <t>1610068</t>
  </si>
  <si>
    <t>1610069</t>
  </si>
  <si>
    <t>เสกสรร บุญเรือง</t>
  </si>
  <si>
    <t>ศค6230</t>
  </si>
  <si>
    <t>2+/150000</t>
  </si>
  <si>
    <t>1610070</t>
  </si>
  <si>
    <t>ภูวดล มะลิสะ</t>
  </si>
  <si>
    <t>1610071</t>
  </si>
  <si>
    <t>ธัญญา ช่วยประสิทธิ์</t>
  </si>
  <si>
    <t>4กฐ7569</t>
  </si>
  <si>
    <t>1610072</t>
  </si>
  <si>
    <t>รุ่งไพลิน จันทนา</t>
  </si>
  <si>
    <t>1ฒค1442</t>
  </si>
  <si>
    <t>1611001</t>
  </si>
  <si>
    <t>มานพ ชุ่มแน่น</t>
  </si>
  <si>
    <t>ถฐ9308</t>
  </si>
  <si>
    <t>1611002</t>
  </si>
  <si>
    <t>ณรงค์ แซ่ซื้อ</t>
  </si>
  <si>
    <t>สีลม</t>
  </si>
  <si>
    <t>ผล1299</t>
  </si>
  <si>
    <t>1611003</t>
  </si>
  <si>
    <t>สารินทร์ อาทิตย์อุทัย</t>
  </si>
  <si>
    <t>1ฒธ817</t>
  </si>
  <si>
    <t>1611004</t>
  </si>
  <si>
    <t>จิรวัฒน์ หวานใจ</t>
  </si>
  <si>
    <t>บต2260</t>
  </si>
  <si>
    <t>1611005</t>
  </si>
  <si>
    <t>จุรีวรรณ แววเพ็ชร</t>
  </si>
  <si>
    <t>บางจาก</t>
  </si>
  <si>
    <t>สท3986</t>
  </si>
  <si>
    <t>1611006</t>
  </si>
  <si>
    <t>เฑียรวิภา สุขโชติ</t>
  </si>
  <si>
    <t>1กภ1714</t>
  </si>
  <si>
    <t>1/850000</t>
  </si>
  <si>
    <t>1611007</t>
  </si>
  <si>
    <t>ศุภรักษ์ โพธิ์ศรี</t>
  </si>
  <si>
    <t>สามพราน</t>
  </si>
  <si>
    <t>ฎถ4546</t>
  </si>
  <si>
    <t>1/440000</t>
  </si>
  <si>
    <t>1611008</t>
  </si>
  <si>
    <t xml:space="preserve">กฤช ภูติธนารักษ์ </t>
  </si>
  <si>
    <t>1ฒจ406</t>
  </si>
  <si>
    <t>1611009</t>
  </si>
  <si>
    <t>เตือนใจ พงษ์ไพบูลย์</t>
  </si>
  <si>
    <t>2กก9537</t>
  </si>
  <si>
    <t>1611010</t>
  </si>
  <si>
    <t>สุพจน์ เจียระวงศ์</t>
  </si>
  <si>
    <t>ถย1809</t>
  </si>
  <si>
    <t>1611011</t>
  </si>
  <si>
    <t>โสภณ แสงสาคร</t>
  </si>
  <si>
    <t>ณอ2129</t>
  </si>
  <si>
    <t>SLX</t>
  </si>
  <si>
    <t>1611012</t>
  </si>
  <si>
    <t>มนตรี ยอดจันทร์</t>
  </si>
  <si>
    <t>ฒข4989</t>
  </si>
  <si>
    <t>1611013</t>
  </si>
  <si>
    <t>ชานนท์ อภินันท์วิริยะชัย</t>
  </si>
  <si>
    <t>ชป8452</t>
  </si>
  <si>
    <t>1611014</t>
  </si>
  <si>
    <t>ณพเวศย์ จตุพรชัยกุล</t>
  </si>
  <si>
    <t>ฏฐ8725</t>
  </si>
  <si>
    <t>NEW CITY</t>
  </si>
  <si>
    <t>1611015</t>
  </si>
  <si>
    <t>ปฐมพร สุวรรณโอฬาร</t>
  </si>
  <si>
    <t>ญษ9225</t>
  </si>
  <si>
    <t>1611016</t>
  </si>
  <si>
    <t>อำนาจ พิมพา</t>
  </si>
  <si>
    <t>ถฎ3802</t>
  </si>
  <si>
    <t>1611017</t>
  </si>
  <si>
    <t>จักรกฤช ราษฎร์พิภพ</t>
  </si>
  <si>
    <t>ตฐ6506</t>
  </si>
  <si>
    <t>1611018</t>
  </si>
  <si>
    <t>สมนึก จวนจร</t>
  </si>
  <si>
    <t>บฉ6823</t>
  </si>
  <si>
    <t>1611019</t>
  </si>
  <si>
    <t>อนุรักษ์ อรุณภักดี</t>
  </si>
  <si>
    <t>ฆณ4133</t>
  </si>
  <si>
    <t>1611020</t>
  </si>
  <si>
    <t>นภดล ปานโพธิ์ศรี</t>
  </si>
  <si>
    <t>ศร9401</t>
  </si>
  <si>
    <t>1611021</t>
  </si>
  <si>
    <t>มนูญ พรหมศร</t>
  </si>
  <si>
    <t>3กฐ8593</t>
  </si>
  <si>
    <t>ไม่มีประกัน</t>
  </si>
  <si>
    <t>1611022</t>
  </si>
  <si>
    <t>สุภาพรรณ แสนสมบูรณ์</t>
  </si>
  <si>
    <t>สห4188</t>
  </si>
  <si>
    <t>1611023</t>
  </si>
  <si>
    <t>กุลธิดา สุวินทรากร</t>
  </si>
  <si>
    <t>บ้านกุ่ม</t>
  </si>
  <si>
    <t>3กอ2640</t>
  </si>
  <si>
    <t>1611024</t>
  </si>
  <si>
    <t>อื่นๆ</t>
  </si>
  <si>
    <t>มงคล สิงขรณ์</t>
  </si>
  <si>
    <t>บฉ2272</t>
  </si>
  <si>
    <t>1611025</t>
  </si>
  <si>
    <t>กัญญาณัฐ ภูขันเงิน</t>
  </si>
  <si>
    <t>ฆค3065</t>
  </si>
  <si>
    <t>1611026</t>
  </si>
  <si>
    <t>ชนัณธร อันทะโคตร</t>
  </si>
  <si>
    <t>ญฐ7563</t>
  </si>
  <si>
    <t>1611027</t>
  </si>
  <si>
    <t>สมศักดิ์ หน่อวงค์</t>
  </si>
  <si>
    <t>ชต7011</t>
  </si>
  <si>
    <t>B M W</t>
  </si>
  <si>
    <t>525I</t>
  </si>
  <si>
    <t>1611028</t>
  </si>
  <si>
    <t>วิชัย พลพิมาย</t>
  </si>
  <si>
    <t>ชจ7513</t>
  </si>
  <si>
    <t>1611029</t>
  </si>
  <si>
    <t>อนุวัตร เจือจันทร์</t>
  </si>
  <si>
    <t>1ฒถ3618</t>
  </si>
  <si>
    <t>1611030</t>
  </si>
  <si>
    <t>ยิ่งยศ สันติศิระกุล</t>
  </si>
  <si>
    <t>ฒพ934</t>
  </si>
  <si>
    <t>1611031</t>
  </si>
  <si>
    <t>สมพร น้ำทรัพย์</t>
  </si>
  <si>
    <t>ฎบ2237</t>
  </si>
  <si>
    <t>1611032</t>
  </si>
  <si>
    <t>สุรัตน์ สุวรรณเพ็ง</t>
  </si>
  <si>
    <t>1611033</t>
  </si>
  <si>
    <t>สรศักดิ์ ลิ้มเจียมรังษี</t>
  </si>
  <si>
    <t>3กล1393</t>
  </si>
  <si>
    <t>1611034</t>
  </si>
  <si>
    <t>ธนวัฒน์ เจียรอุดมทรัพย์</t>
  </si>
  <si>
    <t>ราชาเทะว</t>
  </si>
  <si>
    <t>1611035</t>
  </si>
  <si>
    <t>อุทัย มะลิเลิศ</t>
  </si>
  <si>
    <t>3กฬ4180</t>
  </si>
  <si>
    <t>1611036</t>
  </si>
  <si>
    <t>เลิศ กมลพันธ์</t>
  </si>
  <si>
    <t>ญบ7088</t>
  </si>
  <si>
    <t>1611037</t>
  </si>
  <si>
    <t>อุดมพร ต้นสมบัติ</t>
  </si>
  <si>
    <t>ตฎ2095</t>
  </si>
  <si>
    <t>ใม่มีกรมธรรม์</t>
  </si>
  <si>
    <t>1611038</t>
  </si>
  <si>
    <t>ประวิทย์ การด</t>
  </si>
  <si>
    <t>ฌห7145</t>
  </si>
  <si>
    <t>1611039</t>
  </si>
  <si>
    <t>สำราญ แสงชัยไพศาล</t>
  </si>
  <si>
    <t>ชถ6352</t>
  </si>
  <si>
    <t>1611040</t>
  </si>
  <si>
    <t>ปริญธิดา สุทธิชาติ</t>
  </si>
  <si>
    <t>ฌพ541</t>
  </si>
  <si>
    <t>1611041</t>
  </si>
  <si>
    <t>วรพจน์ สิริวัฒน์</t>
  </si>
  <si>
    <t>ฮจ8234</t>
  </si>
  <si>
    <t>COMMUTER</t>
  </si>
  <si>
    <t>1611042</t>
  </si>
  <si>
    <t>สิงหา ชนประเสริฐ</t>
  </si>
  <si>
    <t>1กญ7104</t>
  </si>
  <si>
    <t>1611043</t>
  </si>
  <si>
    <t>พันธิพา พรมแก้ว</t>
  </si>
  <si>
    <t>ฒผ8704</t>
  </si>
  <si>
    <t>CARRY</t>
  </si>
  <si>
    <t>ฒน1387</t>
  </si>
  <si>
    <t>1611044</t>
  </si>
  <si>
    <t>อังคณา ราชปัญญา</t>
  </si>
  <si>
    <t>ถฉ6711</t>
  </si>
  <si>
    <t>1611045</t>
  </si>
  <si>
    <t>อาทิตย์ ไวนุขัน</t>
  </si>
  <si>
    <t>2กช9411</t>
  </si>
  <si>
    <t>1611046</t>
  </si>
  <si>
    <t>ประนอม ส่งกลิ่นจันทร์</t>
  </si>
  <si>
    <t>ถฮ764</t>
  </si>
  <si>
    <t>1611047</t>
  </si>
  <si>
    <t>อัทชัย สุภาษิต</t>
  </si>
  <si>
    <t>ฒญ4290</t>
  </si>
  <si>
    <t>2+/340000</t>
  </si>
  <si>
    <t>1611048</t>
  </si>
  <si>
    <t>ธีระวัตน์ พรมยะ</t>
  </si>
  <si>
    <t>3กษ2123</t>
  </si>
  <si>
    <t>1611049</t>
  </si>
  <si>
    <t>วันเพ็ญ ตันติกุล</t>
  </si>
  <si>
    <t>ฌพ6455</t>
  </si>
  <si>
    <t>1611050</t>
  </si>
  <si>
    <t>สนอง อนุสิทธิ์</t>
  </si>
  <si>
    <t>กค7828</t>
  </si>
  <si>
    <t>1611051</t>
  </si>
  <si>
    <t>อนุชา ศรีเดช</t>
  </si>
  <si>
    <t>ถฎ2532</t>
  </si>
  <si>
    <t>1612001</t>
  </si>
  <si>
    <t>กานต์ สงวนพจน์</t>
  </si>
  <si>
    <t>4กศ7144</t>
  </si>
  <si>
    <t>1612002</t>
  </si>
  <si>
    <t>สิทธิรักษ์ สิทธิ์พฒนชัย</t>
  </si>
  <si>
    <t>ญฒ6732</t>
  </si>
  <si>
    <t>1/730000</t>
  </si>
  <si>
    <t>1612003</t>
  </si>
  <si>
    <t>สีเทา ชัยโยกุล</t>
  </si>
  <si>
    <t>บางปูหม่</t>
  </si>
  <si>
    <t>ถล8994</t>
  </si>
  <si>
    <t>2+/370000</t>
  </si>
  <si>
    <t>1612004</t>
  </si>
  <si>
    <t>ปุณยนุช สุขสมแดน</t>
  </si>
  <si>
    <t>2กธ4613</t>
  </si>
  <si>
    <t>1612005</t>
  </si>
  <si>
    <t>คมสัน แก้วศรีทอง</t>
  </si>
  <si>
    <t>ฎบ9705</t>
  </si>
  <si>
    <t>1612006</t>
  </si>
  <si>
    <t>ตระกูล สร้อยจิต</t>
  </si>
  <si>
    <t>กท2312</t>
  </si>
  <si>
    <t>1612007</t>
  </si>
  <si>
    <t>ไพฑูรย์ แสนนางชน</t>
  </si>
  <si>
    <t>ตส5776</t>
  </si>
  <si>
    <t>1612008</t>
  </si>
  <si>
    <t>สมใจ วิระศรี</t>
  </si>
  <si>
    <t>ฮพ1145</t>
  </si>
  <si>
    <t>HYUNDAI</t>
  </si>
  <si>
    <t>H.1</t>
  </si>
  <si>
    <t>1612009</t>
  </si>
  <si>
    <t>บุตรี มีประเสริฐ</t>
  </si>
  <si>
    <t>1กญ6119</t>
  </si>
  <si>
    <t>1612010</t>
  </si>
  <si>
    <t>สมชาย กาบทอง</t>
  </si>
  <si>
    <t>1ฒภ7990</t>
  </si>
  <si>
    <t>1612011</t>
  </si>
  <si>
    <t>เสมียน นาหล่อง</t>
  </si>
  <si>
    <t>ฒผ7994</t>
  </si>
  <si>
    <t>1612012</t>
  </si>
  <si>
    <t>สุจินดา ด้วงทรง</t>
  </si>
  <si>
    <t>ณย4951</t>
  </si>
  <si>
    <t>1612013</t>
  </si>
  <si>
    <t>ภูวนาท สุขประเสริฐ</t>
  </si>
  <si>
    <t>ฎม5907</t>
  </si>
  <si>
    <t>1612014</t>
  </si>
  <si>
    <t>พงษ์พัฒน์ สีมันตะ</t>
  </si>
  <si>
    <t>บางโพงพาง</t>
  </si>
  <si>
    <t>2กค4169</t>
  </si>
  <si>
    <t>1612015</t>
  </si>
  <si>
    <t>ณัฐวุฒิ แกมนาค</t>
  </si>
  <si>
    <t>2กญ6637</t>
  </si>
  <si>
    <t>1612016</t>
  </si>
  <si>
    <t>ฐากร ศิรภากรณ์</t>
  </si>
  <si>
    <t>ฎส6315</t>
  </si>
  <si>
    <t>1612017</t>
  </si>
  <si>
    <t>นายกิตติมศักดิ์ ตันตระกูล</t>
  </si>
  <si>
    <t>53/1 หมู่1 ต.ทุ่งยั้ง อ.ลับแล</t>
  </si>
  <si>
    <t>กต6564</t>
  </si>
  <si>
    <t>เกียรติศักดิ์ ก๋ารินทร์</t>
  </si>
  <si>
    <t>ชต5641</t>
  </si>
  <si>
    <t>นิชภา นาคสมบูรณ์</t>
  </si>
  <si>
    <t>4กธ3446</t>
  </si>
  <si>
    <t>มณีกานต์ สุทโท</t>
  </si>
  <si>
    <t>ถง846</t>
  </si>
  <si>
    <t>ภูดิศ จตุสิทธางกูรณ์</t>
  </si>
  <si>
    <t>1กศ5076</t>
  </si>
  <si>
    <t>1กร 6299</t>
  </si>
  <si>
    <t>อภิสิทธิ์ วณิชยธร</t>
  </si>
  <si>
    <t>ชช5609</t>
  </si>
  <si>
    <t>แวนชัย พรมคำบุตร</t>
  </si>
  <si>
    <t>ญว6994</t>
  </si>
  <si>
    <t>ref.no</t>
  </si>
  <si>
    <t>รายการ1</t>
  </si>
  <si>
    <t>สินค้า/บริการ</t>
  </si>
  <si>
    <t>รายการ2</t>
  </si>
  <si>
    <t>รายการ3</t>
  </si>
  <si>
    <t>รายการ4</t>
  </si>
  <si>
    <t>รายการ5</t>
  </si>
  <si>
    <t>รายละเอียด</t>
  </si>
  <si>
    <t>วันที่</t>
  </si>
  <si>
    <t>ประกัน</t>
  </si>
  <si>
    <t>teat</t>
  </si>
  <si>
    <t>MAZDA 2 2013</t>
  </si>
  <si>
    <t>โตเกียว 1/420000</t>
  </si>
  <si>
    <t>ของเหลว (น้ำมันพาวเวอร์ เบรก)</t>
  </si>
  <si>
    <t>TOYOTA VIGO 2012</t>
  </si>
  <si>
    <t>ธนชาต 1/350000</t>
  </si>
  <si>
    <t>พรเทพ บุหรี่ทอง</t>
  </si>
  <si>
    <t>3กฌ9475</t>
  </si>
  <si>
    <t>จิระวิญญ์ ธีรอริยกานนท์</t>
  </si>
  <si>
    <t>2กต2665</t>
  </si>
  <si>
    <t>ทำสีบังโคลนหน้าซ้าย +ประกอบไฟหน้าซ้าย</t>
  </si>
  <si>
    <t xml:space="preserve">MAZDA 3 </t>
  </si>
  <si>
    <t xml:space="preserve"> </t>
  </si>
  <si>
    <t>EXCESS เคลม 00017RMO00099</t>
  </si>
  <si>
    <t>MAZDA 3 2012</t>
  </si>
  <si>
    <t>กรุงไทย 1/520000</t>
  </si>
  <si>
    <t>น้ำมันเบรค</t>
  </si>
  <si>
    <t>ฟิลม์ LAMENA รอบคัน</t>
  </si>
  <si>
    <t>TOYOTA TIGER 2003</t>
  </si>
  <si>
    <t>ธนชาต 2+/100000</t>
  </si>
  <si>
    <t>สุชาติ บัวแก้ว</t>
  </si>
  <si>
    <t>ฆศ5217</t>
  </si>
  <si>
    <t>ศุภชัย กัลปนารถ</t>
  </si>
  <si>
    <t>ภข2047</t>
  </si>
  <si>
    <t>สุริยา หาญลือ</t>
  </si>
  <si>
    <t>ธเนตร โงนเงิน</t>
  </si>
  <si>
    <t>1ฒล8412</t>
  </si>
  <si>
    <t>พิไลพร งามขำ</t>
  </si>
  <si>
    <t>ญธ4088</t>
  </si>
  <si>
    <t>ณัฐคุณ เมนไทยสง</t>
  </si>
  <si>
    <t>ถร8075</t>
  </si>
  <si>
    <t>กท9320</t>
  </si>
  <si>
    <t>ปะผุบังโคลนหลังขวา</t>
  </si>
  <si>
    <t>HONDA CIVIC 1999</t>
  </si>
  <si>
    <t>เทเวศ 3</t>
  </si>
  <si>
    <t>EXCESS เคลมรอบคัน</t>
  </si>
  <si>
    <t>TOYOTA VIGO 2011</t>
  </si>
  <si>
    <t>ธนชาต 1/490000</t>
  </si>
  <si>
    <t>เคาะ-พ่นสี บังโคลนหลังขวา</t>
  </si>
  <si>
    <t>MAZDA 3 2006</t>
  </si>
  <si>
    <t>เมืองไทย 2/200000</t>
  </si>
  <si>
    <t>ค่า EXCESS</t>
  </si>
  <si>
    <t>เปลี่ยนกระจกบังลมหน้า+ฟิล์ม</t>
  </si>
  <si>
    <t>HONDA CIVIC 2013</t>
  </si>
  <si>
    <t xml:space="preserve">กรุงไทย </t>
  </si>
  <si>
    <t>TOYOTA VIGO 2007</t>
  </si>
  <si>
    <t>เทเวศ 1/210000</t>
  </si>
  <si>
    <t>HONDA BRIO 2014</t>
  </si>
  <si>
    <t>ธนชาต 1/310000</t>
  </si>
  <si>
    <t>ศรัณย์ธร จรรยา</t>
  </si>
  <si>
    <t>ญญ2226</t>
  </si>
  <si>
    <t>สุรชัย โสภณวัฒนะ</t>
  </si>
  <si>
    <t>ลย1225</t>
  </si>
  <si>
    <t>ศว9499</t>
  </si>
  <si>
    <t>เพลินพิศ วรรณสุ</t>
  </si>
  <si>
    <t>ญฬ9213</t>
  </si>
  <si>
    <t>ค่ามัดจำรถเช่า ณ วันรับรถครั้งแรก</t>
  </si>
  <si>
    <t>TOYOTA VIOS 2011</t>
  </si>
  <si>
    <t>เมืองไทย ไม่ทราบ</t>
  </si>
  <si>
    <t>ของเหลว (น้ำมันเกียร์)</t>
  </si>
  <si>
    <t>MITSUBISHI MIRAGE 2013</t>
  </si>
  <si>
    <t>TOYOTA VIOS 2012</t>
  </si>
  <si>
    <t>ธนชาต 1/270000</t>
  </si>
  <si>
    <t>ธนชาต 1/300000</t>
  </si>
  <si>
    <t>ทำสี บังโคลนหลังขวา</t>
  </si>
  <si>
    <t>ทำสี กันชนหลัง</t>
  </si>
  <si>
    <t xml:space="preserve">เปลี่ยน ไฟท้ายขวา </t>
  </si>
  <si>
    <t xml:space="preserve">TOYOTA VIOS </t>
  </si>
  <si>
    <t>ค่าซ่อมเครื่องยนต์</t>
  </si>
  <si>
    <t>NISSAN SUNNY NEO 2004</t>
  </si>
  <si>
    <t>ธนชาต 2+/190000</t>
  </si>
  <si>
    <t>ลอกสีฝาปิดท้าย</t>
  </si>
  <si>
    <t>ISUZU D-MAX 2000</t>
  </si>
  <si>
    <t xml:space="preserve">เทเวศ </t>
  </si>
  <si>
    <t>EXCESS เคลม 16-028136</t>
  </si>
  <si>
    <t>แผลเก่าฝากระโปรงหลัง</t>
  </si>
  <si>
    <t>TOYOTA VIGO 2009</t>
  </si>
  <si>
    <t>เทเวศ 1/320000</t>
  </si>
  <si>
    <t>NISSAN NAVARA 2015</t>
  </si>
  <si>
    <t xml:space="preserve">ธนชาต </t>
  </si>
  <si>
    <t>ธนชาต 1/230000</t>
  </si>
  <si>
    <t>คุณสหภพ ฝาดแสนศรี</t>
  </si>
  <si>
    <t>จ.ขอนแก่น</t>
  </si>
  <si>
    <t>เคาะพ่นสีบังโคลนหลังซ้าย</t>
  </si>
  <si>
    <t>เคาะพ่นสีบังโคลนหลังขวา</t>
  </si>
  <si>
    <t>เคาะพ่นสีกันชนหน้า</t>
  </si>
  <si>
    <t>เชื่อมพ่นสีบันไดขวา</t>
  </si>
  <si>
    <t>NISSAN SUNNY</t>
  </si>
  <si>
    <t>คุณนครินทร์ จันทร์อ่อน</t>
  </si>
  <si>
    <t>จ.ลำปาง</t>
  </si>
  <si>
    <t>EXCESS เคลม 17-108042</t>
  </si>
  <si>
    <t>EXCESS เคลม 17-108095</t>
  </si>
  <si>
    <t>HONDA CITY</t>
  </si>
  <si>
    <t>ไทยวิวัฒน์</t>
  </si>
  <si>
    <t>อนูกูล เชื้อตาพระ</t>
  </si>
  <si>
    <t>บว4324</t>
  </si>
  <si>
    <t>2+/400000</t>
  </si>
  <si>
    <t>เตือนใจ ผาระนัด</t>
  </si>
  <si>
    <t>ฌถ3979</t>
  </si>
  <si>
    <t>เนธิญา ปี่ทอง</t>
  </si>
  <si>
    <t>ชภ7512</t>
  </si>
  <si>
    <t>สุนทร ชมจันทร์</t>
  </si>
  <si>
    <t>1ฒณ8987</t>
  </si>
  <si>
    <t>0/450000</t>
  </si>
  <si>
    <t>2+/220000</t>
  </si>
  <si>
    <t>1/570000</t>
  </si>
  <si>
    <t>ประเภท3</t>
  </si>
  <si>
    <t>2+/190000</t>
  </si>
  <si>
    <t>1ฒภ8482</t>
  </si>
  <si>
    <t>ชลิตา ศรีสุข</t>
  </si>
  <si>
    <t>ฌต7387</t>
  </si>
  <si>
    <t>อรนุช คล้ายอินทร์</t>
  </si>
  <si>
    <t>ฆญ6645</t>
  </si>
  <si>
    <t>3กน5366</t>
  </si>
  <si>
    <t>1/750000</t>
  </si>
  <si>
    <t>1/870000คมสัน</t>
  </si>
  <si>
    <t>กมล ลม้ายสกุล</t>
  </si>
  <si>
    <t>ญภ6367</t>
  </si>
  <si>
    <t>1/660000</t>
  </si>
  <si>
    <t>2+/310000</t>
  </si>
  <si>
    <t>ประสิทธิ์ ทรงศิริศิลป์</t>
  </si>
  <si>
    <t>ชฉ2232</t>
  </si>
  <si>
    <t>1/600000</t>
  </si>
  <si>
    <t>ทัศรี อาจวิชัย</t>
  </si>
  <si>
    <t>1กภ6437</t>
  </si>
  <si>
    <t>ภาวัต เอี่ยมสอาด</t>
  </si>
  <si>
    <t>5กค174</t>
  </si>
  <si>
    <t>สถิต ชาญชิตร</t>
  </si>
  <si>
    <t>1ฒต5953</t>
  </si>
  <si>
    <t>กฉ3913</t>
  </si>
  <si>
    <t>หนูกรณ์ โนนตูม</t>
  </si>
  <si>
    <t>3กม5321</t>
  </si>
  <si>
    <t>เอกภาพ แย้มศิริ</t>
  </si>
  <si>
    <t>ฎร6818</t>
  </si>
  <si>
    <t>ตต3318</t>
  </si>
  <si>
    <t>ณัทณิชาดา สันติวรกุล</t>
  </si>
  <si>
    <t>ญถ5500</t>
  </si>
  <si>
    <t>2+/120000</t>
  </si>
  <si>
    <t>ฎฐ4297</t>
  </si>
  <si>
    <t>ศรยุทธ์ แสงรังสี</t>
  </si>
  <si>
    <t>ษฐ2513</t>
  </si>
  <si>
    <t>ไม่ทราบ</t>
  </si>
  <si>
    <t>อนุรตน์ เกสร</t>
  </si>
  <si>
    <t>ณัฐพงศ์ คงทัน</t>
  </si>
  <si>
    <t>ชท4008</t>
  </si>
  <si>
    <t>สุวิทย์ แซ่ว่าง</t>
  </si>
  <si>
    <t>ญค2725</t>
  </si>
  <si>
    <t>กฤษฎากร ตรุโนภาส</t>
  </si>
  <si>
    <t>บงาปูใหม่</t>
  </si>
  <si>
    <t>2กค7775</t>
  </si>
  <si>
    <t>กชกร พัฒนกนก</t>
  </si>
  <si>
    <t>1กผ9867</t>
  </si>
  <si>
    <t>ศุภเดช คุณภัทรดำรงกุล</t>
  </si>
  <si>
    <t>กว3526</t>
  </si>
  <si>
    <t>3/50000</t>
  </si>
  <si>
    <t>ดวงเพ็ญ พุ่มจันทร์</t>
  </si>
  <si>
    <t>ถจ8390</t>
  </si>
  <si>
    <t>ฒต9608</t>
  </si>
  <si>
    <t>EXCESS เคลม 17-102092</t>
  </si>
  <si>
    <t>SUZUKI SWIFT 2013</t>
  </si>
  <si>
    <t>เทเวศ 1/340000</t>
  </si>
  <si>
    <t>ของเหลว (น้ำมันพาเวอร์)</t>
  </si>
  <si>
    <t>TOYOTA VIOS 2008</t>
  </si>
  <si>
    <t>ธนชาต 2+/300000</t>
  </si>
  <si>
    <t>ทำสีบันได ซ้าย</t>
  </si>
  <si>
    <t>เปลี่ยนโช๊คหน้า ซ้าย+ขวา</t>
  </si>
  <si>
    <t>เปลี่ยนลูกปืนหัวโช๊ค</t>
  </si>
  <si>
    <t>ค่าแรง</t>
  </si>
  <si>
    <t>TOYOTA CAMRY 2003</t>
  </si>
  <si>
    <t>ถอ6587</t>
  </si>
  <si>
    <t>อภิเชษฐ พิมศร</t>
  </si>
  <si>
    <t>ฒฒ2395</t>
  </si>
  <si>
    <t>วารินทร์ โชคเจริญ</t>
  </si>
  <si>
    <t>4กฉ4821</t>
  </si>
  <si>
    <t>ลอกสีบังโคลนหลังขวา</t>
  </si>
  <si>
    <t>HONDA CIVIC 2008</t>
  </si>
  <si>
    <t>คุณกิตติ</t>
  </si>
  <si>
    <t>TOYOTA FORTUNER</t>
  </si>
  <si>
    <t>5กฎ8215</t>
  </si>
  <si>
    <t>เปลี่ยนถ่ายน้ำมันเครื่องสังเคราะห์ 100%</t>
  </si>
  <si>
    <t>เปลี่ยนกรองน้ำมันเครื่อง</t>
  </si>
  <si>
    <t>เติมน้ำมันพาวเวอร์+น้ำมันเบรค</t>
  </si>
  <si>
    <t>เปลี่ยนท่อ3ทางกระปุกฉีดน้ำ</t>
  </si>
  <si>
    <t>CHEVROLEY COLORADO 2014</t>
  </si>
  <si>
    <t>ธนชาต 1/510000</t>
  </si>
  <si>
    <t>EXCESS เคลม  17-108481</t>
  </si>
  <si>
    <t>EXCESS เคลม  17-108509</t>
  </si>
  <si>
    <t>TOYOTA VIGO 2008</t>
  </si>
  <si>
    <t>เทเวศ 1/410000</t>
  </si>
  <si>
    <t>ของเหลว (น้ำมันพาวเวอร์)</t>
  </si>
  <si>
    <t>TOYOTA VIGO 2015</t>
  </si>
  <si>
    <t>เมืองไทย 1/410000</t>
  </si>
  <si>
    <t>เติมน้ำมันเครื่อง</t>
  </si>
  <si>
    <t>เติมน้ำมันเกียร์</t>
  </si>
  <si>
    <t>เติมน้ำมันเบรค</t>
  </si>
  <si>
    <t>TOYOTA ALTIS 2006</t>
  </si>
  <si>
    <t>TOYOTA CAMRY 2009</t>
  </si>
  <si>
    <t>กรุงไทย 1/600000</t>
  </si>
  <si>
    <t>คุณกชกร พัฒนกนก</t>
  </si>
  <si>
    <t>TOYOTA CAMY</t>
  </si>
  <si>
    <t>ต.บางพลีใหญ่</t>
  </si>
  <si>
    <t>1กผ9867 กท.</t>
  </si>
  <si>
    <t>ค่าเช่ารถ 2 สัปดาห์ (14 ก.พ.-1 มี.ค.60)</t>
  </si>
  <si>
    <t>TOYOTA CAMRY</t>
  </si>
  <si>
    <t>1 กผ 9867 กท.</t>
  </si>
  <si>
    <t>ค่าเช่ารถ 2 สัปดาห์ (14 ก.พ.-1 มี.ค. 60)</t>
  </si>
  <si>
    <t>หมายเหตุ ลูกค้าขอส่วนลด 1,000 บาท</t>
  </si>
  <si>
    <t xml:space="preserve">   เพิ่ม 1 วัน ฟรี</t>
  </si>
  <si>
    <t>TOYOTA VIOS 2007</t>
  </si>
  <si>
    <t>กรุงไทย 1/250000</t>
  </si>
  <si>
    <t>EXCESS เคลม 17-110108</t>
  </si>
  <si>
    <t>ISUZU D-MAX 2012</t>
  </si>
  <si>
    <t>เทเวศ 1/450000</t>
  </si>
  <si>
    <t>EXCESS เคลม 16-100906</t>
  </si>
  <si>
    <t>MITSUBISHI TRITON 2007</t>
  </si>
  <si>
    <t>เทเวศ 1/230000</t>
  </si>
  <si>
    <t>สนง.สถิติจังหวัดสมุทรปราการ</t>
  </si>
  <si>
    <t>FORD RANGER</t>
  </si>
  <si>
    <t>สฎ 391</t>
  </si>
  <si>
    <t>ค่าแผลเก่า + VAT 7% (ใบแทน)</t>
  </si>
  <si>
    <t>อ.เบญจบูรพาสุวรรณภูมิ ชั้น3</t>
  </si>
  <si>
    <t>ค่าแผลเก่า + VAT 7%</t>
  </si>
  <si>
    <t>จตุพงษ์ พาเคน</t>
  </si>
  <si>
    <t>กจ4033</t>
  </si>
  <si>
    <t>ณจ6761</t>
  </si>
  <si>
    <t>1/170000</t>
  </si>
  <si>
    <t>1กจ8275</t>
  </si>
  <si>
    <t>3/0</t>
  </si>
  <si>
    <t>1/1030000</t>
  </si>
  <si>
    <t>สุดใจ ภูบุญลาภ</t>
  </si>
  <si>
    <t>ญค8378</t>
  </si>
  <si>
    <t>ประพา นครโสภา</t>
  </si>
  <si>
    <t>1กร2289</t>
  </si>
  <si>
    <t>1/790000</t>
  </si>
  <si>
    <t>EXCESS เคลม 00016RMO024664</t>
  </si>
  <si>
    <t>แผลเก่ากันชนหน้า</t>
  </si>
  <si>
    <t>EXCESS เคลม 16-017366</t>
  </si>
  <si>
    <t>HONDA ACCORD 2010</t>
  </si>
  <si>
    <t>เทเวศ 1/650000</t>
  </si>
  <si>
    <t>คุณชุติกาญจน์ กิ่งเกษ</t>
  </si>
  <si>
    <t>HONDA ACCORD</t>
  </si>
  <si>
    <t>อ.มีนบุรี จ.ปทุมธานี</t>
  </si>
  <si>
    <t>สช 8037</t>
  </si>
  <si>
    <t>ของเหลว (น้ำมันพาวเวอร์ / น้ำมันเบรค)</t>
  </si>
  <si>
    <t>ของเหลว (น้ำมันเบรค / น้ำมันเกียร์)</t>
  </si>
  <si>
    <t>TOYOTA YARIS 2013</t>
  </si>
  <si>
    <t>เมืองไทย 1/360000</t>
  </si>
  <si>
    <t>ซ่อมทำสีกันชนหลัง (ตกแต่ง)</t>
  </si>
  <si>
    <t>MITSUBISHI LANCER 2001</t>
  </si>
  <si>
    <t>คุณศิรินทิพย์ สังข์เจริญ</t>
  </si>
  <si>
    <t>ต.บางเมือง</t>
  </si>
  <si>
    <t>EXCESS เคลม ACD001-17-2-002966</t>
  </si>
  <si>
    <t>NISSAN NAVARA</t>
  </si>
  <si>
    <t>ญฒ4950</t>
  </si>
  <si>
    <t>2+/230000</t>
  </si>
  <si>
    <t>สินมหัตธันยา เต่าทิง</t>
  </si>
  <si>
    <t>2กพ2362</t>
  </si>
  <si>
    <t>1/610000</t>
  </si>
  <si>
    <t>พิมพ์พล หงษ์ทอง</t>
  </si>
  <si>
    <t>5กช5361</t>
  </si>
  <si>
    <t>จิรภพ สุทธิศิริ</t>
  </si>
  <si>
    <t>รต6785</t>
  </si>
  <si>
    <t>HONDA CITY 2013</t>
  </si>
  <si>
    <t>เมืองไทย 2+/200000</t>
  </si>
  <si>
    <t xml:space="preserve">ค่าซ่อมสีรถยนต์ </t>
  </si>
  <si>
    <t>(บังโคลนหน้าขวา,ประตูหน้าขวา,บันไดขวา)</t>
  </si>
  <si>
    <t xml:space="preserve">NISSAN SYLPHY </t>
  </si>
  <si>
    <t>EXCESS เคลม ACD001-16-2-832194</t>
  </si>
  <si>
    <t>MAZDA 2 2016</t>
  </si>
  <si>
    <t>ธนชาต 1/630000</t>
  </si>
  <si>
    <t>1/470000พ</t>
  </si>
  <si>
    <t>2+/500000</t>
  </si>
  <si>
    <t>ค่าของเหลว (น้ำมันพาวเวอร์ , น้ำมันเกียร์)</t>
  </si>
  <si>
    <t>HONDA CITY 2008</t>
  </si>
  <si>
    <t>ธนชาต 1/210000</t>
  </si>
  <si>
    <t>ค่าของเหลว (พาวเวอร์ , เบรค)</t>
  </si>
  <si>
    <t>เทเวศ 1/260000</t>
  </si>
  <si>
    <t xml:space="preserve">ค่าของเหลว </t>
  </si>
  <si>
    <t>HONDA JAZZ 0</t>
  </si>
  <si>
    <t>ธนชาต 0</t>
  </si>
  <si>
    <t>EXCESS เคลม ACD001-16-2-832402</t>
  </si>
  <si>
    <t>ธนชาต 1/260000</t>
  </si>
  <si>
    <t>เจ้าพระยา 1/400000</t>
  </si>
  <si>
    <t>MITSUBISHI TRITON 2012</t>
  </si>
  <si>
    <t>ธนชาต 1/500000</t>
  </si>
  <si>
    <t>EXCESS เคลม 06401962</t>
  </si>
  <si>
    <t xml:space="preserve">TOYOTA ALTIS </t>
  </si>
  <si>
    <t xml:space="preserve">เมืองไทย </t>
  </si>
  <si>
    <t>ค่าของเหลว (กรณีรถเสียหายหนัก)</t>
  </si>
  <si>
    <t>TOYOTA COROLLA 2000</t>
  </si>
  <si>
    <t>เจ้าพระยา 3/50000</t>
  </si>
  <si>
    <t>ISUZU SPACECAB 2007</t>
  </si>
  <si>
    <t>ของเหลว (ในกรณีรถเสียหายหนัก)</t>
  </si>
  <si>
    <t>ยางล้อ 50%</t>
  </si>
  <si>
    <t>MAZDA 2 2011</t>
  </si>
  <si>
    <t>เมืองไทย 1/310000</t>
  </si>
  <si>
    <t>EXCESS เคลม 00017RMO001045</t>
  </si>
  <si>
    <t>EXCESS เคลม 00017RMO002660</t>
  </si>
  <si>
    <t>MITSUBISHI PAJERO SPORT 2011</t>
  </si>
  <si>
    <t>กรุงไทย 1/660000</t>
  </si>
  <si>
    <t>ยกเลิก</t>
  </si>
  <si>
    <t>มจ1055</t>
  </si>
  <si>
    <t>ยาง 50%</t>
  </si>
  <si>
    <t>ISUZU SPACECAB 2008</t>
  </si>
  <si>
    <t>ธนชาต 2+/200000</t>
  </si>
  <si>
    <t>เคาะพ่นสีกันชนหน้า , กะบะซ้าย</t>
  </si>
  <si>
    <t>ISUZU D-MAX 2014</t>
  </si>
  <si>
    <t>ไทยวิวัฒน์ 1/450000</t>
  </si>
  <si>
    <t>เคาะพ่นสีมุมกะบะขวา , มุมฝาท้ายขวา</t>
  </si>
  <si>
    <t xml:space="preserve">ISUZU  </t>
  </si>
  <si>
    <t>EXCESS เคลม รอบคัน</t>
  </si>
  <si>
    <t>MITSUBISHI TRITON 2010</t>
  </si>
  <si>
    <t>ทำสีกันขนหน้า</t>
  </si>
  <si>
    <t>ทำสีคิ้วบังโคลนหน้า</t>
  </si>
  <si>
    <t>CHEVROLET CAPTIVA 2011</t>
  </si>
  <si>
    <t>ค่าดำเนินการ (ในกรณียกเลิกเคลม)</t>
  </si>
  <si>
    <t>อาคเนย์ 1/500000</t>
  </si>
  <si>
    <t>2/120000</t>
  </si>
  <si>
    <t>คุณเสาวลักษณ์  ยอดคำ</t>
  </si>
  <si>
    <t>HONDA CIVIC</t>
  </si>
  <si>
    <t>กฉ 4881 กท.</t>
  </si>
  <si>
    <t>ติดตั้งสเกิร์ตบันไดขวา</t>
  </si>
  <si>
    <t xml:space="preserve"> ALMERA 2013</t>
  </si>
  <si>
    <t>1/220000 ALMERA 2012</t>
  </si>
  <si>
    <t>กรุงไทย 1/270000</t>
  </si>
  <si>
    <t>นายสุวรรณ ศรีจันทร์</t>
  </si>
  <si>
    <t>MITSUBISHI TRITON</t>
  </si>
  <si>
    <t>ต.แพรกษาใหม่</t>
  </si>
  <si>
    <t>เอเชีย , อาคเนย์</t>
  </si>
  <si>
    <t>ฮพ5185</t>
  </si>
  <si>
    <t>เพิ่มเติมเงินสด</t>
  </si>
  <si>
    <t>แผลเก่ากันชนเสริมหลัง 50%</t>
  </si>
  <si>
    <t>ชส9724</t>
  </si>
  <si>
    <t>อุดร เพ็งยะนะ</t>
  </si>
  <si>
    <t>ถฎ1867</t>
  </si>
  <si>
    <t>วิสูตร์ แสงประสาน</t>
  </si>
  <si>
    <t>3กภ6310</t>
  </si>
  <si>
    <t>ชห565</t>
  </si>
  <si>
    <t>พรประดับ อารักษ์</t>
  </si>
  <si>
    <t>3กช3180</t>
  </si>
  <si>
    <t>สำรวย เครือนิล</t>
  </si>
  <si>
    <t>อนุชา ทับทวี</t>
  </si>
  <si>
    <t>สมศักดิ์ ดีพูล</t>
  </si>
  <si>
    <t>ฆอ5396</t>
  </si>
  <si>
    <t>อชิรญา วงษา</t>
  </si>
  <si>
    <t>5กก5365</t>
  </si>
  <si>
    <t>ธำรง อิ่มแช่ม</t>
  </si>
  <si>
    <t>ฌม1812</t>
  </si>
  <si>
    <t>อุทัยวรรณ ลาภโพธิ์ชัย</t>
  </si>
  <si>
    <t>วรากรณ์ พฤติทัศน์</t>
  </si>
  <si>
    <t>3กต270</t>
  </si>
  <si>
    <t>อนันต์ กิมเต๊ก</t>
  </si>
  <si>
    <t>ทวีศักดิ์ ลิ้มประสิทธิ์วงศ์</t>
  </si>
  <si>
    <t>ประนอม หอมมาลา</t>
  </si>
  <si>
    <t>ญม9612</t>
  </si>
  <si>
    <t>พิชิต เอกปัจชา</t>
  </si>
  <si>
    <t>ฒม9754</t>
  </si>
  <si>
    <t>อำพร โพธิ์ระเดา</t>
  </si>
  <si>
    <t>ถม3133</t>
  </si>
  <si>
    <t>ประกอบ สุวรรณสิทธิ์</t>
  </si>
  <si>
    <t>ฎง5091</t>
  </si>
  <si>
    <t>สวนหลวง</t>
  </si>
  <si>
    <t>ศักดิ์ชัย โคตรธรรม</t>
  </si>
  <si>
    <t>3กข1723</t>
  </si>
  <si>
    <t>ณธนา หลงบางพลี</t>
  </si>
  <si>
    <t>ลาดพร้าว</t>
  </si>
  <si>
    <t>รุ่งเรือง ว่องสุวรรณสาร</t>
  </si>
  <si>
    <t>ฎพ1996</t>
  </si>
  <si>
    <t>วรลักษณ์ วรวุฒิ ณ อยุธยา</t>
  </si>
  <si>
    <t>ฌถ6970</t>
  </si>
  <si>
    <t>ปริญญา แก้วงาม</t>
  </si>
  <si>
    <t>5กณ3290</t>
  </si>
  <si>
    <t>พสิษฐ์ จินตสถาพร</t>
  </si>
  <si>
    <t>กจ2310</t>
  </si>
  <si>
    <t>วุฒิพัชร์ สงกล่ำธนาเศรษฐ์</t>
  </si>
  <si>
    <t>ญญ9987</t>
  </si>
  <si>
    <t>ทอมสัน พะทะนะ</t>
  </si>
  <si>
    <t>ดอกไม้</t>
  </si>
  <si>
    <t>ตศ7641</t>
  </si>
  <si>
    <t>กมลชนก จันทร์ปุก</t>
  </si>
  <si>
    <t>กฉ8303</t>
  </si>
  <si>
    <t>สมเกียรติ โพธิ์สุวรรณ</t>
  </si>
  <si>
    <t>ฌค5647</t>
  </si>
  <si>
    <t>คำนวน เสนีย์วงศ์ ณ อยุธยา</t>
  </si>
  <si>
    <t>ถห2951</t>
  </si>
  <si>
    <t>พัชรีพร ทองอร่าม</t>
  </si>
  <si>
    <t>วว3498</t>
  </si>
  <si>
    <t>เกษม วงษ์สะมัน</t>
  </si>
  <si>
    <t>ตล3284</t>
  </si>
  <si>
    <t>ศุภกิจ อาชีวะวานิช</t>
  </si>
  <si>
    <t>ญณ5207</t>
  </si>
  <si>
    <t>1/590000</t>
  </si>
  <si>
    <t>สรรเพชญ วังอินทร์</t>
  </si>
  <si>
    <t>5กฏ3239</t>
  </si>
  <si>
    <t>ทำสีรอบคัน</t>
  </si>
  <si>
    <t>ขัดไฟใหญ่หน้า</t>
  </si>
  <si>
    <t>TOYOTA CAMRY 2005</t>
  </si>
  <si>
    <t>เมืองไทย 2/150000</t>
  </si>
  <si>
    <t>ISUZU SPACECAB 2012</t>
  </si>
  <si>
    <t>ธนชาต 1/400000</t>
  </si>
  <si>
    <t>ทำสีกันชนหน้า+สเกิร์ต</t>
  </si>
  <si>
    <t>TOYOTA FORTUNER 2010</t>
  </si>
  <si>
    <t>เทเวศ 1/730000</t>
  </si>
  <si>
    <t>EXCESS เคลม 17-115815</t>
  </si>
  <si>
    <t>ISUZU D-MAX 2009</t>
  </si>
  <si>
    <t>เพิ่เติมเงินสดบังโคลนหน้าซ้าย</t>
  </si>
  <si>
    <t>TOYOTA TIGER 2004</t>
  </si>
  <si>
    <t>เทเวศ 2/100000</t>
  </si>
  <si>
    <t>1/100000</t>
  </si>
  <si>
    <t>วิชัย โยธาราช</t>
  </si>
  <si>
    <t>ฒถ2722</t>
  </si>
  <si>
    <t>ฎส4975</t>
  </si>
  <si>
    <t>1กพ3104</t>
  </si>
  <si>
    <t>ฒร3116</t>
  </si>
  <si>
    <t>1+/500000</t>
  </si>
  <si>
    <t>5กต2970</t>
  </si>
  <si>
    <t>ฎอ8806</t>
  </si>
  <si>
    <t>เติมน้ำมันพาวเวอร์</t>
  </si>
  <si>
    <t>SUZUKI SWITF 2014</t>
  </si>
  <si>
    <t>เมืองไทย 1/400000</t>
  </si>
  <si>
    <t>ค่าเอกสารดำเนินการเปลี่ยนสีรถยนต์</t>
  </si>
  <si>
    <t>ขายึดปลายกันชนหลังขวา</t>
  </si>
  <si>
    <t>ทำสีรอบคัน+ปะผุ</t>
  </si>
  <si>
    <t>คุณมานพ นาคสุขศรี</t>
  </si>
  <si>
    <t>TOYOTA ALTIS</t>
  </si>
  <si>
    <t>ต.บางเมือง จ.สมุทรปราการ</t>
  </si>
  <si>
    <t>มจ 1055</t>
  </si>
  <si>
    <t>ค่าเอกสารดำเนินการเปลี่ยนสี</t>
  </si>
  <si>
    <t>นายมานพ นาคสุขศรี</t>
  </si>
  <si>
    <t>ค่าเอกสารดำเนินการเปลี่ยนสีรถ</t>
  </si>
  <si>
    <t>ทำสีรอบคัน+ปะผึ</t>
  </si>
  <si>
    <t>นายสันติ แซ่แต้</t>
  </si>
  <si>
    <t>ต.ท้ายบ้าน จ.สมุทรปราการ</t>
  </si>
  <si>
    <t>EXCESS เคลม 16-069328</t>
  </si>
  <si>
    <t>คุณประหยัด ฉ่อนเจริญ</t>
  </si>
  <si>
    <t>NISSAN ALMERA</t>
  </si>
  <si>
    <t>ต.บางปูใหม่ จ.สมุทรปราการ</t>
  </si>
  <si>
    <t>บังโคลนหลังขวา</t>
  </si>
  <si>
    <t xml:space="preserve">TOYOTA </t>
  </si>
  <si>
    <t>ตว 2391</t>
  </si>
  <si>
    <t>ซ.อัศวนนท์ 35</t>
  </si>
  <si>
    <t>กระจกบังลมหน้า</t>
  </si>
  <si>
    <t>ยางกระจกบังลมหน้า</t>
  </si>
  <si>
    <t>กาวอัดกระจกบังลมหน้า</t>
  </si>
  <si>
    <t>แผลเก่ากันชนหน้า 50%</t>
  </si>
  <si>
    <t>EXCESS</t>
  </si>
  <si>
    <t>TOYOTA CAMRY 2007</t>
  </si>
  <si>
    <t>จินดา พุฒตาล</t>
  </si>
  <si>
    <t>บงาพลีใหญ๋</t>
  </si>
  <si>
    <t>ฆธ436</t>
  </si>
  <si>
    <t>นิพนธ์ ชาวอ่างทอง</t>
  </si>
  <si>
    <t>ฒข7222</t>
  </si>
  <si>
    <t>มนัสพร วรรณดี</t>
  </si>
  <si>
    <t>2กฬ5382</t>
  </si>
  <si>
    <t>กลองทอง บุญคง</t>
  </si>
  <si>
    <t>ปม5152</t>
  </si>
  <si>
    <t>1/160000</t>
  </si>
  <si>
    <t>บุญเกิน เปรมบุญ</t>
  </si>
  <si>
    <t>ญฎ6039</t>
  </si>
  <si>
    <t>เศกสรรค์ วีตระกูล</t>
  </si>
  <si>
    <t>ทุ่งวัดดอน</t>
  </si>
  <si>
    <t>สจ4329</t>
  </si>
  <si>
    <t>ไพศาล บุญอ่อน</t>
  </si>
  <si>
    <t>ถน4956</t>
  </si>
  <si>
    <t xml:space="preserve">EXCESS </t>
  </si>
  <si>
    <t>FORD FIESTA 2013</t>
  </si>
  <si>
    <t>แผลเก่า สเกิร์ตบันไดขวา</t>
  </si>
  <si>
    <t>1/140000</t>
  </si>
  <si>
    <t>2+400000พิรุณ/</t>
  </si>
  <si>
    <t>วินัส สมหวัง</t>
  </si>
  <si>
    <t>ในเมือง</t>
  </si>
  <si>
    <t>สช9042</t>
  </si>
  <si>
    <t>NISSAN ALMERA 2014</t>
  </si>
  <si>
    <t>คุณประนอม ส่งกลิ่นจันทร์</t>
  </si>
  <si>
    <t>ISUZU D-MAX</t>
  </si>
  <si>
    <t>ต.บางปูใหม่</t>
  </si>
  <si>
    <t>ของเหลว (น้ำมันเกียร์/เบรค/พาวเวอร์)</t>
  </si>
  <si>
    <t>HONDA CR-V</t>
  </si>
  <si>
    <t>มอเตอร์หม้อน้ำ</t>
  </si>
  <si>
    <t>ดีเลย์</t>
  </si>
  <si>
    <t>น้ำมันเครื่อง</t>
  </si>
  <si>
    <t>ล้างห้องเครื่อง</t>
  </si>
  <si>
    <t>ธนชาต 2+/350000</t>
  </si>
  <si>
    <t>ลอกสนิมแผงในฝาปิดท้าย</t>
  </si>
  <si>
    <t>ISUZU SPACE CAB 2008</t>
  </si>
  <si>
    <t>กรุงไทย 1/300000</t>
  </si>
  <si>
    <t>2/100000นภัทร</t>
  </si>
  <si>
    <t>ทำสีรอบคัน (สีพิเศษ)</t>
  </si>
  <si>
    <t>TOYOTA AVANZA 2008</t>
  </si>
  <si>
    <t>กรุงไทย 2+/100000</t>
  </si>
  <si>
    <t>น้ำยาหล่อเย็น</t>
  </si>
  <si>
    <t>ยางล้อหน้าขวา 50%</t>
  </si>
  <si>
    <t>TOYOTA FORTUNER 2007</t>
  </si>
  <si>
    <t>ธนชาต 2+/500000</t>
  </si>
  <si>
    <t>น.ส. สิริพรรณ นกขมิ้น</t>
  </si>
  <si>
    <t>ราชาเทวะ</t>
  </si>
  <si>
    <t>ชฬ4632</t>
  </si>
  <si>
    <t>วีระยุทธิ์ เอี่ยมคำพอง</t>
  </si>
  <si>
    <t>1กภ6473</t>
  </si>
  <si>
    <t>1/860000</t>
  </si>
  <si>
    <t>EXCESS เคลม 17-136015</t>
  </si>
  <si>
    <t>คุณจตุพร ศรีมงคล</t>
  </si>
  <si>
    <t>ต.ท้ายบ้านใหม่</t>
  </si>
  <si>
    <t>ญง 4188</t>
  </si>
  <si>
    <t>คุณสมศักดิ์ อภิรดิวงษ์</t>
  </si>
  <si>
    <t>ต.เทพารักษ์</t>
  </si>
  <si>
    <t>2กจ2905</t>
  </si>
  <si>
    <t>ค่าดำเนินการ+ค่าจอดรถ</t>
  </si>
  <si>
    <t>TOYOTA NEW VIOS</t>
  </si>
  <si>
    <t>คุณสายทอง แซ่หลี</t>
  </si>
  <si>
    <t>TOYOTA VIOS</t>
  </si>
  <si>
    <t>จ.บุรีรัมย์</t>
  </si>
  <si>
    <t>กท 2312</t>
  </si>
  <si>
    <t>เติมของเหลว (ในกรณีรถเสียหายหนัก)</t>
  </si>
  <si>
    <t>แบตเตอรี่</t>
  </si>
  <si>
    <t>EXCESS เคลม 17-123070</t>
  </si>
  <si>
    <t>ISUZU D-MAX 2008</t>
  </si>
  <si>
    <t>เทเวศ 1/440000</t>
  </si>
  <si>
    <t>HONDA CIVIC 2011</t>
  </si>
  <si>
    <t>เทเวศ 1/400000</t>
  </si>
  <si>
    <t>2+/160000</t>
  </si>
  <si>
    <t>นฤนาท เลื่อนสุขสันต์</t>
  </si>
  <si>
    <t>4กฮ3545</t>
  </si>
  <si>
    <t>อาทิตย์ ด่านแก้ว</t>
  </si>
  <si>
    <t>ฒต4084</t>
  </si>
  <si>
    <t xml:space="preserve">EXCESS เคลมรอบคัน </t>
  </si>
  <si>
    <t>ดัดท่อนหน้า</t>
  </si>
  <si>
    <t>กรุงไทย 1/370000</t>
  </si>
  <si>
    <t>คุณอนุกูล แสนเทศ</t>
  </si>
  <si>
    <t>CHEVROLET OPTRA 2009</t>
  </si>
  <si>
    <t>กฤติกา มาลาพันธ์</t>
  </si>
  <si>
    <t>3กษ3865</t>
  </si>
  <si>
    <t>2/250000</t>
  </si>
  <si>
    <t>ยุพิน กล่ำดี</t>
  </si>
  <si>
    <t>ชฐ7560</t>
  </si>
  <si>
    <t>วัชราภรณ์ พูดดี</t>
  </si>
  <si>
    <t>1กถ8128</t>
  </si>
  <si>
    <t>TOYOTA VIOS 2009</t>
  </si>
  <si>
    <t>EXCESS เคลม ACD091-17-2-001865</t>
  </si>
  <si>
    <t>EXCESS เคลม ACD001-17-2-024012</t>
  </si>
  <si>
    <t>ธนชาต 1/410000</t>
  </si>
  <si>
    <t>เทเวศ 1/360000</t>
  </si>
  <si>
    <t>ทำสีล้อแม็กทั้ง 4 ฝั่ง</t>
  </si>
  <si>
    <t>HONDA CITY 2005</t>
  </si>
  <si>
    <t>ธนชาต 1/170000</t>
  </si>
  <si>
    <t>2+/630000</t>
  </si>
  <si>
    <t>ปาลิตา ตุ่มสว่าง</t>
  </si>
  <si>
    <t>กฉ7948</t>
  </si>
  <si>
    <t>ละมูล เอี่ยมเวียง</t>
  </si>
  <si>
    <t>ชบ529</t>
  </si>
  <si>
    <t>2+/210000</t>
  </si>
  <si>
    <t>ธนชาต 2+/210000</t>
  </si>
  <si>
    <t>เคาะพ่นสีกะบะขวา</t>
  </si>
  <si>
    <t>เปลี่ยนไฟท้ายขวา</t>
  </si>
  <si>
    <t>MITSUBISHI TRITON 2009</t>
  </si>
  <si>
    <t>โตเกียว 2/200000</t>
  </si>
  <si>
    <t>EXCESS เคลม ACD001-16-2-211019</t>
  </si>
  <si>
    <t>CHEVROLET OPTRA 2008</t>
  </si>
  <si>
    <t>ยาง 50 เปอร์เซ็น</t>
  </si>
  <si>
    <t>ล้อแม็ก 3 วง</t>
  </si>
  <si>
    <t>เติมน้ำมันรถลูกค้า</t>
  </si>
  <si>
    <t>ค่า ของเหลว</t>
  </si>
  <si>
    <t>เปลี่ยน แบตเตอร์รี่</t>
  </si>
  <si>
    <t>NISSAN ALMERA 2012</t>
  </si>
  <si>
    <t>หลอดไฟใหญ่หน้า</t>
  </si>
  <si>
    <t>TOYOTA ALTIS 2004</t>
  </si>
  <si>
    <t>อาคเนย์ 1/230000</t>
  </si>
  <si>
    <t>TOYOTA ALTIS 2009</t>
  </si>
  <si>
    <t>กรุงไทย 1/380000</t>
  </si>
  <si>
    <t>มานพ ก๋องแก้ว</t>
  </si>
  <si>
    <t>ญข4858</t>
  </si>
  <si>
    <t>เจษฎา บุญเรือง</t>
  </si>
  <si>
    <t>3กฆ2850</t>
  </si>
  <si>
    <t>ฆภ4475</t>
  </si>
  <si>
    <t>ศุภธนิศร์ กุลโรจน์ชลาลัย</t>
  </si>
  <si>
    <t>พข4316</t>
  </si>
  <si>
    <t>1/180000</t>
  </si>
  <si>
    <t>ขัดสีรอบคัน</t>
  </si>
  <si>
    <t>CHEVROLET COLORADO 2010</t>
  </si>
  <si>
    <t>EXCESS เคลม 17-131228</t>
  </si>
  <si>
    <t>เทเวศ 2+/100000</t>
  </si>
  <si>
    <t>ปะผุประตู</t>
  </si>
  <si>
    <t>TOYOTA FORTUNER 2005</t>
  </si>
  <si>
    <t>นายสมชาย อังคาระอาพันธ์</t>
  </si>
  <si>
    <t>ถ.สายลวด ต.ปากน้ำ</t>
  </si>
  <si>
    <t>กต 2281</t>
  </si>
  <si>
    <t>ขัดเคลือบสีรอบคัน</t>
  </si>
  <si>
    <t>พลาสติกบังฝุ่นหลัง1คู่</t>
  </si>
  <si>
    <t>พ่นกันสนิมใต้ท้อง</t>
  </si>
  <si>
    <t>MITSUBISHI TRITON 2011</t>
  </si>
  <si>
    <t>โตเกียว 1/510000</t>
  </si>
  <si>
    <t>อนุสรณ์ ไชยพิมูล</t>
  </si>
  <si>
    <t>ฆถ2427</t>
  </si>
  <si>
    <t>น้ำมันแก๊สโซฮอร์ 95</t>
  </si>
  <si>
    <t>NISSAN TEANA 2006</t>
  </si>
  <si>
    <t>พลาสติกบังฝุ่นหลัง 1คู่</t>
  </si>
  <si>
    <t>พ่นโครงเหล็กกันชนหน้า</t>
  </si>
  <si>
    <t>ISUZU D-MAX 2003</t>
  </si>
  <si>
    <t>เจ้าพระยา 1/160000</t>
  </si>
  <si>
    <t>EXCESS เคลม 17-136855</t>
  </si>
  <si>
    <t>EXCESS เคลม 17-136839</t>
  </si>
  <si>
    <t>NISSAN MARGH 2012</t>
  </si>
  <si>
    <t>เทเวศ 1/290000</t>
  </si>
  <si>
    <t>เปลี่ยนสีดำด้านภายนอก รอบคัน</t>
  </si>
  <si>
    <t>CHEVROLET CRUZE 2012</t>
  </si>
  <si>
    <t>อาคุณ แจ้งจำรัส</t>
  </si>
  <si>
    <t>ถล1710</t>
  </si>
  <si>
    <t>กิตติศักดิ์ หมีดำ</t>
  </si>
  <si>
    <t>ประเวศ</t>
  </si>
  <si>
    <t>ษร1006</t>
  </si>
  <si>
    <t>ไกรภพ ขาวล้วน</t>
  </si>
  <si>
    <t>ฆช4246</t>
  </si>
  <si>
    <t>มานะ กลัดพุฒ</t>
  </si>
  <si>
    <t>มักกะสัน</t>
  </si>
  <si>
    <t>2กธ2164</t>
  </si>
  <si>
    <t>1/390000</t>
  </si>
  <si>
    <t>บม7621</t>
  </si>
  <si>
    <t>TOYOTA CAMRY 2013</t>
  </si>
  <si>
    <t>เทเวศ 1/860000</t>
  </si>
  <si>
    <t>แผลเก่าบังโคลนหน้าซ้าย</t>
  </si>
  <si>
    <t>HONDA CR-V 2007</t>
  </si>
  <si>
    <t>ธนชาต 2+/450000</t>
  </si>
  <si>
    <t>ทำสีประตูหลังซ้าย</t>
  </si>
  <si>
    <t>ทำสีบังโคลนหลังซ้าย</t>
  </si>
  <si>
    <t>HONDA CIVIC 1996</t>
  </si>
  <si>
    <t>อาคเนย์ 2+/100000</t>
  </si>
  <si>
    <t>คุณสุกัญญา บุญเรา</t>
  </si>
  <si>
    <t>TOYOTA YARIS</t>
  </si>
  <si>
    <t>EXCESS เคลม ACD001-17-2-040164</t>
  </si>
  <si>
    <t>MAZDA BT-50 2015</t>
  </si>
  <si>
    <t>ธนชาต 1/600000</t>
  </si>
  <si>
    <t>MITSUBISHI PAJERO SPORT 2008</t>
  </si>
  <si>
    <t>เทเวศ 1/430000</t>
  </si>
  <si>
    <t>เมืองไทย 1/450000</t>
  </si>
  <si>
    <t>เติมน้ำมันเกียร์,พาวเวอร์</t>
  </si>
  <si>
    <t>เติมน้ำมันเบรค (ไล่ระบบ)</t>
  </si>
  <si>
    <t>น้ำมันเชื้อเพลิง</t>
  </si>
  <si>
    <t>TOYOTA VIOS 2014</t>
  </si>
  <si>
    <t>ไทยวิวัฒน์ 1/440000</t>
  </si>
  <si>
    <t>ทำสีสปอยเลอร์ฝาปิดท้าย</t>
  </si>
  <si>
    <t>คุณวัตตา ภูมิดิษฐ์</t>
  </si>
  <si>
    <t>HONDA JAZZ</t>
  </si>
  <si>
    <t>ฎพ 2488</t>
  </si>
  <si>
    <t>กรุงเทพประกันภัย</t>
  </si>
  <si>
    <t>ค่าซ่อมรถ + อะไหล่</t>
  </si>
  <si>
    <t>ลอกสี</t>
  </si>
  <si>
    <t>FORD RANGER 2005</t>
  </si>
  <si>
    <t>กรุงไทย 1/220000</t>
  </si>
  <si>
    <t>เพิ่มเติมทำสีรอบคัน</t>
  </si>
  <si>
    <t>FORD RANGER 2006</t>
  </si>
  <si>
    <t>ตรวจสอบระบบไฟ-เกวัดน้ำมันเครื่อง</t>
  </si>
  <si>
    <t>ค่าแรง (ซ่อม/แก้ไข)</t>
  </si>
  <si>
    <t>บุญถัน ชุมจันทร์</t>
  </si>
  <si>
    <t>บต9925</t>
  </si>
  <si>
    <t>นาย พศิน หรั่งสอาด</t>
  </si>
  <si>
    <t>จิราวัฒน์ สะมะโน</t>
  </si>
  <si>
    <t>กข5618</t>
  </si>
  <si>
    <t>วิลาวัณย์ วงษ์อินทร์ตา</t>
  </si>
  <si>
    <t>กท3556</t>
  </si>
  <si>
    <t>จาตุรงค์ แสงทอง</t>
  </si>
  <si>
    <t>ชว725</t>
  </si>
  <si>
    <t>ไพฑูรย์ จีนอยู่</t>
  </si>
  <si>
    <t>ฒค5304</t>
  </si>
  <si>
    <t>ณัฐพล สุขวิสุทธิ์</t>
  </si>
  <si>
    <t>ศว8204</t>
  </si>
  <si>
    <t>คุณพิรดา วงศ์ธนาธิกุล</t>
  </si>
  <si>
    <t>MITSUBISHI PAJEROSPORT</t>
  </si>
  <si>
    <t>ต.เทพารักษ์ จ.สมุทรปราการ</t>
  </si>
  <si>
    <t>คุณชานนท์ ตู้ทอง</t>
  </si>
  <si>
    <t>ถ.กิ่งแก้ว จ.สมุทรปราการ</t>
  </si>
  <si>
    <t>ฎอ 8806</t>
  </si>
  <si>
    <t>เลี่ยนสีรอบคัน</t>
  </si>
  <si>
    <t>เปลี่ยนสีฝากระโปรงหน้า</t>
  </si>
  <si>
    <t>HONDA CIVIC 2010</t>
  </si>
  <si>
    <t>เปลี่ยนสีรอบคัน</t>
  </si>
  <si>
    <t>TOYOTA CAMRY 2006</t>
  </si>
  <si>
    <t>แผลเก่ากันชนหลัง</t>
  </si>
  <si>
    <t>HONDA CRV 2005</t>
  </si>
  <si>
    <t>มิตรแท้ 3+/100000</t>
  </si>
  <si>
    <t>เคาะพ่นสีประตูหน้าซ้าย</t>
  </si>
  <si>
    <t>ธนชาต 2+/330000</t>
  </si>
  <si>
    <t>ซ่อมสายเกียร์</t>
  </si>
  <si>
    <t>TOYOTA CAMRY 2004</t>
  </si>
  <si>
    <t>1707053</t>
  </si>
  <si>
    <t>นฤชา ทองลังกา</t>
  </si>
  <si>
    <t>ขร9378</t>
  </si>
  <si>
    <t>กิตติศักดิ์ ชาญอักษร</t>
  </si>
  <si>
    <t>2กศ3501</t>
  </si>
  <si>
    <t>องอาจ ส้มกลิ่น</t>
  </si>
  <si>
    <t>ฎฬ1751</t>
  </si>
  <si>
    <t>เรวัติ ระรื่นรมย์</t>
  </si>
  <si>
    <t>5กท8549</t>
  </si>
  <si>
    <t>คุณภีราภัทร ศักดิ์เจริญชัยกุล</t>
  </si>
  <si>
    <t>TOYOTA VIGO</t>
  </si>
  <si>
    <t>จ.เพชรบูรณ์</t>
  </si>
  <si>
    <t>ลอกสีกะบะซ้าย , ฝาปิดท้าย</t>
  </si>
  <si>
    <t>เปลี่ยนหลอดไฟในกันชนหน้าขวา</t>
  </si>
  <si>
    <t>เปลี่ยนหลอดไฟหรี่หน้าขวา</t>
  </si>
  <si>
    <t>เปลี่ยนหลอดไฟเบรคหลังขวา</t>
  </si>
  <si>
    <t>เปลี่ยนหลอดไฟส่องป้ายทะเบียนหลัง</t>
  </si>
  <si>
    <t>พรวิษณุ เขมา</t>
  </si>
  <si>
    <t>ถก6079</t>
  </si>
  <si>
    <t>2+/1000000</t>
  </si>
  <si>
    <t>นิติ แก้วมงคล</t>
  </si>
  <si>
    <t>1กฐ6970</t>
  </si>
  <si>
    <t>กฤษตากร เทพอินทร์</t>
  </si>
  <si>
    <t>ฒข1517</t>
  </si>
  <si>
    <t>ลอกสีหลังคา</t>
  </si>
  <si>
    <t>ยางขอบคิ้วรอบคัน</t>
  </si>
  <si>
    <t>TOYOTA FORTUNER 2006</t>
  </si>
  <si>
    <t>ทิฆัมพร พงษ์พัฒนา</t>
  </si>
  <si>
    <t>กง2109</t>
  </si>
  <si>
    <t>ค่าแรง เปลี่ยนสายพาน</t>
  </si>
  <si>
    <t>%</t>
  </si>
  <si>
    <t>บาท</t>
  </si>
  <si>
    <t>ทำสี ประตูหลังขวา</t>
  </si>
  <si>
    <t>ทำสี บันไดขวา</t>
  </si>
  <si>
    <t>TOYOTA ALTIS 2012</t>
  </si>
  <si>
    <t>เทเวศ 1/420000</t>
  </si>
  <si>
    <t>รณรวีย์ สาฆ้อง</t>
  </si>
  <si>
    <t>ฒถ6164</t>
  </si>
  <si>
    <t>ปะผุหลังคา</t>
  </si>
  <si>
    <t>TOYOTA CAMRY 2008</t>
  </si>
  <si>
    <t>น้ำมันเพาร์เวอร์</t>
  </si>
  <si>
    <t>เติมน้ำมันรถ</t>
  </si>
  <si>
    <t>ทำสีเงินสด ประตูหน้า+หลัง ซ้าย</t>
  </si>
  <si>
    <t>ทำสี กันชนหน้า ทั้งชิ้น</t>
  </si>
  <si>
    <t>ทำสี กันชนหลัง เฉพาะจุด</t>
  </si>
  <si>
    <t>ทำสี บันได ขวา</t>
  </si>
  <si>
    <t>ทำสี ประตูหน้า ขวา</t>
  </si>
  <si>
    <t>HONDA CIVIC 2004</t>
  </si>
  <si>
    <t>เคาะพ่นสีกะบะซ้าย</t>
  </si>
  <si>
    <t>แผลเก่ากะบะขวา</t>
  </si>
  <si>
    <t>อินทร 2+/100000</t>
  </si>
  <si>
    <t>สยามซิตี้ 1/410000</t>
  </si>
  <si>
    <t>EXCESS เคลม 600710/118</t>
  </si>
  <si>
    <t>ปะผุบังโคลนหลังซ้าย</t>
  </si>
  <si>
    <t>TOYOTA ALTIS 2005</t>
  </si>
  <si>
    <t>เจ้าพระยา 1/250000</t>
  </si>
  <si>
    <t>MITSUBISHI ATTRAGE 2014</t>
  </si>
  <si>
    <t>มิตรแท้ 2+/150000</t>
  </si>
  <si>
    <t>น้ำมันเบรก</t>
  </si>
  <si>
    <t xml:space="preserve">HONDA ACCORD </t>
  </si>
  <si>
    <t>ISUZU D-MAX 2011</t>
  </si>
  <si>
    <t>สเกิร์ตกันชนหน้า</t>
  </si>
  <si>
    <t>กรุงไทย 2+/300000</t>
  </si>
  <si>
    <t>เปลี่ยนหลอดไฟท้ายรวมค่าแรง</t>
  </si>
  <si>
    <t>NISSAN TIIDA 2007</t>
  </si>
  <si>
    <t>ธนชาต 1/250000</t>
  </si>
  <si>
    <t>เปลี่ยนหลอดไฟ 1 ไส้</t>
  </si>
  <si>
    <t>MAZDA BT-50 2008</t>
  </si>
  <si>
    <t>ยางแท่นเครื่องขวา</t>
  </si>
  <si>
    <t>ยางแท่นเครื่องซ้าย</t>
  </si>
  <si>
    <t>ยางแท่นเครื่องหลัง</t>
  </si>
  <si>
    <t>TOYOTA 2 2011</t>
  </si>
  <si>
    <t>สมรรถชัย ปัญญาดี</t>
  </si>
  <si>
    <t>1กฬ1207</t>
  </si>
  <si>
    <t>พิทักษ์พล ปรีชาชาติ</t>
  </si>
  <si>
    <t>กฉ5573</t>
  </si>
  <si>
    <t>3+/0</t>
  </si>
  <si>
    <t>จิรพงศ์ จิตปิตินันท์</t>
  </si>
  <si>
    <t>4กถ6747</t>
  </si>
  <si>
    <t>1/810000</t>
  </si>
  <si>
    <t>1/370000เ</t>
  </si>
  <si>
    <t>มณีรัตน์ คุณประทุม</t>
  </si>
  <si>
    <t>1กม9953</t>
  </si>
  <si>
    <t>สราวุฒิ อยู่รัตน์</t>
  </si>
  <si>
    <t>1ฒน9822</t>
  </si>
  <si>
    <t>พ่นขอบในประตูหน้าขวา</t>
  </si>
  <si>
    <t>เทเวศ 1/580000</t>
  </si>
  <si>
    <t>CHEVROLET COLORADO 2012</t>
  </si>
  <si>
    <t>กรุงไทย 1/450000</t>
  </si>
  <si>
    <t>CHEVROLET TRAILBLAZER 2012</t>
  </si>
  <si>
    <t>ธนชาต 1/560000</t>
  </si>
  <si>
    <t>TOYOTA VIOS 2015</t>
  </si>
  <si>
    <t>ธนชาต 1/450000</t>
  </si>
  <si>
    <t>ค่าจอดรถ</t>
  </si>
  <si>
    <t>HONDA CIVIC 2000</t>
  </si>
  <si>
    <t xml:space="preserve"> 2/100000</t>
  </si>
  <si>
    <t>CHEVROLET COLORADO 2013</t>
  </si>
  <si>
    <t xml:space="preserve">เจ้าพระยา </t>
  </si>
  <si>
    <t>PROTON EXORA 2010</t>
  </si>
  <si>
    <t>กรุงไทย 1/340000</t>
  </si>
  <si>
    <t>โตเกียว 1/300000</t>
  </si>
  <si>
    <t>ของเหลว (กรณีรถเสียหายหนัก)</t>
  </si>
  <si>
    <t>HONDA CITY 2014</t>
  </si>
  <si>
    <t>แผ่นอลูมิเนียมปิดหลังคา</t>
  </si>
  <si>
    <t>NISSAN X-TRAIL 1992</t>
  </si>
  <si>
    <t>FORD RANGER 2013</t>
  </si>
  <si>
    <t>พ่นกันสนิมฝาคอบเครื่อง</t>
  </si>
  <si>
    <t>1708072</t>
  </si>
  <si>
    <t>1709006</t>
  </si>
  <si>
    <t>1709041</t>
  </si>
  <si>
    <t>สุรกฤษ ศิริโชคบุญอุดม</t>
  </si>
  <si>
    <t>กค3112</t>
  </si>
  <si>
    <t>โอฬาร พวงมณี</t>
  </si>
  <si>
    <t>ฌศ3586</t>
  </si>
  <si>
    <t>บรรจง ชาญศรี</t>
  </si>
  <si>
    <t>5กณ5524</t>
  </si>
  <si>
    <t>1701001</t>
  </si>
  <si>
    <t>1701002</t>
  </si>
  <si>
    <t>1701003</t>
  </si>
  <si>
    <t>1701004</t>
  </si>
  <si>
    <t>1701005</t>
  </si>
  <si>
    <t>1701006</t>
  </si>
  <si>
    <t>1701007</t>
  </si>
  <si>
    <t>1701008</t>
  </si>
  <si>
    <t>1701009</t>
  </si>
  <si>
    <t>1701010</t>
  </si>
  <si>
    <t>1701011</t>
  </si>
  <si>
    <t>1701012</t>
  </si>
  <si>
    <t>1701013</t>
  </si>
  <si>
    <t>1701014</t>
  </si>
  <si>
    <t>1701015</t>
  </si>
  <si>
    <t>1701016</t>
  </si>
  <si>
    <t>1701017</t>
  </si>
  <si>
    <t>1701018</t>
  </si>
  <si>
    <t>1701019</t>
  </si>
  <si>
    <t>1701020</t>
  </si>
  <si>
    <t>1701021</t>
  </si>
  <si>
    <t>1701022</t>
  </si>
  <si>
    <t>1701023</t>
  </si>
  <si>
    <t>1701024</t>
  </si>
  <si>
    <t>1701025</t>
  </si>
  <si>
    <t>1701026</t>
  </si>
  <si>
    <t>1701027</t>
  </si>
  <si>
    <t>1701028</t>
  </si>
  <si>
    <t>1701029</t>
  </si>
  <si>
    <t>1701030</t>
  </si>
  <si>
    <t>1701031</t>
  </si>
  <si>
    <t>1701032</t>
  </si>
  <si>
    <t>1701033</t>
  </si>
  <si>
    <t>1701034</t>
  </si>
  <si>
    <t>1701035</t>
  </si>
  <si>
    <t>1701036</t>
  </si>
  <si>
    <t>1701037</t>
  </si>
  <si>
    <t>1701038</t>
  </si>
  <si>
    <t>1701039</t>
  </si>
  <si>
    <t>1701040</t>
  </si>
  <si>
    <t>1701041</t>
  </si>
  <si>
    <t>1701042</t>
  </si>
  <si>
    <t>1701043</t>
  </si>
  <si>
    <t>1701044</t>
  </si>
  <si>
    <t>1701045</t>
  </si>
  <si>
    <t>1701046</t>
  </si>
  <si>
    <t>1701047</t>
  </si>
  <si>
    <t>1701048</t>
  </si>
  <si>
    <t>1701049</t>
  </si>
  <si>
    <t>1701050</t>
  </si>
  <si>
    <t>1701051</t>
  </si>
  <si>
    <t>1701052</t>
  </si>
  <si>
    <t>1701053</t>
  </si>
  <si>
    <t>1701054</t>
  </si>
  <si>
    <t>1701055</t>
  </si>
  <si>
    <t>1701056</t>
  </si>
  <si>
    <t>1701057</t>
  </si>
  <si>
    <t>1701058</t>
  </si>
  <si>
    <t>1701059</t>
  </si>
  <si>
    <t>1701060</t>
  </si>
  <si>
    <t>1701061</t>
  </si>
  <si>
    <t>1701062</t>
  </si>
  <si>
    <t>1701063</t>
  </si>
  <si>
    <t>1701064</t>
  </si>
  <si>
    <t>1701065</t>
  </si>
  <si>
    <t>1701066</t>
  </si>
  <si>
    <t>1701067</t>
  </si>
  <si>
    <t>1701068</t>
  </si>
  <si>
    <t>1701069</t>
  </si>
  <si>
    <t>1701070</t>
  </si>
  <si>
    <t>1701071</t>
  </si>
  <si>
    <t>1701072</t>
  </si>
  <si>
    <t>1701073</t>
  </si>
  <si>
    <t>1701074</t>
  </si>
  <si>
    <t>1701075</t>
  </si>
  <si>
    <t>1701076</t>
  </si>
  <si>
    <t>1701077</t>
  </si>
  <si>
    <t>1701078</t>
  </si>
  <si>
    <t>1701079</t>
  </si>
  <si>
    <t>1701080</t>
  </si>
  <si>
    <t>1701081</t>
  </si>
  <si>
    <t>1701082</t>
  </si>
  <si>
    <t>1701083</t>
  </si>
  <si>
    <t>1701084</t>
  </si>
  <si>
    <t>1701085</t>
  </si>
  <si>
    <t>1701086</t>
  </si>
  <si>
    <t>1701087</t>
  </si>
  <si>
    <t>1701088</t>
  </si>
  <si>
    <t>1701089</t>
  </si>
  <si>
    <t>1701090</t>
  </si>
  <si>
    <t>1701091</t>
  </si>
  <si>
    <t>1701092</t>
  </si>
  <si>
    <t>1701093</t>
  </si>
  <si>
    <t>1701094</t>
  </si>
  <si>
    <t>1701095</t>
  </si>
  <si>
    <t>1701096</t>
  </si>
  <si>
    <t>1701097</t>
  </si>
  <si>
    <t>1701098</t>
  </si>
  <si>
    <t>1701099</t>
  </si>
  <si>
    <t>1701100</t>
  </si>
  <si>
    <t>1701101</t>
  </si>
  <si>
    <t>1701102</t>
  </si>
  <si>
    <t>1701103</t>
  </si>
  <si>
    <t>1701104</t>
  </si>
  <si>
    <t>1701105</t>
  </si>
  <si>
    <t>1701106</t>
  </si>
  <si>
    <t>1701107</t>
  </si>
  <si>
    <t>1701108</t>
  </si>
  <si>
    <t>1701109</t>
  </si>
  <si>
    <t>1701110</t>
  </si>
  <si>
    <t>1701111</t>
  </si>
  <si>
    <t>1701112</t>
  </si>
  <si>
    <t>1701113</t>
  </si>
  <si>
    <t>1701114</t>
  </si>
  <si>
    <t>1701115</t>
  </si>
  <si>
    <t>1701116</t>
  </si>
  <si>
    <t>1701117</t>
  </si>
  <si>
    <t>1701118</t>
  </si>
  <si>
    <t>1701119</t>
  </si>
  <si>
    <t>1701120</t>
  </si>
  <si>
    <t>1701121</t>
  </si>
  <si>
    <t>1701122</t>
  </si>
  <si>
    <t>1701123</t>
  </si>
  <si>
    <t>1701124</t>
  </si>
  <si>
    <t>1701125</t>
  </si>
  <si>
    <t>1701126</t>
  </si>
  <si>
    <t>1701127</t>
  </si>
  <si>
    <t>1701128</t>
  </si>
  <si>
    <t>1701129</t>
  </si>
  <si>
    <t>1701130</t>
  </si>
  <si>
    <t>1701131</t>
  </si>
  <si>
    <t>1701132</t>
  </si>
  <si>
    <t>1701133</t>
  </si>
  <si>
    <t>1701134</t>
  </si>
  <si>
    <t>1701135</t>
  </si>
  <si>
    <t>1701136</t>
  </si>
  <si>
    <t>1701137</t>
  </si>
  <si>
    <t>1701138</t>
  </si>
  <si>
    <t>1701139</t>
  </si>
  <si>
    <t>1701140</t>
  </si>
  <si>
    <t>1701141</t>
  </si>
  <si>
    <t>1701142</t>
  </si>
  <si>
    <t>1701143</t>
  </si>
  <si>
    <t>1701144</t>
  </si>
  <si>
    <t>1701145</t>
  </si>
  <si>
    <t>1701146</t>
  </si>
  <si>
    <t>1701147</t>
  </si>
  <si>
    <t>1701148</t>
  </si>
  <si>
    <t>1701149</t>
  </si>
  <si>
    <t>1701150</t>
  </si>
  <si>
    <t>1701151</t>
  </si>
  <si>
    <t>1701152</t>
  </si>
  <si>
    <t>1701153</t>
  </si>
  <si>
    <t>1701154</t>
  </si>
  <si>
    <t>1701155</t>
  </si>
  <si>
    <t>1701156</t>
  </si>
  <si>
    <t>1701157</t>
  </si>
  <si>
    <t>1701158</t>
  </si>
  <si>
    <t>1701159</t>
  </si>
  <si>
    <t>1701160</t>
  </si>
  <si>
    <t>1701161</t>
  </si>
  <si>
    <t>1701162</t>
  </si>
  <si>
    <t>1701163</t>
  </si>
  <si>
    <t>1701164</t>
  </si>
  <si>
    <t>1701165</t>
  </si>
  <si>
    <t>1701166</t>
  </si>
  <si>
    <t>1701167</t>
  </si>
  <si>
    <t>1701168</t>
  </si>
  <si>
    <t>1701169</t>
  </si>
  <si>
    <t>1701170</t>
  </si>
  <si>
    <t>1701171</t>
  </si>
  <si>
    <t>1701172</t>
  </si>
  <si>
    <t>1702001</t>
  </si>
  <si>
    <t>1702002</t>
  </si>
  <si>
    <t>1702003</t>
  </si>
  <si>
    <t>1702004</t>
  </si>
  <si>
    <t>1702005</t>
  </si>
  <si>
    <t>1702006</t>
  </si>
  <si>
    <t>1702007</t>
  </si>
  <si>
    <t>1702008</t>
  </si>
  <si>
    <t>1702009</t>
  </si>
  <si>
    <t>1702010</t>
  </si>
  <si>
    <t>1702011</t>
  </si>
  <si>
    <t>1702012</t>
  </si>
  <si>
    <t>1702013</t>
  </si>
  <si>
    <t>1702014</t>
  </si>
  <si>
    <t>1702015</t>
  </si>
  <si>
    <t>1702016</t>
  </si>
  <si>
    <t>1702017</t>
  </si>
  <si>
    <t>1702018</t>
  </si>
  <si>
    <t>1702019</t>
  </si>
  <si>
    <t>1702020</t>
  </si>
  <si>
    <t>1702021</t>
  </si>
  <si>
    <t>1702022</t>
  </si>
  <si>
    <t>1702023</t>
  </si>
  <si>
    <t>1702024</t>
  </si>
  <si>
    <t>1702025</t>
  </si>
  <si>
    <t>1702026</t>
  </si>
  <si>
    <t>1702027</t>
  </si>
  <si>
    <t>1702028</t>
  </si>
  <si>
    <t>1702029</t>
  </si>
  <si>
    <t>1702030</t>
  </si>
  <si>
    <t>1702031</t>
  </si>
  <si>
    <t>1702032</t>
  </si>
  <si>
    <t>1702033</t>
  </si>
  <si>
    <t>1702034</t>
  </si>
  <si>
    <t>1702035</t>
  </si>
  <si>
    <t>1702036</t>
  </si>
  <si>
    <t>1702037</t>
  </si>
  <si>
    <t>1702038</t>
  </si>
  <si>
    <t>1702039</t>
  </si>
  <si>
    <t>1702040</t>
  </si>
  <si>
    <t>1702041</t>
  </si>
  <si>
    <t>1702042</t>
  </si>
  <si>
    <t>1702043</t>
  </si>
  <si>
    <t>1702044</t>
  </si>
  <si>
    <t>1702045</t>
  </si>
  <si>
    <t>1702046</t>
  </si>
  <si>
    <t>1702047</t>
  </si>
  <si>
    <t>1702048</t>
  </si>
  <si>
    <t>1702049</t>
  </si>
  <si>
    <t>1702050</t>
  </si>
  <si>
    <t>1702051</t>
  </si>
  <si>
    <t>1702052</t>
  </si>
  <si>
    <t>1702053</t>
  </si>
  <si>
    <t>1702054</t>
  </si>
  <si>
    <t>1702055</t>
  </si>
  <si>
    <t>1702056</t>
  </si>
  <si>
    <t>1702057</t>
  </si>
  <si>
    <t>1702058</t>
  </si>
  <si>
    <t>1702059</t>
  </si>
  <si>
    <t>1702060</t>
  </si>
  <si>
    <t>1702061</t>
  </si>
  <si>
    <t>1702062</t>
  </si>
  <si>
    <t>1702063</t>
  </si>
  <si>
    <t>1702064</t>
  </si>
  <si>
    <t>1702065</t>
  </si>
  <si>
    <t>1702066</t>
  </si>
  <si>
    <t>1702067</t>
  </si>
  <si>
    <t>1702068</t>
  </si>
  <si>
    <t>1702069</t>
  </si>
  <si>
    <t>1702070</t>
  </si>
  <si>
    <t>1702071</t>
  </si>
  <si>
    <t>1702072</t>
  </si>
  <si>
    <t>1702073</t>
  </si>
  <si>
    <t>1702074</t>
  </si>
  <si>
    <t>1702075</t>
  </si>
  <si>
    <t>1702076</t>
  </si>
  <si>
    <t>1702077</t>
  </si>
  <si>
    <t>1702078</t>
  </si>
  <si>
    <t>1702079</t>
  </si>
  <si>
    <t>1702080</t>
  </si>
  <si>
    <t>1702081</t>
  </si>
  <si>
    <t>1702082</t>
  </si>
  <si>
    <t>1702083</t>
  </si>
  <si>
    <t>1702084</t>
  </si>
  <si>
    <t>1702085</t>
  </si>
  <si>
    <t>1702086</t>
  </si>
  <si>
    <t>1702087</t>
  </si>
  <si>
    <t>1702088</t>
  </si>
  <si>
    <t>1702089</t>
  </si>
  <si>
    <t>1702090</t>
  </si>
  <si>
    <t>1702091</t>
  </si>
  <si>
    <t>1702092</t>
  </si>
  <si>
    <t>1702093</t>
  </si>
  <si>
    <t>1702094</t>
  </si>
  <si>
    <t>1702095</t>
  </si>
  <si>
    <t>1702096</t>
  </si>
  <si>
    <t>1702097</t>
  </si>
  <si>
    <t>1702098</t>
  </si>
  <si>
    <t>1702099</t>
  </si>
  <si>
    <t>1702100</t>
  </si>
  <si>
    <t>1702101</t>
  </si>
  <si>
    <t>1703001</t>
  </si>
  <si>
    <t>1703002</t>
  </si>
  <si>
    <t>1703003</t>
  </si>
  <si>
    <t>1703004</t>
  </si>
  <si>
    <t>1703005</t>
  </si>
  <si>
    <t>1703006</t>
  </si>
  <si>
    <t>1703007</t>
  </si>
  <si>
    <t>1703008</t>
  </si>
  <si>
    <t>1703009</t>
  </si>
  <si>
    <t>1703010</t>
  </si>
  <si>
    <t>1703011</t>
  </si>
  <si>
    <t>1703012</t>
  </si>
  <si>
    <t>1703013</t>
  </si>
  <si>
    <t>1703014</t>
  </si>
  <si>
    <t>1703015</t>
  </si>
  <si>
    <t>1703016</t>
  </si>
  <si>
    <t>1703017</t>
  </si>
  <si>
    <t>1703018</t>
  </si>
  <si>
    <t>1703019</t>
  </si>
  <si>
    <t>1703020</t>
  </si>
  <si>
    <t>1703021</t>
  </si>
  <si>
    <t>1703022</t>
  </si>
  <si>
    <t>1703023</t>
  </si>
  <si>
    <t>1703024</t>
  </si>
  <si>
    <t>1703025</t>
  </si>
  <si>
    <t>1703026</t>
  </si>
  <si>
    <t>1703027</t>
  </si>
  <si>
    <t>1703028</t>
  </si>
  <si>
    <t>1703029</t>
  </si>
  <si>
    <t>1703030</t>
  </si>
  <si>
    <t>1703031</t>
  </si>
  <si>
    <t>1703032</t>
  </si>
  <si>
    <t>1703033</t>
  </si>
  <si>
    <t>1703034</t>
  </si>
  <si>
    <t>1703035</t>
  </si>
  <si>
    <t>1703036</t>
  </si>
  <si>
    <t>1703037</t>
  </si>
  <si>
    <t>1703038</t>
  </si>
  <si>
    <t>1703039</t>
  </si>
  <si>
    <t>1703040</t>
  </si>
  <si>
    <t>1703041</t>
  </si>
  <si>
    <t>1703042</t>
  </si>
  <si>
    <t>1703043</t>
  </si>
  <si>
    <t>1703044</t>
  </si>
  <si>
    <t>1703045</t>
  </si>
  <si>
    <t>1703046</t>
  </si>
  <si>
    <t>1703047</t>
  </si>
  <si>
    <t>1703048</t>
  </si>
  <si>
    <t>1703049</t>
  </si>
  <si>
    <t>1703050</t>
  </si>
  <si>
    <t>1703051</t>
  </si>
  <si>
    <t>1703052</t>
  </si>
  <si>
    <t>1703053</t>
  </si>
  <si>
    <t>1703054</t>
  </si>
  <si>
    <t>1703055</t>
  </si>
  <si>
    <t>1703056</t>
  </si>
  <si>
    <t>1703057</t>
  </si>
  <si>
    <t>1703058</t>
  </si>
  <si>
    <t>1703059</t>
  </si>
  <si>
    <t>1703060</t>
  </si>
  <si>
    <t>1703061</t>
  </si>
  <si>
    <t>1703062</t>
  </si>
  <si>
    <t>1703063</t>
  </si>
  <si>
    <t>1703064</t>
  </si>
  <si>
    <t>1703065</t>
  </si>
  <si>
    <t>1703066</t>
  </si>
  <si>
    <t>1703067</t>
  </si>
  <si>
    <t>1703068</t>
  </si>
  <si>
    <t>1703069</t>
  </si>
  <si>
    <t>1703070</t>
  </si>
  <si>
    <t>1703071</t>
  </si>
  <si>
    <t>1703072</t>
  </si>
  <si>
    <t>1703073</t>
  </si>
  <si>
    <t>1703074</t>
  </si>
  <si>
    <t>1703075</t>
  </si>
  <si>
    <t>1703076</t>
  </si>
  <si>
    <t>1703077</t>
  </si>
  <si>
    <t>1703078</t>
  </si>
  <si>
    <t>1703079</t>
  </si>
  <si>
    <t>1703080</t>
  </si>
  <si>
    <t>1703081</t>
  </si>
  <si>
    <t>1703082</t>
  </si>
  <si>
    <t>1703083</t>
  </si>
  <si>
    <t>1703084</t>
  </si>
  <si>
    <t>1703085</t>
  </si>
  <si>
    <t>1704001</t>
  </si>
  <si>
    <t>1704002</t>
  </si>
  <si>
    <t>1704003</t>
  </si>
  <si>
    <t>1704004</t>
  </si>
  <si>
    <t>1704005</t>
  </si>
  <si>
    <t>1704006</t>
  </si>
  <si>
    <t>1704007</t>
  </si>
  <si>
    <t>1704008</t>
  </si>
  <si>
    <t>1704009</t>
  </si>
  <si>
    <t>1704010</t>
  </si>
  <si>
    <t>1704011</t>
  </si>
  <si>
    <t>1704012</t>
  </si>
  <si>
    <t>1704013</t>
  </si>
  <si>
    <t>1704014</t>
  </si>
  <si>
    <t>1704015</t>
  </si>
  <si>
    <t>1704016</t>
  </si>
  <si>
    <t>1704017</t>
  </si>
  <si>
    <t>1704018</t>
  </si>
  <si>
    <t>1704019</t>
  </si>
  <si>
    <t>1704020</t>
  </si>
  <si>
    <t>1704021</t>
  </si>
  <si>
    <t>1704022</t>
  </si>
  <si>
    <t>1704023</t>
  </si>
  <si>
    <t>1704024</t>
  </si>
  <si>
    <t>1704025</t>
  </si>
  <si>
    <t>1704026</t>
  </si>
  <si>
    <t>1704027</t>
  </si>
  <si>
    <t>1704028</t>
  </si>
  <si>
    <t>1704029</t>
  </si>
  <si>
    <t>1704030</t>
  </si>
  <si>
    <t>1704031</t>
  </si>
  <si>
    <t>1704032</t>
  </si>
  <si>
    <t>1704033</t>
  </si>
  <si>
    <t>1704034</t>
  </si>
  <si>
    <t>1704035</t>
  </si>
  <si>
    <t>1704036</t>
  </si>
  <si>
    <t>1704037</t>
  </si>
  <si>
    <t>1704038</t>
  </si>
  <si>
    <t>1704039</t>
  </si>
  <si>
    <t>1704040</t>
  </si>
  <si>
    <t>1704041</t>
  </si>
  <si>
    <t>1705001</t>
  </si>
  <si>
    <t>1705002</t>
  </si>
  <si>
    <t>1705003</t>
  </si>
  <si>
    <t>1705004</t>
  </si>
  <si>
    <t>1705005</t>
  </si>
  <si>
    <t>1705006</t>
  </si>
  <si>
    <t>1705007</t>
  </si>
  <si>
    <t>1705008</t>
  </si>
  <si>
    <t>1705009</t>
  </si>
  <si>
    <t>1705010</t>
  </si>
  <si>
    <t>1705011</t>
  </si>
  <si>
    <t>1705012</t>
  </si>
  <si>
    <t>1705013</t>
  </si>
  <si>
    <t>1705014</t>
  </si>
  <si>
    <t>1705015</t>
  </si>
  <si>
    <t>1705016</t>
  </si>
  <si>
    <t>1705017</t>
  </si>
  <si>
    <t>1705018</t>
  </si>
  <si>
    <t>1705019</t>
  </si>
  <si>
    <t>1705020</t>
  </si>
  <si>
    <t>1705021</t>
  </si>
  <si>
    <t>1705022</t>
  </si>
  <si>
    <t>1705023</t>
  </si>
  <si>
    <t>1705024</t>
  </si>
  <si>
    <t>1705025</t>
  </si>
  <si>
    <t>1705026</t>
  </si>
  <si>
    <t>1705027</t>
  </si>
  <si>
    <t>1705028</t>
  </si>
  <si>
    <t>1705029</t>
  </si>
  <si>
    <t>1705030</t>
  </si>
  <si>
    <t>1705031</t>
  </si>
  <si>
    <t>1705032</t>
  </si>
  <si>
    <t>1705033</t>
  </si>
  <si>
    <t>1705034</t>
  </si>
  <si>
    <t>1705035</t>
  </si>
  <si>
    <t>1705036</t>
  </si>
  <si>
    <t>1705037</t>
  </si>
  <si>
    <t>1705038</t>
  </si>
  <si>
    <t>1705039</t>
  </si>
  <si>
    <t>1705040</t>
  </si>
  <si>
    <t>1705041</t>
  </si>
  <si>
    <t>1705042</t>
  </si>
  <si>
    <t>1705043</t>
  </si>
  <si>
    <t>1705044</t>
  </si>
  <si>
    <t>1705045</t>
  </si>
  <si>
    <t>1705046</t>
  </si>
  <si>
    <t>1705047</t>
  </si>
  <si>
    <t>1705048</t>
  </si>
  <si>
    <t>1705049</t>
  </si>
  <si>
    <t>1705050</t>
  </si>
  <si>
    <t>1705051</t>
  </si>
  <si>
    <t>1705052</t>
  </si>
  <si>
    <t>1705053</t>
  </si>
  <si>
    <t>1705054</t>
  </si>
  <si>
    <t>1705055</t>
  </si>
  <si>
    <t>1705056</t>
  </si>
  <si>
    <t>1705057</t>
  </si>
  <si>
    <t>1705058</t>
  </si>
  <si>
    <t>1705059</t>
  </si>
  <si>
    <t>1705060</t>
  </si>
  <si>
    <t>1705061</t>
  </si>
  <si>
    <t>1705062</t>
  </si>
  <si>
    <t>1705063</t>
  </si>
  <si>
    <t>1706001</t>
  </si>
  <si>
    <t>1706002</t>
  </si>
  <si>
    <t>1706003</t>
  </si>
  <si>
    <t>1706004</t>
  </si>
  <si>
    <t>1706005</t>
  </si>
  <si>
    <t>1706006</t>
  </si>
  <si>
    <t>1706007</t>
  </si>
  <si>
    <t>1706008</t>
  </si>
  <si>
    <t>1706009</t>
  </si>
  <si>
    <t>1706010</t>
  </si>
  <si>
    <t>1706011</t>
  </si>
  <si>
    <t>1706012</t>
  </si>
  <si>
    <t>1706013</t>
  </si>
  <si>
    <t>1706014</t>
  </si>
  <si>
    <t>1706015</t>
  </si>
  <si>
    <t>1706016</t>
  </si>
  <si>
    <t>1706017</t>
  </si>
  <si>
    <t>1706018</t>
  </si>
  <si>
    <t>1706019</t>
  </si>
  <si>
    <t>1706020</t>
  </si>
  <si>
    <t>1706021</t>
  </si>
  <si>
    <t>1706022</t>
  </si>
  <si>
    <t>1706023</t>
  </si>
  <si>
    <t>1706024</t>
  </si>
  <si>
    <t>1706025</t>
  </si>
  <si>
    <t>1706026</t>
  </si>
  <si>
    <t>1706027</t>
  </si>
  <si>
    <t>1706028</t>
  </si>
  <si>
    <t>1706029</t>
  </si>
  <si>
    <t>1706030</t>
  </si>
  <si>
    <t>1706031</t>
  </si>
  <si>
    <t>1706032</t>
  </si>
  <si>
    <t>1706033</t>
  </si>
  <si>
    <t>1706034</t>
  </si>
  <si>
    <t>1706035</t>
  </si>
  <si>
    <t>1706036</t>
  </si>
  <si>
    <t>1706037</t>
  </si>
  <si>
    <t>1706038</t>
  </si>
  <si>
    <t>1706039</t>
  </si>
  <si>
    <t>1706040</t>
  </si>
  <si>
    <t>1706041</t>
  </si>
  <si>
    <t>1706042</t>
  </si>
  <si>
    <t>1706043</t>
  </si>
  <si>
    <t>1706044</t>
  </si>
  <si>
    <t>1706045</t>
  </si>
  <si>
    <t>1706046</t>
  </si>
  <si>
    <t>1706047</t>
  </si>
  <si>
    <t>1706048</t>
  </si>
  <si>
    <t>1706049</t>
  </si>
  <si>
    <t>1706050</t>
  </si>
  <si>
    <t>1706051</t>
  </si>
  <si>
    <t>1706052</t>
  </si>
  <si>
    <t>1706053</t>
  </si>
  <si>
    <t>1706054</t>
  </si>
  <si>
    <t>1706055</t>
  </si>
  <si>
    <t>1706056</t>
  </si>
  <si>
    <t>1706057</t>
  </si>
  <si>
    <t>1706058</t>
  </si>
  <si>
    <t>1706059</t>
  </si>
  <si>
    <t>1706060</t>
  </si>
  <si>
    <t>1706061</t>
  </si>
  <si>
    <t>1706062</t>
  </si>
  <si>
    <t>1706063</t>
  </si>
  <si>
    <t>1706064</t>
  </si>
  <si>
    <t>1706065</t>
  </si>
  <si>
    <t>1706066</t>
  </si>
  <si>
    <t>1706067</t>
  </si>
  <si>
    <t>1706068</t>
  </si>
  <si>
    <t>1706069</t>
  </si>
  <si>
    <t>1706070</t>
  </si>
  <si>
    <t>1707001</t>
  </si>
  <si>
    <t>1707002</t>
  </si>
  <si>
    <t>1707003</t>
  </si>
  <si>
    <t>1707004</t>
  </si>
  <si>
    <t>1707005</t>
  </si>
  <si>
    <t>1707006</t>
  </si>
  <si>
    <t>1707007</t>
  </si>
  <si>
    <t>1707008</t>
  </si>
  <si>
    <t>1707009</t>
  </si>
  <si>
    <t>1707010</t>
  </si>
  <si>
    <t>1707011</t>
  </si>
  <si>
    <t>1707012</t>
  </si>
  <si>
    <t>1707013</t>
  </si>
  <si>
    <t>1707014</t>
  </si>
  <si>
    <t>1707015</t>
  </si>
  <si>
    <t>1707016</t>
  </si>
  <si>
    <t>1707017</t>
  </si>
  <si>
    <t>1707018</t>
  </si>
  <si>
    <t>1707019</t>
  </si>
  <si>
    <t>1707020</t>
  </si>
  <si>
    <t>1707021</t>
  </si>
  <si>
    <t>1707022</t>
  </si>
  <si>
    <t>1707023</t>
  </si>
  <si>
    <t>1707024</t>
  </si>
  <si>
    <t>1707025</t>
  </si>
  <si>
    <t>1707026</t>
  </si>
  <si>
    <t>1707027</t>
  </si>
  <si>
    <t>1707028</t>
  </si>
  <si>
    <t>1707029</t>
  </si>
  <si>
    <t>1707030</t>
  </si>
  <si>
    <t>1707031</t>
  </si>
  <si>
    <t>1707032</t>
  </si>
  <si>
    <t>1707033</t>
  </si>
  <si>
    <t>1707034</t>
  </si>
  <si>
    <t>1707035</t>
  </si>
  <si>
    <t>1707036</t>
  </si>
  <si>
    <t>1707037</t>
  </si>
  <si>
    <t>1707038</t>
  </si>
  <si>
    <t>1707039</t>
  </si>
  <si>
    <t>1707040</t>
  </si>
  <si>
    <t>1707041</t>
  </si>
  <si>
    <t>1707042</t>
  </si>
  <si>
    <t>1707043</t>
  </si>
  <si>
    <t>1707044</t>
  </si>
  <si>
    <t>1707045</t>
  </si>
  <si>
    <t>1707046</t>
  </si>
  <si>
    <t>1707047</t>
  </si>
  <si>
    <t>1707048</t>
  </si>
  <si>
    <t>1707049</t>
  </si>
  <si>
    <t>1707050</t>
  </si>
  <si>
    <t>1707051</t>
  </si>
  <si>
    <t>1707052</t>
  </si>
  <si>
    <t>1707054</t>
  </si>
  <si>
    <t>1707055</t>
  </si>
  <si>
    <t>1707056</t>
  </si>
  <si>
    <t>1707057</t>
  </si>
  <si>
    <t>1707058</t>
  </si>
  <si>
    <t>1707059</t>
  </si>
  <si>
    <t>1707060</t>
  </si>
  <si>
    <t>1707061</t>
  </si>
  <si>
    <t>1707062</t>
  </si>
  <si>
    <t>1707063</t>
  </si>
  <si>
    <t>1707064</t>
  </si>
  <si>
    <t>1707065</t>
  </si>
  <si>
    <t>1707066</t>
  </si>
  <si>
    <t>1707067</t>
  </si>
  <si>
    <t>1707068</t>
  </si>
  <si>
    <t>1707069</t>
  </si>
  <si>
    <t>1707070</t>
  </si>
  <si>
    <t>1707071</t>
  </si>
  <si>
    <t>1708001</t>
  </si>
  <si>
    <t>1708002</t>
  </si>
  <si>
    <t>1708003</t>
  </si>
  <si>
    <t>1708004</t>
  </si>
  <si>
    <t>1708005</t>
  </si>
  <si>
    <t>1708006</t>
  </si>
  <si>
    <t>1708007</t>
  </si>
  <si>
    <t>1708008</t>
  </si>
  <si>
    <t>1708009</t>
  </si>
  <si>
    <t>1708010</t>
  </si>
  <si>
    <t>1708011</t>
  </si>
  <si>
    <t>1708012</t>
  </si>
  <si>
    <t>1708013</t>
  </si>
  <si>
    <t>1708014</t>
  </si>
  <si>
    <t>1708015</t>
  </si>
  <si>
    <t>1708016</t>
  </si>
  <si>
    <t>1708017</t>
  </si>
  <si>
    <t>1708018</t>
  </si>
  <si>
    <t>1708019</t>
  </si>
  <si>
    <t>1708020</t>
  </si>
  <si>
    <t>1708021</t>
  </si>
  <si>
    <t>1708022</t>
  </si>
  <si>
    <t>1708023</t>
  </si>
  <si>
    <t>1708024</t>
  </si>
  <si>
    <t>1708025</t>
  </si>
  <si>
    <t>1708026</t>
  </si>
  <si>
    <t>1708027</t>
  </si>
  <si>
    <t>1708028</t>
  </si>
  <si>
    <t>1708029</t>
  </si>
  <si>
    <t>1708030</t>
  </si>
  <si>
    <t>1708031</t>
  </si>
  <si>
    <t>1708032</t>
  </si>
  <si>
    <t>1708033</t>
  </si>
  <si>
    <t>1708034</t>
  </si>
  <si>
    <t>1708035</t>
  </si>
  <si>
    <t>1708036</t>
  </si>
  <si>
    <t>1708037</t>
  </si>
  <si>
    <t>1708038</t>
  </si>
  <si>
    <t>1708039</t>
  </si>
  <si>
    <t>1708040</t>
  </si>
  <si>
    <t>1708041</t>
  </si>
  <si>
    <t>1708042</t>
  </si>
  <si>
    <t>1708043</t>
  </si>
  <si>
    <t>1708044</t>
  </si>
  <si>
    <t>1708045</t>
  </si>
  <si>
    <t>1708046</t>
  </si>
  <si>
    <t>1708047</t>
  </si>
  <si>
    <t>1708048</t>
  </si>
  <si>
    <t>1708049</t>
  </si>
  <si>
    <t>1708050</t>
  </si>
  <si>
    <t>1708051</t>
  </si>
  <si>
    <t>1708052</t>
  </si>
  <si>
    <t>1708053</t>
  </si>
  <si>
    <t>1708054</t>
  </si>
  <si>
    <t>1708055</t>
  </si>
  <si>
    <t>1708056</t>
  </si>
  <si>
    <t>1708057</t>
  </si>
  <si>
    <t>1708058</t>
  </si>
  <si>
    <t>1708059</t>
  </si>
  <si>
    <t>1708060</t>
  </si>
  <si>
    <t>1708061</t>
  </si>
  <si>
    <t>1708062</t>
  </si>
  <si>
    <t>1708063</t>
  </si>
  <si>
    <t>1708064</t>
  </si>
  <si>
    <t>1708065</t>
  </si>
  <si>
    <t>1708066</t>
  </si>
  <si>
    <t>1708067</t>
  </si>
  <si>
    <t>1708068</t>
  </si>
  <si>
    <t>1708069</t>
  </si>
  <si>
    <t>1708070</t>
  </si>
  <si>
    <t>1708071</t>
  </si>
  <si>
    <t>1708073</t>
  </si>
  <si>
    <t>1708074</t>
  </si>
  <si>
    <t>1708075</t>
  </si>
  <si>
    <t>1709001</t>
  </si>
  <si>
    <t>1709002</t>
  </si>
  <si>
    <t>1709003</t>
  </si>
  <si>
    <t>1709004</t>
  </si>
  <si>
    <t>1709005</t>
  </si>
  <si>
    <t>1709007</t>
  </si>
  <si>
    <t>1709008</t>
  </si>
  <si>
    <t>1709009</t>
  </si>
  <si>
    <t>1709010</t>
  </si>
  <si>
    <t>1709011</t>
  </si>
  <si>
    <t>1709012</t>
  </si>
  <si>
    <t>1709013</t>
  </si>
  <si>
    <t>1709014</t>
  </si>
  <si>
    <t>1709015</t>
  </si>
  <si>
    <t>1709016</t>
  </si>
  <si>
    <t>1709017</t>
  </si>
  <si>
    <t>1709018</t>
  </si>
  <si>
    <t>1709019</t>
  </si>
  <si>
    <t>1709020</t>
  </si>
  <si>
    <t>1709021</t>
  </si>
  <si>
    <t>1709022</t>
  </si>
  <si>
    <t>1709023</t>
  </si>
  <si>
    <t>1709024</t>
  </si>
  <si>
    <t>1709025</t>
  </si>
  <si>
    <t>1709026</t>
  </si>
  <si>
    <t>1709027</t>
  </si>
  <si>
    <t>1709028</t>
  </si>
  <si>
    <t>1709029</t>
  </si>
  <si>
    <t>1709030</t>
  </si>
  <si>
    <t>1709031</t>
  </si>
  <si>
    <t>1709032</t>
  </si>
  <si>
    <t>1709033</t>
  </si>
  <si>
    <t>1709034</t>
  </si>
  <si>
    <t>1709035</t>
  </si>
  <si>
    <t>1709036</t>
  </si>
  <si>
    <t>1709037</t>
  </si>
  <si>
    <t>1709038</t>
  </si>
  <si>
    <t>1709039</t>
  </si>
  <si>
    <t>1709040</t>
  </si>
  <si>
    <t>1709042</t>
  </si>
  <si>
    <t>1709043</t>
  </si>
  <si>
    <t>1709044</t>
  </si>
  <si>
    <t>1709045</t>
  </si>
  <si>
    <t>1709046</t>
  </si>
  <si>
    <t>อินทร</t>
  </si>
  <si>
    <t>ซมโปะ</t>
  </si>
  <si>
    <t>บางกอกสห</t>
  </si>
  <si>
    <t>ทิพย</t>
  </si>
  <si>
    <t>ทินกร พิมพ์โสดา</t>
  </si>
  <si>
    <t>1ฒพ6139</t>
  </si>
  <si>
    <t>ทินกร ล่านาลาว</t>
  </si>
  <si>
    <t>บล8031</t>
  </si>
  <si>
    <t>อดิเทพ พงษ์พิบูลย์</t>
  </si>
  <si>
    <t>ฌข6051</t>
  </si>
  <si>
    <t>พศิน หรั่งสอาด</t>
  </si>
  <si>
    <t>ธนากร สมัครกสิการ</t>
  </si>
  <si>
    <t>4กฆ5093</t>
  </si>
  <si>
    <t>กรรณิการ์ แก้วกันเนตร</t>
  </si>
  <si>
    <t>ฎบ4333</t>
  </si>
  <si>
    <t>นงนุช กุลภัคจิรเดช</t>
  </si>
  <si>
    <t>ตษ1703</t>
  </si>
  <si>
    <t>นันทชัย จันทำ</t>
  </si>
  <si>
    <t>5กฎ8642</t>
  </si>
  <si>
    <t>พิชิต ใจภักดี</t>
  </si>
  <si>
    <t>2กศ4570</t>
  </si>
  <si>
    <t>หิรัญชัย ขันติเรือง</t>
  </si>
  <si>
    <t>ถจ4467</t>
  </si>
  <si>
    <t>อาทิตย์ คำพามา</t>
  </si>
  <si>
    <t>สมพร ทันธะศิริ</t>
  </si>
  <si>
    <t>บางครุ</t>
  </si>
  <si>
    <t>ญค3395</t>
  </si>
  <si>
    <t>นฤนาท เขาลาด</t>
  </si>
  <si>
    <t>ฒว649</t>
  </si>
  <si>
    <t>พีรยุทธ ตั้งจิตมั่นคง</t>
  </si>
  <si>
    <t>ฆฒ1995</t>
  </si>
  <si>
    <t>SPACE CAB</t>
  </si>
  <si>
    <t>ยงค์ทอง โชติประเสริฐ</t>
  </si>
  <si>
    <t>ฏอ4104</t>
  </si>
  <si>
    <t>นวล เจริญยิ่ง</t>
  </si>
  <si>
    <t>บย9580</t>
  </si>
  <si>
    <t>อภิสมา แจ้งยุบล</t>
  </si>
  <si>
    <t>กฉ2420</t>
  </si>
  <si>
    <t>ศักดิ์ชัย กรองสุวรรณ</t>
  </si>
  <si>
    <t>ฆฐ1607</t>
  </si>
  <si>
    <t>มงคลชัย แซ่คิ้ว</t>
  </si>
  <si>
    <t>ญณ9645</t>
  </si>
  <si>
    <t>ธีระชาติ ระหงษ์</t>
  </si>
  <si>
    <t>ฎร1106</t>
  </si>
  <si>
    <t>สิทธิพันธ์ เสาโกมุท</t>
  </si>
  <si>
    <t>ฎฮ1450</t>
  </si>
  <si>
    <t>SOLUNA</t>
  </si>
  <si>
    <t>ฐิติภัท ศรีจันทร์สุข</t>
  </si>
  <si>
    <t>ภท1042</t>
  </si>
  <si>
    <t>คมสัน จาระช้าด</t>
  </si>
  <si>
    <t>1ฒฌ1401</t>
  </si>
  <si>
    <t>MTISUBISHI</t>
  </si>
  <si>
    <t>สิทธิชัย จันทร์สอน</t>
  </si>
  <si>
    <t>1ฒฆ5821</t>
  </si>
  <si>
    <t>D-MAX SPACECAB</t>
  </si>
  <si>
    <t>กัญญา ศรีธรรมา</t>
  </si>
  <si>
    <t>ฆอ7539</t>
  </si>
  <si>
    <t>สุระเนตร ทองพุฒ</t>
  </si>
  <si>
    <t>ถษ1439</t>
  </si>
  <si>
    <t>วิวัฒน์ ร่มเลิศสุข</t>
  </si>
  <si>
    <t>ฆธ4652</t>
  </si>
  <si>
    <t>อำนวย พิมพ์ขวัญ</t>
  </si>
  <si>
    <t>ถส1578</t>
  </si>
  <si>
    <t>อรวรรณ จันทร์วงษ์</t>
  </si>
  <si>
    <t>ฆช1310</t>
  </si>
  <si>
    <t>นราทิพย์ ขัมภศร</t>
  </si>
  <si>
    <t>4กฬ6729</t>
  </si>
  <si>
    <t>อังกูร เกียรติสมบัติ</t>
  </si>
  <si>
    <t>บางโฉลง</t>
  </si>
  <si>
    <t>ภม6402</t>
  </si>
  <si>
    <t>อนุชา สวัสดิ์เมือง</t>
  </si>
  <si>
    <t>1ฒท9647</t>
  </si>
  <si>
    <t>รัชชานนท์ คล่องดี</t>
  </si>
  <si>
    <t>สายไหม</t>
  </si>
  <si>
    <t>ตษ2890</t>
  </si>
  <si>
    <t>เกรียงศักดิ์ ภิรมย์</t>
  </si>
  <si>
    <t>ฒม9087</t>
  </si>
  <si>
    <t>ดำรงค์เดช แก้วสุขนนท์</t>
  </si>
  <si>
    <t>ญผ2407</t>
  </si>
  <si>
    <t>ปทุมวิลัย ทองคำ</t>
  </si>
  <si>
    <t>5กฉ8506</t>
  </si>
  <si>
    <t>สุกัญญา บุญเรา</t>
  </si>
  <si>
    <t>แนน</t>
  </si>
  <si>
    <t>1กบ2617</t>
  </si>
  <si>
    <t>เพ็ญลักษณ์ จิตประสาน</t>
  </si>
  <si>
    <t>ศช325</t>
  </si>
  <si>
    <t>ชาญ วงค์จันทร์</t>
  </si>
  <si>
    <t>ฒฐ8043</t>
  </si>
  <si>
    <t>นัฐวุฒิ สิงห์ราชา</t>
  </si>
  <si>
    <t>3กย9176</t>
  </si>
  <si>
    <t>กนก มั่นศรี</t>
  </si>
  <si>
    <t>พระโขนงเหนือ</t>
  </si>
  <si>
    <t>1กม3976</t>
  </si>
  <si>
    <t>ยิ่งยศ ผลทับทิม</t>
  </si>
  <si>
    <t>บฉ9670</t>
  </si>
  <si>
    <t>กฤษฎา สุขประเสริฐ</t>
  </si>
  <si>
    <t>ผพ8222</t>
  </si>
  <si>
    <t>กรรณิการ์ แซ่จู</t>
  </si>
  <si>
    <t>3กค7607</t>
  </si>
  <si>
    <t>ประดม รัดธรรม</t>
  </si>
  <si>
    <t>การเคหะ</t>
  </si>
  <si>
    <t>ฒท8048</t>
  </si>
  <si>
    <t>ว่าที่ รต.วีระ สงสะนะ</t>
  </si>
  <si>
    <t>สุวรรณ ศรีจันทร์</t>
  </si>
  <si>
    <t>ฮพ3158</t>
  </si>
  <si>
    <t>MR. CAO SHANCHAO</t>
  </si>
  <si>
    <t>ผล138</t>
  </si>
  <si>
    <t>ศิรินทิพย์ สังข์เจริญ</t>
  </si>
  <si>
    <t>จิตติมา รอดศิริ</t>
  </si>
  <si>
    <t>บางปะกอก</t>
  </si>
  <si>
    <t>ษห7082</t>
  </si>
  <si>
    <t>สุริยา ศรีชนะ</t>
  </si>
  <si>
    <t>ฒษ956</t>
  </si>
  <si>
    <t>อภินันท์ จันทร์เสน</t>
  </si>
  <si>
    <t>2กภ9105</t>
  </si>
  <si>
    <t>HILANDER</t>
  </si>
  <si>
    <t>พิรดา วงศ์ธนาธิกุล</t>
  </si>
  <si>
    <t>PAJERO</t>
  </si>
  <si>
    <t>สมพร เพ็งเขียว</t>
  </si>
  <si>
    <t>ฒฮ3078</t>
  </si>
  <si>
    <t>จิรายุส กล้าสมศักดิ์</t>
  </si>
  <si>
    <t>ชฎ6014</t>
  </si>
  <si>
    <t>วิโรจน์ เพ็ชรล้ำ</t>
  </si>
  <si>
    <t>5กผ5412</t>
  </si>
  <si>
    <t>วิษณุ ซาเหลา</t>
  </si>
  <si>
    <t>1ฒย6588</t>
  </si>
  <si>
    <t>STRADA</t>
  </si>
  <si>
    <t>อนุพงษ์ พุฒแชม</t>
  </si>
  <si>
    <t>1กธ5891</t>
  </si>
  <si>
    <t>พรชัย จันทร์ตรี</t>
  </si>
  <si>
    <t>ถจ3961</t>
  </si>
  <si>
    <t>สุนันทา ทองหงษ์</t>
  </si>
  <si>
    <t>ญฮ4948</t>
  </si>
  <si>
    <t>กาลวิไล ตั้งเด่นชัย</t>
  </si>
  <si>
    <t>กฉ2552</t>
  </si>
  <si>
    <t>สิทธิ์ศักดา งามมาลา</t>
  </si>
  <si>
    <t>3กฒ6468</t>
  </si>
  <si>
    <t>จักรรินทร์ ฝ่ายฉิมพลี</t>
  </si>
  <si>
    <t>1กผ3064</t>
  </si>
  <si>
    <t>กรทิพย์ เจริญสุข</t>
  </si>
  <si>
    <t>ญต7124</t>
  </si>
  <si>
    <t>เกรียงไกร จาตุรงค์สกุล</t>
  </si>
  <si>
    <t>ชธ2651</t>
  </si>
  <si>
    <t>อนันต์ ต้นแก้ว</t>
  </si>
  <si>
    <t>ผข8181</t>
  </si>
  <si>
    <t>สุวรินทร์ ปัญจณัฐบงกช</t>
  </si>
  <si>
    <t>ฌจ3858</t>
  </si>
  <si>
    <t>ต่อศักดิ์ อิ่มแก้ว</t>
  </si>
  <si>
    <t>ฎธ4725</t>
  </si>
  <si>
    <t>ทิวากร บับภาวะตา</t>
  </si>
  <si>
    <t>ฒฉ6472</t>
  </si>
  <si>
    <t>นัฐวุฒิ สุตานนท์</t>
  </si>
  <si>
    <t>กร2247</t>
  </si>
  <si>
    <t>5กจ7450</t>
  </si>
  <si>
    <t>วริศรา เดือนขาว</t>
  </si>
  <si>
    <t>ฆฒ1310</t>
  </si>
  <si>
    <t>นิภาพร ระวิรัด</t>
  </si>
  <si>
    <t>1กล7595</t>
  </si>
  <si>
    <t>บุญเชาว์ วิทยามาศ</t>
  </si>
  <si>
    <t>ฒง9672</t>
  </si>
  <si>
    <t>ศรัณย์วัฒ ทองประเสริฐ</t>
  </si>
  <si>
    <t>2กฒ8201</t>
  </si>
  <si>
    <t>วีรชัย พีระธรรม</t>
  </si>
  <si>
    <t>5กณ9002</t>
  </si>
  <si>
    <t>ทนงศักดิ์ รุ่งเจริญ</t>
  </si>
  <si>
    <t>วต2115</t>
  </si>
  <si>
    <t>CEFIRO</t>
  </si>
  <si>
    <t>เทียนชัย กีรติชูวงศ์</t>
  </si>
  <si>
    <t>ษธ885</t>
  </si>
  <si>
    <t>BENZ</t>
  </si>
  <si>
    <t>E220</t>
  </si>
  <si>
    <t>บุญเฮ็ง คำสัตย์</t>
  </si>
  <si>
    <t>ฒค2586</t>
  </si>
  <si>
    <t>กานต์หฤษฎ์ ไตรวงศ์</t>
  </si>
  <si>
    <t>ณข1099</t>
  </si>
  <si>
    <t>เช้า กมลกลาง</t>
  </si>
  <si>
    <t>วว1088</t>
  </si>
  <si>
    <t>ว่าที่ รต.ณรงค์ ปัญญา</t>
  </si>
  <si>
    <t>สศ1829</t>
  </si>
  <si>
    <t>ภูรดา สวัสดีดวง</t>
  </si>
  <si>
    <t>วพ4053</t>
  </si>
  <si>
    <t>สุรพล พันธุ์ลำใย</t>
  </si>
  <si>
    <t>ถน7643</t>
  </si>
  <si>
    <t>ผู้การ อินตา</t>
  </si>
  <si>
    <t>บท6173</t>
  </si>
  <si>
    <t>ชัยณรงค์ บุดดี</t>
  </si>
  <si>
    <t>ฒถ7932</t>
  </si>
  <si>
    <t>ยิ่งยศ นาคเทียน</t>
  </si>
  <si>
    <t>ฎป8538</t>
  </si>
  <si>
    <t>สง่า วรรณโคตร</t>
  </si>
  <si>
    <t>1ฒฒ4721</t>
  </si>
  <si>
    <t>อดิศักดิ์ จาตูม</t>
  </si>
  <si>
    <t>สฎ3396</t>
  </si>
  <si>
    <t>นครินทร์ จันทร์อ่อน</t>
  </si>
  <si>
    <t>สุรศักดิ์ เนื้อไม้หอม</t>
  </si>
  <si>
    <t>ฒล9414</t>
  </si>
  <si>
    <t>ชลธี ปลื้มมาลี</t>
  </si>
  <si>
    <t>ญร 7864</t>
  </si>
  <si>
    <t>วิทสรุต คำศรี</t>
  </si>
  <si>
    <t>ตน4687</t>
  </si>
  <si>
    <t>นวลละออ ถนอมแก้วมรกต</t>
  </si>
  <si>
    <t>ฌฬ2810</t>
  </si>
  <si>
    <t>นิธินันท์ โฆษิตวัชรพัฒน์</t>
  </si>
  <si>
    <t>4กม6439</t>
  </si>
  <si>
    <t>PERSONA</t>
  </si>
  <si>
    <t>สุมิตตรา อัดเมือง</t>
  </si>
  <si>
    <t>1กฆ8286</t>
  </si>
  <si>
    <t>พงศ์ธร เกียรติวีระกุล</t>
  </si>
  <si>
    <t>ถห3834</t>
  </si>
  <si>
    <t>ภูมิพิพัฒน์ คล้อยคล้าย</t>
  </si>
  <si>
    <t>1ฒธ5449</t>
  </si>
  <si>
    <t>สุขุม ชาวหงษา</t>
  </si>
  <si>
    <t>สายลวด</t>
  </si>
  <si>
    <t>3กอ1773</t>
  </si>
  <si>
    <t>MU-X</t>
  </si>
  <si>
    <t>สุธรรม ธรรมศิริ</t>
  </si>
  <si>
    <t>1ฒศ3239</t>
  </si>
  <si>
    <t>อริสรา กุมภะ</t>
  </si>
  <si>
    <t>ญณ1134</t>
  </si>
  <si>
    <t>ปรีดา อาชาทองสุข</t>
  </si>
  <si>
    <t>3กจ9405</t>
  </si>
  <si>
    <t>วรีรัตน์ อาชาทองสุข</t>
  </si>
  <si>
    <t>ชล9582</t>
  </si>
  <si>
    <t>CHEVROLEY</t>
  </si>
  <si>
    <t>สอดสี บุญชู</t>
  </si>
  <si>
    <t>3กต3262</t>
  </si>
  <si>
    <t>ฎฐ8725</t>
  </si>
  <si>
    <t>เสาวลักษณ์ ยอดคำ</t>
  </si>
  <si>
    <t>กฉ4881</t>
  </si>
  <si>
    <t>ประสิทธิ์ มาดา</t>
  </si>
  <si>
    <t>ถห5340</t>
  </si>
  <si>
    <t>สหรัฐ แก้วพวง</t>
  </si>
  <si>
    <t>1ฒฉ3770</t>
  </si>
  <si>
    <t>สำราญ ช้างวงษ์</t>
  </si>
  <si>
    <t>ฎป8239</t>
  </si>
  <si>
    <t>บุญนำ วัดแย้ม</t>
  </si>
  <si>
    <t>มินตรา จงสูงเนิน</t>
  </si>
  <si>
    <t>1กฐ6883</t>
  </si>
  <si>
    <t>ตรีวิทย์ สุขยิ่ง</t>
  </si>
  <si>
    <t>กฉ5337</t>
  </si>
  <si>
    <t>โกมล คนซื่อ</t>
  </si>
  <si>
    <t>1ฒฒ6855</t>
  </si>
  <si>
    <t>สุขชัย เหลือวงศ์งาม</t>
  </si>
  <si>
    <t>ศง9055</t>
  </si>
  <si>
    <t>WISH</t>
  </si>
  <si>
    <t>นฤพนธ์ จีนขาวขำ</t>
  </si>
  <si>
    <t>2กจ8863</t>
  </si>
  <si>
    <t>วรวุฒิ เสงี่ยมจิตร</t>
  </si>
  <si>
    <t>แพรกาษใหม่</t>
  </si>
  <si>
    <t>ตร1644</t>
  </si>
  <si>
    <t>สหภพ ฝาดแสนศรี</t>
  </si>
  <si>
    <t>ศรัณย์ ปรรภารโนบล</t>
  </si>
  <si>
    <t>ภน643</t>
  </si>
  <si>
    <t>เอกสิทธิ์ จงรักภักดี</t>
  </si>
  <si>
    <t>ษฉ5823</t>
  </si>
  <si>
    <t>ชูชาติ สอนลา</t>
  </si>
  <si>
    <t>ถบ5709</t>
  </si>
  <si>
    <t>เขมะชาติ วงศ์วิสุทธิ์</t>
  </si>
  <si>
    <t>ชภ1896</t>
  </si>
  <si>
    <t>ณัชชา เพียรประเสริฐ</t>
  </si>
  <si>
    <t>ฒฮ4157</t>
  </si>
  <si>
    <t>สุชาดา วาทิน</t>
  </si>
  <si>
    <t>ฆด7869</t>
  </si>
  <si>
    <t>กณิกนันต์ บานชื่น</t>
  </si>
  <si>
    <t>ญฐ1218</t>
  </si>
  <si>
    <t>หนุ่มสยาม นามสมบูรณ์</t>
  </si>
  <si>
    <t>ฒต7035</t>
  </si>
  <si>
    <t>ภาคภูมิ เดชพ่วง</t>
  </si>
  <si>
    <t>สฉ7358</t>
  </si>
  <si>
    <t>พรเทพ มณฑปใหญื</t>
  </si>
  <si>
    <t>ญค7406</t>
  </si>
  <si>
    <t>รพีพงศ์ พิพัชร์เดดชกิจ</t>
  </si>
  <si>
    <t>1กก7785</t>
  </si>
  <si>
    <t>จรูณ บัวเสา</t>
  </si>
  <si>
    <t>ฆว9253</t>
  </si>
  <si>
    <t>วิสา สราคำ</t>
  </si>
  <si>
    <t>ถฬ1662</t>
  </si>
  <si>
    <t>พูลชัย พูลวิริยะ</t>
  </si>
  <si>
    <t>บต8155</t>
  </si>
  <si>
    <t>ฒธ8151</t>
  </si>
  <si>
    <t>เกียรติยศ แย้มใย</t>
  </si>
  <si>
    <t>ฌจ4528</t>
  </si>
  <si>
    <t>ปรีดา ทีฆะสุข</t>
  </si>
  <si>
    <t>ฒถ3689</t>
  </si>
  <si>
    <t>ประดิษฐ ศรีเอก</t>
  </si>
  <si>
    <t>ฒฬ4980</t>
  </si>
  <si>
    <t>ช่วง โพธิ์ศรี</t>
  </si>
  <si>
    <t>ชห590</t>
  </si>
  <si>
    <t>สมโภช ละครพล</t>
  </si>
  <si>
    <t>ถจ7258</t>
  </si>
  <si>
    <t>อาทิตย์ ตะชุง</t>
  </si>
  <si>
    <t>1ฒข5065</t>
  </si>
  <si>
    <t>เชาวรัตน์ เลิศไธสง</t>
  </si>
  <si>
    <t>ฒฬ3626</t>
  </si>
  <si>
    <t>บุญเหลือ สุขพอดี</t>
  </si>
  <si>
    <t>ฎช5459</t>
  </si>
  <si>
    <t>นาย ศุภสวัสดิ์ นิ่มเสมอ</t>
  </si>
  <si>
    <t>ญฎ6792</t>
  </si>
  <si>
    <t>อานนท์ จันทร์อู่</t>
  </si>
  <si>
    <t>แพนกษา</t>
  </si>
  <si>
    <t>ญน533</t>
  </si>
  <si>
    <t>ธิดารัตน์ ตันติวิมงคล</t>
  </si>
  <si>
    <t>ทุ่งครุ</t>
  </si>
  <si>
    <t>สฮ9365</t>
  </si>
  <si>
    <t>NV</t>
  </si>
  <si>
    <t>จิรภัทร สระบัว</t>
  </si>
  <si>
    <t>กฉ455</t>
  </si>
  <si>
    <t>กรกฤช์ ศิรินิกร</t>
  </si>
  <si>
    <t>2กฐ6034</t>
  </si>
  <si>
    <t>ปิยะศักดิ์ อินทะกะ</t>
  </si>
  <si>
    <t>ศง1685</t>
  </si>
  <si>
    <t>สว่าง พรมการ</t>
  </si>
  <si>
    <t>ณอ2851</t>
  </si>
  <si>
    <t>ปรีชา นรดี</t>
  </si>
  <si>
    <t>ตศ5103</t>
  </si>
  <si>
    <t>ชานนท์ จันทร์สี่ทิศ</t>
  </si>
  <si>
    <t>ญบ6348</t>
  </si>
  <si>
    <t>อัมรินทร์ พรรณขาม</t>
  </si>
  <si>
    <t>ตจ8097</t>
  </si>
  <si>
    <t>วิวัฒน์ นาคจู</t>
  </si>
  <si>
    <t>1ฒห5790</t>
  </si>
  <si>
    <t>วรพงศ์ ศรีบุญเรือง</t>
  </si>
  <si>
    <t>ปิยะ สีแก้ว</t>
  </si>
  <si>
    <t>ฒจ3146</t>
  </si>
  <si>
    <t>อนันตชัย ฮั่นวิวัฒน์</t>
  </si>
  <si>
    <t>ฎถ5553</t>
  </si>
  <si>
    <t>ชาลี บุญเฉย</t>
  </si>
  <si>
    <t>1ฒว1183</t>
  </si>
  <si>
    <t>TOOYTA</t>
  </si>
  <si>
    <t>สุมนต์ ทองห่อ</t>
  </si>
  <si>
    <t>ญน6975</t>
  </si>
  <si>
    <t>สุชาติ ไมตรีจิตต์</t>
  </si>
  <si>
    <t>ฌบ9646</t>
  </si>
  <si>
    <t>YIOS</t>
  </si>
  <si>
    <t>นาย สุรชัย สุปัญญา</t>
  </si>
  <si>
    <t>ญฐ3793</t>
  </si>
  <si>
    <t>พูลลาภ บุญเกิด</t>
  </si>
  <si>
    <t>ชษ5638</t>
  </si>
  <si>
    <t>สุรินทร์ สิทธิ</t>
  </si>
  <si>
    <t>ญง1656</t>
  </si>
  <si>
    <t>รุ่งลาวัลย์ อุ่มชะอุ้ม</t>
  </si>
  <si>
    <t>ฒบ8391</t>
  </si>
  <si>
    <t>ฐิศิรัตน์ นิยม</t>
  </si>
  <si>
    <t>1กฒ9038</t>
  </si>
  <si>
    <t>ถาวร บุตรศรี</t>
  </si>
  <si>
    <t>1ฒฒ2884</t>
  </si>
  <si>
    <t>สุพลพงษ์ หลีเลิศ</t>
  </si>
  <si>
    <t>2กท7127</t>
  </si>
  <si>
    <t>ธริกา หงษ์วิเศษ</t>
  </si>
  <si>
    <t>ศน3564</t>
  </si>
  <si>
    <t>อารีย์ แซ่เตีย</t>
  </si>
  <si>
    <t>ษข3042</t>
  </si>
  <si>
    <t>ธนวินท์วรัฒน์ มะเสริฐ</t>
  </si>
  <si>
    <t>สฎ391</t>
  </si>
  <si>
    <t>ขจรชัย นิระวัน</t>
  </si>
  <si>
    <t>ฒต2696</t>
  </si>
  <si>
    <t>เช้น โชติศรีลือชา</t>
  </si>
  <si>
    <t>ถม8499</t>
  </si>
  <si>
    <t>คมเพชร คำภูษา</t>
  </si>
  <si>
    <t>4กฒ2859</t>
  </si>
  <si>
    <t>ประเสริฐ คงพลปาน</t>
  </si>
  <si>
    <t>ฒง5605</t>
  </si>
  <si>
    <t>ศิริลักษณ์ ใจมนต์</t>
  </si>
  <si>
    <t>ฆค7823</t>
  </si>
  <si>
    <t>กิตติ</t>
  </si>
  <si>
    <t>5กฏ8215</t>
  </si>
  <si>
    <t>จรรยา กล่ำดิษฐ</t>
  </si>
  <si>
    <t>ญล4108</t>
  </si>
  <si>
    <t>จตุพร ศรีมงคล</t>
  </si>
  <si>
    <t>ฎร5300</t>
  </si>
  <si>
    <t>เชาว์ ศรีบุญ</t>
  </si>
  <si>
    <t>กฉ9322</t>
  </si>
  <si>
    <t>จรรยา พิกุล</t>
  </si>
  <si>
    <t>3กฐ6543</t>
  </si>
  <si>
    <t>สนามบิน</t>
  </si>
  <si>
    <t>เทอดศักดิ์ ศิริสาคร</t>
  </si>
  <si>
    <t>ศฉ8658</t>
  </si>
  <si>
    <t>รจนชัย ชื่นบุญ</t>
  </si>
  <si>
    <t>ภก5058</t>
  </si>
  <si>
    <t>บุญรักษา ชาชุมวงศ์</t>
  </si>
  <si>
    <t>ฆพ1257</t>
  </si>
  <si>
    <t>อนุสรา แช่มช้อย</t>
  </si>
  <si>
    <t>2กฆ7056</t>
  </si>
  <si>
    <t>ชวลิต ยงดีมิตรภาพ</t>
  </si>
  <si>
    <t>ฌอ411</t>
  </si>
  <si>
    <t>รณฤทธิ์ สามัคคี</t>
  </si>
  <si>
    <t>ชม1385</t>
  </si>
  <si>
    <t>วิทยา สินโท</t>
  </si>
  <si>
    <t>กอ390</t>
  </si>
  <si>
    <t>อัญชลี อิงคนันทวารี</t>
  </si>
  <si>
    <t>ปจ2546</t>
  </si>
  <si>
    <t>ภูษิต วรรณรัตน์</t>
  </si>
  <si>
    <t>4กอ7022</t>
  </si>
  <si>
    <t>E200</t>
  </si>
  <si>
    <t>ชินาธิป บุญผาลา</t>
  </si>
  <si>
    <t>ฎง7675</t>
  </si>
  <si>
    <t xml:space="preserve">สุมาลี ใหญ่ลา </t>
  </si>
  <si>
    <t>ฎก2821</t>
  </si>
  <si>
    <t>อำนวย เจริญสุข</t>
  </si>
  <si>
    <t>ฒน112</t>
  </si>
  <si>
    <t>ดิเรกฤทธิ์ ภุมมางกูร</t>
  </si>
  <si>
    <t>ญต8787</t>
  </si>
  <si>
    <t>ทัศชัย รจนาสันห์</t>
  </si>
  <si>
    <t>4กว5355</t>
  </si>
  <si>
    <t>HOAH</t>
  </si>
  <si>
    <t>วารุณี นรินทร์</t>
  </si>
  <si>
    <t>3กฮ5950</t>
  </si>
  <si>
    <t>แสงเทียน สุขศรีเจริญ</t>
  </si>
  <si>
    <t>ฆญ7180</t>
  </si>
  <si>
    <t>อาภาศรี สงวนวงษ์</t>
  </si>
  <si>
    <t>บงาเมืองใหม่</t>
  </si>
  <si>
    <t>ศท9580</t>
  </si>
  <si>
    <t>รพีพัฒน์ กิ่งหิรัญ</t>
  </si>
  <si>
    <t>บงาเมือง</t>
  </si>
  <si>
    <t>ชณ3448</t>
  </si>
  <si>
    <t>ชรินรัตน์ ลีลาจริยาธรรม</t>
  </si>
  <si>
    <t>2กค6775</t>
  </si>
  <si>
    <t>สำราญ อุ่นใจชน</t>
  </si>
  <si>
    <t>ญร4625</t>
  </si>
  <si>
    <t>ณรงค์ เจริญพร้อม</t>
  </si>
  <si>
    <t>ชข8086</t>
  </si>
  <si>
    <t>ไม่มีกรมธรรม์สุริโย</t>
  </si>
  <si>
    <t>ศุภลักษณ์ ตันติถาวร</t>
  </si>
  <si>
    <t>1กจ5865</t>
  </si>
  <si>
    <t>อรรถพงษ์ พรมสมบัติ</t>
  </si>
  <si>
    <t>ฆช8286</t>
  </si>
  <si>
    <t>สุรเชษฐ์ มะลิแย้ม</t>
  </si>
  <si>
    <t>1กล3061</t>
  </si>
  <si>
    <t>SYLPHY</t>
  </si>
  <si>
    <t>ภาวัต เย็นใส</t>
  </si>
  <si>
    <t>ญอ8498</t>
  </si>
  <si>
    <t>PRIUS</t>
  </si>
  <si>
    <t>ธนารัตน์ แทนศิริ</t>
  </si>
  <si>
    <t>2กฬ6058</t>
  </si>
  <si>
    <t>ปรเมศวร ตันตระกูล</t>
  </si>
  <si>
    <t>4กท7980</t>
  </si>
  <si>
    <t>ฌก6970</t>
  </si>
  <si>
    <t>เฉลิมศักดิ์ กองกาสี</t>
  </si>
  <si>
    <t>ญศ6383</t>
  </si>
  <si>
    <t>สมชาย บัวหลักเมือง</t>
  </si>
  <si>
    <t>ชฉ3440</t>
  </si>
  <si>
    <t>วัชรพงษ์ ศรีนภาวรรณ์</t>
  </si>
  <si>
    <t>1กจ4869</t>
  </si>
  <si>
    <t>สมาน มาตบัณดิษฐ</t>
  </si>
  <si>
    <t>2กย7935</t>
  </si>
  <si>
    <t>พชรพล ปฎิเสน</t>
  </si>
  <si>
    <t>กฉ1300</t>
  </si>
  <si>
    <t>ศุภชัย อ่อนศรีทอง</t>
  </si>
  <si>
    <t>1กจ9768</t>
  </si>
  <si>
    <t>รัชชานนท์ ศิริมาตย์</t>
  </si>
  <si>
    <t>ญท5554</t>
  </si>
  <si>
    <t>ชายนาท คงสวัสดิ์</t>
  </si>
  <si>
    <t>ถร7699</t>
  </si>
  <si>
    <t>อรุณ รุ่งเรือง</t>
  </si>
  <si>
    <t>2กญ6272</t>
  </si>
  <si>
    <t>สุพจน์ วงศ์จารูเดช</t>
  </si>
  <si>
    <t>ฆฎ694</t>
  </si>
  <si>
    <t>สุริยา แสนยากุล</t>
  </si>
  <si>
    <t>1ฒภ4170</t>
  </si>
  <si>
    <t>REVO</t>
  </si>
  <si>
    <t>จิตร์สุดา แซ่ฉั่ว</t>
  </si>
  <si>
    <t>ชย1256</t>
  </si>
  <si>
    <t>อรนุช อภิลักษณ์</t>
  </si>
  <si>
    <t>ทรงคนอง</t>
  </si>
  <si>
    <t>3กฒ3714</t>
  </si>
  <si>
    <t>นาย สมเจศ มุสิกะอินทร์</t>
  </si>
  <si>
    <t>ฒว9477</t>
  </si>
  <si>
    <t>นนทพัทธ์ เที่ยงท้องคุ้ง</t>
  </si>
  <si>
    <t>1ฒส3691</t>
  </si>
  <si>
    <t>พิมพิไล ทิมเจริญ</t>
  </si>
  <si>
    <t>วข1577</t>
  </si>
  <si>
    <t>สุธีรา โสภาพร</t>
  </si>
  <si>
    <t>กจ5554</t>
  </si>
  <si>
    <t>SPORT RIDER</t>
  </si>
  <si>
    <t>ไกรศร เรืองเรื่อ</t>
  </si>
  <si>
    <t>อาทิตย์ บุญพันธ์</t>
  </si>
  <si>
    <t>3กน1534</t>
  </si>
  <si>
    <t>กุลลดา รักษาวงศ์</t>
  </si>
  <si>
    <t>ฎฐ5338</t>
  </si>
  <si>
    <t>FREED</t>
  </si>
  <si>
    <t>ศิรดา เหลืองอรุณ</t>
  </si>
  <si>
    <t>ฎผ963</t>
  </si>
  <si>
    <t>มยุรี ยามี</t>
  </si>
  <si>
    <t>2กฉ8391</t>
  </si>
  <si>
    <t>อนันต์ โสฤทธิ์</t>
  </si>
  <si>
    <t>ฒต6034</t>
  </si>
  <si>
    <t>พรพรรณ แดงทองคำ</t>
  </si>
  <si>
    <t>ฆม622</t>
  </si>
  <si>
    <t>ธวัชชัย เลี้ยงประยูร</t>
  </si>
  <si>
    <t>5กธ2504</t>
  </si>
  <si>
    <t>นพดล ผมรี</t>
  </si>
  <si>
    <t>1กส640</t>
  </si>
  <si>
    <t>ศักดิ์รินทร์ เซสาย</t>
  </si>
  <si>
    <t>ฆฬ4923</t>
  </si>
  <si>
    <t>อนุวัตร สมใจ</t>
  </si>
  <si>
    <t>ฒฌ4669</t>
  </si>
  <si>
    <t>นวมินทร์</t>
  </si>
  <si>
    <t>จิรายุ ฉิมพาลี</t>
  </si>
  <si>
    <t>ฌป8770</t>
  </si>
  <si>
    <t>พัชรินทร์ ลิ้มวัฒนะ</t>
  </si>
  <si>
    <t>ภารดี ขันทอง</t>
  </si>
  <si>
    <t>ฆถ1922</t>
  </si>
  <si>
    <t>TEANA</t>
  </si>
  <si>
    <t>ณัฐพงศ์ ขจรกลิ่น</t>
  </si>
  <si>
    <t>4กจ7487</t>
  </si>
  <si>
    <t>ECOSPORT</t>
  </si>
  <si>
    <t>ภาณุพงศ์ โสภาศรี</t>
  </si>
  <si>
    <t>1ฒศ4572</t>
  </si>
  <si>
    <t>ณรงค์ นิลบุตร</t>
  </si>
  <si>
    <t>ตร6918</t>
  </si>
  <si>
    <t>ยุพิณ หารินไสล</t>
  </si>
  <si>
    <t>ญย7206</t>
  </si>
  <si>
    <t>หฤษฎ์ ประกอบผล</t>
  </si>
  <si>
    <t>ลางพลีใหญ่</t>
  </si>
  <si>
    <t>2กย1134</t>
  </si>
  <si>
    <t>นาย ธ๊ระชัย เทียมทอง</t>
  </si>
  <si>
    <t>ฒธ192</t>
  </si>
  <si>
    <t>สิริรัศมิ์ เข็มทอง</t>
  </si>
  <si>
    <t>ฆฉ8515</t>
  </si>
  <si>
    <t>สมชาย วีระพันธ์</t>
  </si>
  <si>
    <t>1ฒพ2129</t>
  </si>
  <si>
    <t>ธนเดช กิจสกุล</t>
  </si>
  <si>
    <t>2กล614</t>
  </si>
  <si>
    <t>สิริพงศ์ แสงทรัพย์</t>
  </si>
  <si>
    <t>3กฮ9074</t>
  </si>
  <si>
    <t>ชนะสรณ์ ภักดีศิริพงศ์</t>
  </si>
  <si>
    <t>ถษ1980</t>
  </si>
  <si>
    <t>TATA</t>
  </si>
  <si>
    <t>XENON</t>
  </si>
  <si>
    <t>ณัฐนนท์ นาคสุขศรี</t>
  </si>
  <si>
    <t>AMAZE</t>
  </si>
  <si>
    <t>ขนิษฐา จันทรสภา</t>
  </si>
  <si>
    <t>2กช9870</t>
  </si>
  <si>
    <t>ยศจุฑา เศรษฐสุวรรณ</t>
  </si>
  <si>
    <t>ตณ8381</t>
  </si>
  <si>
    <t>อมร ศรีพร</t>
  </si>
  <si>
    <t>1ฒณ5320</t>
  </si>
  <si>
    <t>จิราพน อนุสุริยา</t>
  </si>
  <si>
    <t>สฬ4291</t>
  </si>
  <si>
    <t>พงศ์ธร โภชะโน</t>
  </si>
  <si>
    <t>2กม3110</t>
  </si>
  <si>
    <t>อลงกรณ์ เกตุรัตน์</t>
  </si>
  <si>
    <t>กต9891</t>
  </si>
  <si>
    <t>สำราญ พะโคดม</t>
  </si>
  <si>
    <t>สุเทพ</t>
  </si>
  <si>
    <t>กฉ906</t>
  </si>
  <si>
    <t>บุญแท้ วงศ์กรนาวิน</t>
  </si>
  <si>
    <t>ศจ9617</t>
  </si>
  <si>
    <t>อำนวย เสาสวัสดิ์</t>
  </si>
  <si>
    <t>4กง4783</t>
  </si>
  <si>
    <t>ษว3297</t>
  </si>
  <si>
    <t>พรทิพย์ พุ่มกล่อม</t>
  </si>
  <si>
    <t>กบ6391</t>
  </si>
  <si>
    <t>นิธิกานต์ เสนีย์วงศ์ ณ อยุธยา</t>
  </si>
  <si>
    <t>วจ4860</t>
  </si>
  <si>
    <t>วิยราช ภูมลี</t>
  </si>
  <si>
    <t>5กศ1012</t>
  </si>
  <si>
    <t>กิตติ ไชยมี</t>
  </si>
  <si>
    <t>1ฒผ9746</t>
  </si>
  <si>
    <t>สุเนตร แรงทอง</t>
  </si>
  <si>
    <t>7ษ1703</t>
  </si>
  <si>
    <t>วิชัย เมืองปลื้ม</t>
  </si>
  <si>
    <t>สย3990</t>
  </si>
  <si>
    <t>ณรงค์ แป้นบางนา</t>
  </si>
  <si>
    <t>พย5044</t>
  </si>
  <si>
    <t>ไม่มีกรมธรรม์0</t>
  </si>
  <si>
    <t>เจนจิรา จันทร์สังข์</t>
  </si>
  <si>
    <t>ฌพ634</t>
  </si>
  <si>
    <t>จันทิพา มรรคจินคา</t>
  </si>
  <si>
    <t>ฎฉ7499</t>
  </si>
  <si>
    <t>ณิชาภา ปองสุวรรณ</t>
  </si>
  <si>
    <t>ฒก764</t>
  </si>
  <si>
    <t>ธารารัตน์ สร้างนา</t>
  </si>
  <si>
    <t>1กส2291</t>
  </si>
  <si>
    <t>ปีชาติ ทำนานอก</t>
  </si>
  <si>
    <t>1ฒช3231</t>
  </si>
  <si>
    <t>ณรงค์ บุญประเสริฐ</t>
  </si>
  <si>
    <t>ฌศ7221</t>
  </si>
  <si>
    <t>ชัยชาญ ปฎิทันโต</t>
  </si>
  <si>
    <t>กจ2155</t>
  </si>
  <si>
    <t>GRANDIS</t>
  </si>
  <si>
    <t>ศุกพัฒน์ เพชรโคตร</t>
  </si>
  <si>
    <t>ฒญ9795</t>
  </si>
  <si>
    <t>ไพลิน บิสสะเล็ม</t>
  </si>
  <si>
    <t>ญน9450</t>
  </si>
  <si>
    <t>CRUZE</t>
  </si>
  <si>
    <t>พิษณุวัส คำงาม</t>
  </si>
  <si>
    <t>สุขอนันต์ ทองก้อน</t>
  </si>
  <si>
    <t>1ฒต8945</t>
  </si>
  <si>
    <t>1ฒข5722</t>
  </si>
  <si>
    <t>ฒฒ4534</t>
  </si>
  <si>
    <t>5กค3592</t>
  </si>
  <si>
    <t>ญง4188</t>
  </si>
  <si>
    <t>ฆห9177</t>
  </si>
  <si>
    <t>ฌอ4437</t>
  </si>
  <si>
    <t>ธวัช อยู่นาน</t>
  </si>
  <si>
    <t>ฆฌ6713</t>
  </si>
  <si>
    <t>ลุงขายกาแฟ</t>
  </si>
  <si>
    <t>ผจ2948</t>
  </si>
  <si>
    <t>พนิดา ชำนาญชัยศรี</t>
  </si>
  <si>
    <t>ศฐ5049</t>
  </si>
  <si>
    <t>VQ 2.0</t>
  </si>
  <si>
    <t>ดวงกมล เข้มแข็ง</t>
  </si>
  <si>
    <t>ษฮ1028</t>
  </si>
  <si>
    <t>เรณู ตรุษทุ่ง</t>
  </si>
  <si>
    <t>3กว112</t>
  </si>
  <si>
    <t>ณัฐธิดา ศรีดี</t>
  </si>
  <si>
    <t>กง6860</t>
  </si>
  <si>
    <t>มาริสา บุญทวีวรพันธ์</t>
  </si>
  <si>
    <t>ฆธ3643</t>
  </si>
  <si>
    <t>เมธี นิสัยมั่น</t>
  </si>
  <si>
    <t>3กฆ8227</t>
  </si>
  <si>
    <t>EX</t>
  </si>
  <si>
    <t>MARGH</t>
  </si>
  <si>
    <t>พลากร สุวัณจารุจินดากุล</t>
  </si>
  <si>
    <t>3กน2666</t>
  </si>
  <si>
    <t>นิกร ชินโชติ</t>
  </si>
  <si>
    <t>1ฒย2823</t>
  </si>
  <si>
    <t>วรรณี ตรีเจริญรัตน์</t>
  </si>
  <si>
    <t>ฌศ6371</t>
  </si>
  <si>
    <t>ก้องเกียรติ กิจนางหงษ์</t>
  </si>
  <si>
    <t>5กง8262</t>
  </si>
  <si>
    <t>ถวัลย์ ครูพิพรม</t>
  </si>
  <si>
    <t>2กง2210</t>
  </si>
  <si>
    <t>ปริญญา พูลผล</t>
  </si>
  <si>
    <t>ชม1029</t>
  </si>
  <si>
    <t>สิณี มักเจริญลาภ</t>
  </si>
  <si>
    <t>4กบ2109</t>
  </si>
  <si>
    <t>ชิดชนก โท้มะวงศ์</t>
  </si>
  <si>
    <t>1ฒณ5463</t>
  </si>
  <si>
    <t>นันทวุฒิ หล้าละคร</t>
  </si>
  <si>
    <t>ฒม2156</t>
  </si>
  <si>
    <t>ธนกร เทียนชัย</t>
  </si>
  <si>
    <t>4กพ7960</t>
  </si>
  <si>
    <t>ไม่มีกรมธรม์</t>
  </si>
  <si>
    <t>นพชัย ศรีรี</t>
  </si>
  <si>
    <t>สามเสนใน</t>
  </si>
  <si>
    <t>สอ5053</t>
  </si>
  <si>
    <t>สุพจน์ ถาวรสุข</t>
  </si>
  <si>
    <t>ฆฒ4653</t>
  </si>
  <si>
    <t>ศิวโรจน์ คงสกุล</t>
  </si>
  <si>
    <t>5กร1078</t>
  </si>
  <si>
    <t>ธวัชชัย เชียงศรี</t>
  </si>
  <si>
    <t>02-1380405-6</t>
  </si>
  <si>
    <t>ถท5309</t>
  </si>
  <si>
    <t>บุญส่ง ดีเลิศ</t>
  </si>
  <si>
    <t>ฌศ4793</t>
  </si>
  <si>
    <t>อมรรัษฎร์ พิกุลทอง</t>
  </si>
  <si>
    <t>1กศ3063</t>
  </si>
  <si>
    <t>สิงห์ โงนมณี</t>
  </si>
  <si>
    <t>1ฒค4167</t>
  </si>
  <si>
    <t>สามารถ อ่อนบุญ</t>
  </si>
  <si>
    <t>1ฒม5346</t>
  </si>
  <si>
    <t>นิวาส คิดโสภา</t>
  </si>
  <si>
    <t>4กฬ7434</t>
  </si>
  <si>
    <t>ECO SPORT</t>
  </si>
  <si>
    <t>อนุรักษ์ ม่วงนาค</t>
  </si>
  <si>
    <t>ญต9771</t>
  </si>
  <si>
    <t>บังอร ขวัญวิเศษ</t>
  </si>
  <si>
    <t>ฎษ1733</t>
  </si>
  <si>
    <t>ณัฐพงศ์ กล่อมน้อย</t>
  </si>
  <si>
    <t>ษล4002</t>
  </si>
  <si>
    <t>ณัฐวุฒิ เมธีธัญญลักษณ์</t>
  </si>
  <si>
    <t>ผว3445</t>
  </si>
  <si>
    <t>สุวัฒน์ เกิดมงคล</t>
  </si>
  <si>
    <t>ชธ6932</t>
  </si>
  <si>
    <t>ปุญญิศา นนทรักษ์</t>
  </si>
  <si>
    <t>4กท</t>
  </si>
  <si>
    <t>MOBILIO</t>
  </si>
  <si>
    <t>สุทัย คำโมง</t>
  </si>
  <si>
    <t>ฒจ7656</t>
  </si>
  <si>
    <t>เจริญ แก้วเกิด</t>
  </si>
  <si>
    <t>ฒถ3102</t>
  </si>
  <si>
    <t>มงคล มีสุข</t>
  </si>
  <si>
    <t>บท3484</t>
  </si>
  <si>
    <t>กัญธินา ทองแสง</t>
  </si>
  <si>
    <t>ขพ1464</t>
  </si>
  <si>
    <t>สมพร แสวงไวศยสุข</t>
  </si>
  <si>
    <t>บพ5315</t>
  </si>
  <si>
    <t>สำราญ จินา</t>
  </si>
  <si>
    <t>1ฒฉ6516</t>
  </si>
  <si>
    <t>จิรัฐติกร โพธิ์สวัสดิ์</t>
  </si>
  <si>
    <t>1กภ2149</t>
  </si>
  <si>
    <t>สมพิษ จอกทอง</t>
  </si>
  <si>
    <t>1ฒข3690</t>
  </si>
  <si>
    <t>ภาณุวัฒน์ อินธิแสง</t>
  </si>
  <si>
    <t>บค6023</t>
  </si>
  <si>
    <t>องอาจ พลแสน</t>
  </si>
  <si>
    <t>ถจ4237</t>
  </si>
  <si>
    <t>เสริม เตือนจิตร</t>
  </si>
  <si>
    <t>ฒส9861</t>
  </si>
  <si>
    <t>จิรวัฒน์ กาญจนศิลปคม</t>
  </si>
  <si>
    <t>สย708</t>
  </si>
  <si>
    <t>ศิริพร อินทร์จร</t>
  </si>
  <si>
    <t>ฒผ4547</t>
  </si>
  <si>
    <t>พานิช ศรีสุขา</t>
  </si>
  <si>
    <t>กรรณิการ์ กลิ่นกุหลาบ</t>
  </si>
  <si>
    <t>ฆฮ4695</t>
  </si>
  <si>
    <t>ปรียากร แก่นสาร</t>
  </si>
  <si>
    <t>ฒฐ9168</t>
  </si>
  <si>
    <t>ไพศาล หลงสวัสดิ์</t>
  </si>
  <si>
    <t>10 6614</t>
  </si>
  <si>
    <t>สมบุญ ม้ายอง</t>
  </si>
  <si>
    <t>ฒฉ9468</t>
  </si>
  <si>
    <t>พงศกร สุนทรศาลทูล</t>
  </si>
  <si>
    <t>3กข7481</t>
  </si>
  <si>
    <t>สิริวรรณ จิตคงคา</t>
  </si>
  <si>
    <t>1กอ3262</t>
  </si>
  <si>
    <t>ชาลิยา พลมิตร</t>
  </si>
  <si>
    <t>5กญ9872</t>
  </si>
  <si>
    <t>อโนชา มาอุ่น</t>
  </si>
  <si>
    <t>ญฮ8081</t>
  </si>
  <si>
    <t>สุนันท์ สุขสำราญ</t>
  </si>
  <si>
    <t>ฎฟ276</t>
  </si>
  <si>
    <t>อนุชา มิตรมาตย์</t>
  </si>
  <si>
    <t>พร4052</t>
  </si>
  <si>
    <t>นภาวรรณ พิพัฒน์จตุพร</t>
  </si>
  <si>
    <t>3กส3271</t>
  </si>
  <si>
    <t>ธงชัย เมืองสองชั้น</t>
  </si>
  <si>
    <t>1ฒฉ9938</t>
  </si>
  <si>
    <t>ประวิทย์ แตงกลับ</t>
  </si>
  <si>
    <t>กจ6306</t>
  </si>
  <si>
    <t>ทน ตันทา</t>
  </si>
  <si>
    <t>ภบ2593</t>
  </si>
  <si>
    <t>เกศกนก ธรรมบัวชา</t>
  </si>
  <si>
    <t>ฒฎ4702</t>
  </si>
  <si>
    <t>4กท8083</t>
  </si>
  <si>
    <t>ชูชาติ เพ็งหนู</t>
  </si>
  <si>
    <t>3กฬ1095</t>
  </si>
  <si>
    <t>สุดอุทร พงษ์ประยูร</t>
  </si>
  <si>
    <t>ชท3546</t>
  </si>
  <si>
    <t>ศภากร นันทเกษม</t>
  </si>
  <si>
    <t>ฎล7458</t>
  </si>
  <si>
    <t>เฉลิมพล ศรีสุข</t>
  </si>
  <si>
    <t>ฆฬ2703</t>
  </si>
  <si>
    <t>นวกร ถ้วนถี่</t>
  </si>
  <si>
    <t>ตฮ1006</t>
  </si>
  <si>
    <t>วุฒิพงษ์ สุริยะแก่นทราย</t>
  </si>
  <si>
    <t>ชฉ2769</t>
  </si>
  <si>
    <t>สาธิต แสงเงิน</t>
  </si>
  <si>
    <t>ฒพ5630</t>
  </si>
  <si>
    <t>กฤษณพงค์ จันทร์ชุ่ม</t>
  </si>
  <si>
    <t>ฒช34</t>
  </si>
  <si>
    <t>ปรัชญา บัวเฟื่อง</t>
  </si>
  <si>
    <t>6กช3015</t>
  </si>
  <si>
    <t>ยุทธพงศ์ สดเจริญ</t>
  </si>
  <si>
    <t>สมบัติ ชินทะนา</t>
  </si>
  <si>
    <t>ชย4029</t>
  </si>
  <si>
    <t>ฐิติรัตน์ มณฑา</t>
  </si>
  <si>
    <t>5กน4937</t>
  </si>
  <si>
    <t>วัลลภ นาคงาม</t>
  </si>
  <si>
    <t>1ฒภ980</t>
  </si>
  <si>
    <t>จักรกริช มิตรอุดม</t>
  </si>
  <si>
    <t>กัน ยิ่งแก้ว</t>
  </si>
  <si>
    <t>หน่อง โพธิ์ขวาง</t>
  </si>
  <si>
    <t>วราภรณ์ เลิศพิสุทธิ์</t>
  </si>
  <si>
    <t>ฎบ3146</t>
  </si>
  <si>
    <t>เถิง นันทิสิงห์</t>
  </si>
  <si>
    <t>ตล3283</t>
  </si>
  <si>
    <t>ประกาย เทียมนนท์</t>
  </si>
  <si>
    <t>ฒฌ2856</t>
  </si>
  <si>
    <t>อาทิตย์ บุญมา</t>
  </si>
  <si>
    <t>ญม8853</t>
  </si>
  <si>
    <t>ปัญญาวุฒิ เปี่ยมการุญรัตน์</t>
  </si>
  <si>
    <t>สช9878</t>
  </si>
  <si>
    <t>ฒฎ4792</t>
  </si>
  <si>
    <t>น.ส. บุญยาวีร์ อดิศัยเดชรินทร์</t>
  </si>
  <si>
    <t>1กพ224</t>
  </si>
  <si>
    <t>นภัส วิชชุประภาพร</t>
  </si>
  <si>
    <t>ชช2486</t>
  </si>
  <si>
    <t>สันติ ประทุมสาย</t>
  </si>
  <si>
    <t>ฆห1626</t>
  </si>
  <si>
    <t>วิรุฬห์ ไชยเทศ</t>
  </si>
  <si>
    <t>ฒฉ7132</t>
  </si>
  <si>
    <t>พีระศักดิ์ อนาวิโล</t>
  </si>
  <si>
    <t>พข274</t>
  </si>
  <si>
    <t>ภูเบศ จีบจิรวัชร</t>
  </si>
  <si>
    <t>2กษ3857</t>
  </si>
  <si>
    <t>ภุชงค์ สินธวาชีวะ</t>
  </si>
  <si>
    <t>1กง7806</t>
  </si>
  <si>
    <t>ภีราภัทร ศักดิ์เจริญชัยกูล</t>
  </si>
  <si>
    <t>ธิลาวัลย์ วิบูลย์</t>
  </si>
  <si>
    <t>ฎณ4308</t>
  </si>
  <si>
    <t>บุญส่ง เวชภัณฑ์</t>
  </si>
  <si>
    <t>ฒผ6553</t>
  </si>
  <si>
    <t>พิชิต สาลี</t>
  </si>
  <si>
    <t>กจ1389</t>
  </si>
  <si>
    <t>วีรนันท์ สุมนนอก</t>
  </si>
  <si>
    <t>สฎ7284</t>
  </si>
  <si>
    <t>อัจฉรา งามขำ</t>
  </si>
  <si>
    <t>กฉ5806</t>
  </si>
  <si>
    <t>พ.ต.ท. อาชาไพ แสนสุข</t>
  </si>
  <si>
    <t>ชฬ909</t>
  </si>
  <si>
    <t>รวิภาส เจริญชันษา</t>
  </si>
  <si>
    <t>1กษ7140</t>
  </si>
  <si>
    <t>1มอ3618</t>
  </si>
  <si>
    <t>วัฒนา สุธรรมวงศ์</t>
  </si>
  <si>
    <t>ถษ10</t>
  </si>
  <si>
    <t>ทิวา รุ่งศรี</t>
  </si>
  <si>
    <t>HIJET</t>
  </si>
  <si>
    <t>จารุวรรณ ชัยกิจ</t>
  </si>
  <si>
    <t>ผร8114</t>
  </si>
  <si>
    <t>นาราวินท์ โสภะบุญ</t>
  </si>
  <si>
    <t>สุสิมา บุญเจริญ</t>
  </si>
  <si>
    <t>ฌห4510</t>
  </si>
  <si>
    <t>ไมมีกรมธรรม์</t>
  </si>
  <si>
    <t>อาภรณ์ พันธุ์สว่าง</t>
  </si>
  <si>
    <t>2กผ7853</t>
  </si>
  <si>
    <t>เมธาวิน โดธิเสน</t>
  </si>
  <si>
    <t>1ฒบ160</t>
  </si>
  <si>
    <t>สุพต ขาวผ่อง</t>
  </si>
  <si>
    <t>1ฒล4220</t>
  </si>
  <si>
    <t>ชัยณรงค์ แหมา</t>
  </si>
  <si>
    <t>ญบ8590</t>
  </si>
  <si>
    <t>วิชชา ศรีสนั่น</t>
  </si>
  <si>
    <t>ญฌ4845</t>
  </si>
  <si>
    <t>นลชัย วิเศษศรี</t>
  </si>
  <si>
    <t>1กต7252</t>
  </si>
  <si>
    <t>อรรถพล ชื่นฉ่ำ</t>
  </si>
  <si>
    <t>ฒญ4292</t>
  </si>
  <si>
    <t>ปาณิสรา แสวงชัย</t>
  </si>
  <si>
    <t>ฌป2803</t>
  </si>
  <si>
    <t>เจนณิตตา สุจริต</t>
  </si>
  <si>
    <t>ฎย1894</t>
  </si>
  <si>
    <t>เพ็ญสิริ เอี่ยมสะอาด</t>
  </si>
  <si>
    <t>กว6245</t>
  </si>
  <si>
    <t>วาดี อ่อนจะรี</t>
  </si>
  <si>
    <t>ถย3878</t>
  </si>
  <si>
    <t>วัลลภ จันทรัตน์</t>
  </si>
  <si>
    <t>ฮง2795</t>
  </si>
  <si>
    <t>สุริศักดิ์ สุทธิสุวรรณ</t>
  </si>
  <si>
    <t>2ฒก8580</t>
  </si>
  <si>
    <t>ศิริพร แจ่มเมือง</t>
  </si>
  <si>
    <t>ฌฬ4560</t>
  </si>
  <si>
    <t>กิตติมศักดิ์ ตันตระกูล</t>
  </si>
  <si>
    <t>ชัยวัฒน์ โพธิ์สุวรรณ</t>
  </si>
  <si>
    <t>ฆศ804</t>
  </si>
  <si>
    <t>สันติ สนตุ่น</t>
  </si>
  <si>
    <t>กต6891</t>
  </si>
  <si>
    <t>สุรศักดิ์ คามะปะใน</t>
  </si>
  <si>
    <t>4กจ3990</t>
  </si>
  <si>
    <t>ชลอ ยั่งยืน</t>
  </si>
  <si>
    <t>พอ110</t>
  </si>
  <si>
    <t>ผจงศักดิ์</t>
  </si>
  <si>
    <t>2กน5052</t>
  </si>
  <si>
    <t>มนตรี รามณี</t>
  </si>
  <si>
    <t>1ฒข3526</t>
  </si>
  <si>
    <t>นาย ดนัย คหัตฐา</t>
  </si>
  <si>
    <t>ษธ9011</t>
  </si>
  <si>
    <t>นิเวศน์ สืบพันธ์</t>
  </si>
  <si>
    <t>ฆต2290</t>
  </si>
  <si>
    <t>วรรณวิภา สุตนนท์</t>
  </si>
  <si>
    <t>กจ7601</t>
  </si>
  <si>
    <t>MIRGE</t>
  </si>
  <si>
    <t>ฌฬ7072</t>
  </si>
  <si>
    <t>ณัฐพงศ์ แสวงศรี</t>
  </si>
  <si>
    <t>บฉ6252</t>
  </si>
  <si>
    <t>ส่งเสริม จงเพลินนภาพร</t>
  </si>
  <si>
    <t>1ฒค6691</t>
  </si>
  <si>
    <t>ลมบล เวชกามา</t>
  </si>
  <si>
    <t>1กค4378</t>
  </si>
  <si>
    <t>มนตรี พานแก้ว</t>
  </si>
  <si>
    <t>ญช7387</t>
  </si>
  <si>
    <t>ปภังกร อัศวทิตย์สกุล</t>
  </si>
  <si>
    <t>ฎก3213</t>
  </si>
  <si>
    <t>ทวีศักดิ์ มะนิยม</t>
  </si>
  <si>
    <t>ณย803</t>
  </si>
  <si>
    <t>ภูดิศ จิตรสมควร</t>
  </si>
  <si>
    <t>ขวัญชนก ระกาสี</t>
  </si>
  <si>
    <t>ฎว3847</t>
  </si>
  <si>
    <t>นาย สมพรต จันทร์ทัต</t>
  </si>
  <si>
    <t>1ฒฎ586</t>
  </si>
  <si>
    <t>ธนวุฒิ หวานแท้</t>
  </si>
  <si>
    <t>ฒษ8361</t>
  </si>
  <si>
    <t>บัณฑิต แก้วคนตรง</t>
  </si>
  <si>
    <t>1ฒฌ3085</t>
  </si>
  <si>
    <t>พงศธร วัธนเวคิน</t>
  </si>
  <si>
    <t>ชย9225</t>
  </si>
  <si>
    <t>จิราภรณ์ อัญโย</t>
  </si>
  <si>
    <t>ยุทธพงษ์ เจริญผล</t>
  </si>
  <si>
    <t>ฆฐ207</t>
  </si>
  <si>
    <t>วิชาญ ศรีกลชาญ</t>
  </si>
  <si>
    <t>ฒอ4797</t>
  </si>
  <si>
    <t xml:space="preserve">อดุลย์ ศณีนนทา </t>
  </si>
  <si>
    <t>ฒล3280</t>
  </si>
  <si>
    <t>นพรัตน์ ประกอบสุข</t>
  </si>
  <si>
    <t>1กฒ9683</t>
  </si>
  <si>
    <t>สิริภาลักษณ์ บุญช่วยพงศ์</t>
  </si>
  <si>
    <t>2กม4323</t>
  </si>
  <si>
    <t>บังอร บรรจง</t>
  </si>
  <si>
    <t>1ฒฬ4979</t>
  </si>
  <si>
    <t>ธัญญา แซ่โค้ว</t>
  </si>
  <si>
    <t>ญร907</t>
  </si>
  <si>
    <t>คำผุน บังไธสงค์</t>
  </si>
  <si>
    <t>ฌฮ9522</t>
  </si>
  <si>
    <t>นัยร์ปพร ภัตร์จันทน์</t>
  </si>
  <si>
    <t>ชฮ5816</t>
  </si>
  <si>
    <t>ปรัชญา แคว้นคอนฉิม</t>
  </si>
  <si>
    <t>กต2104</t>
  </si>
  <si>
    <t>27/21/16</t>
  </si>
  <si>
    <t>ดาวประกาย สายเกต</t>
  </si>
  <si>
    <t>ชณ5493</t>
  </si>
  <si>
    <t>จารุวัฒน์ ไชยประสิทธิ์</t>
  </si>
  <si>
    <t>1กฌ6057</t>
  </si>
  <si>
    <t>น้องหนู ปั้นทอง</t>
  </si>
  <si>
    <t>1กฬ8345</t>
  </si>
  <si>
    <t>กุลหิรัญ บุตรพลวง</t>
  </si>
  <si>
    <t>ภย8768</t>
  </si>
  <si>
    <t>ยุทธพงศ์ สุดเจริญ</t>
  </si>
  <si>
    <t>MR.NMHID ALAM</t>
  </si>
  <si>
    <t>1กพ1162</t>
  </si>
  <si>
    <t>เผ่าพันธ์ อารีพันธ์</t>
  </si>
  <si>
    <t>ตม826</t>
  </si>
  <si>
    <t>สุภิชาติ ประทุมวงศ์</t>
  </si>
  <si>
    <t>ษย8938</t>
  </si>
  <si>
    <t>อภิสิทธิ์ ว่องไว</t>
  </si>
  <si>
    <t>4กช8503</t>
  </si>
  <si>
    <t>สมศักดิ์ พาพลงาม</t>
  </si>
  <si>
    <t>ฒณ8905</t>
  </si>
  <si>
    <t>จุ๊ รักวิชา</t>
  </si>
  <si>
    <t>ณฎ4093</t>
  </si>
  <si>
    <t>ภาณิน ชุติรัตน์</t>
  </si>
  <si>
    <t>2กฐ4201</t>
  </si>
  <si>
    <t>กรณ์จักรพรรดิ์ ยศเปี่ยม</t>
  </si>
  <si>
    <t>3กย5343</t>
  </si>
  <si>
    <t>เจียมจิตต์ วงศาโรจน์</t>
  </si>
  <si>
    <t>ฆส3697</t>
  </si>
  <si>
    <t>บัวพันธ์ ศรัทธาพันธ์</t>
  </si>
  <si>
    <t>ฒธ6208</t>
  </si>
  <si>
    <t>ชัยณรงค์ กุตัน</t>
  </si>
  <si>
    <t>ญณ5842</t>
  </si>
  <si>
    <t>สุดารัตน์ ไชยมิ่ง</t>
  </si>
  <si>
    <t>1กค1247</t>
  </si>
  <si>
    <t>ศรชัย ประจักษ์จิตร์</t>
  </si>
  <si>
    <t>ฒล5446</t>
  </si>
  <si>
    <t>ภทรพร นามนาศ</t>
  </si>
  <si>
    <t>กฉ3322</t>
  </si>
  <si>
    <t>กจ5041</t>
  </si>
  <si>
    <t>สังเวียน ศรีชามุก</t>
  </si>
  <si>
    <t>ถอ3956</t>
  </si>
  <si>
    <t>ศุภฤกษ์ ผู้เรืองทรัพย์</t>
  </si>
  <si>
    <t>วก6723</t>
  </si>
  <si>
    <t>ธนู สุขเกษม</t>
  </si>
  <si>
    <t>วิรัตน์ เทพตาแสง</t>
  </si>
  <si>
    <t>ฒผ2610</t>
  </si>
  <si>
    <t>สงัด เหล่าเขตรกิจ</t>
  </si>
  <si>
    <t>3กฎ8487</t>
  </si>
  <si>
    <t>จัน สาสุด</t>
  </si>
  <si>
    <t>ฒศ2032</t>
  </si>
  <si>
    <t>โชคดี ปรีวิลัย</t>
  </si>
  <si>
    <t>ฆข7544</t>
  </si>
  <si>
    <t>มนันญา สุวรรณบุตร์</t>
  </si>
  <si>
    <t>ญท3982</t>
  </si>
  <si>
    <t>มารุด ช่วยบำรุง</t>
  </si>
  <si>
    <t>ณร7628</t>
  </si>
  <si>
    <t>ณัฐกานต์ บ้วยเจริญ</t>
  </si>
  <si>
    <t>ญร5363</t>
  </si>
  <si>
    <t>พายัพ ทิพย์โชติ</t>
  </si>
  <si>
    <t>กต319</t>
  </si>
  <si>
    <t>เทวิน ภิญโญสุข</t>
  </si>
  <si>
    <t>2กว6387</t>
  </si>
  <si>
    <t>นภัสวรรณ ผดาศรี</t>
  </si>
  <si>
    <t>5กฎ9205</t>
  </si>
  <si>
    <t>นนทวัฒน์ โตยะวณิช</t>
  </si>
  <si>
    <t>ฎบ9291</t>
  </si>
  <si>
    <t>อนิวรรตน์ เทพทอง</t>
  </si>
  <si>
    <t>ญพ5414</t>
  </si>
  <si>
    <t>หาญ สีเสือน</t>
  </si>
  <si>
    <t>ฒพ5010</t>
  </si>
  <si>
    <t>จิณภัชณ์ พูลเกษ</t>
  </si>
  <si>
    <t>ฎษ6200</t>
  </si>
  <si>
    <t>มาลินี เสียงเพราะ</t>
  </si>
  <si>
    <t>ญฮ1523</t>
  </si>
  <si>
    <t>ภานุวัฒน์ จากผา</t>
  </si>
  <si>
    <t>4กม6086</t>
  </si>
  <si>
    <t>บธ7431</t>
  </si>
  <si>
    <t>รัฐพล พึ่งธรรมะสกุล</t>
  </si>
  <si>
    <t>ฒง3277</t>
  </si>
  <si>
    <t>อมรา บุญร่วม</t>
  </si>
  <si>
    <t>ฆค7203</t>
  </si>
  <si>
    <t>จักรพันธ์ โพธิ์สมบัติ</t>
  </si>
  <si>
    <t>ถจ6122</t>
  </si>
  <si>
    <t>ศิริชัย ประวรรณา</t>
  </si>
  <si>
    <t>5กณ3802</t>
  </si>
  <si>
    <t>MR.CHANG,CHIN-WEN</t>
  </si>
  <si>
    <t>02-3230684-101</t>
  </si>
  <si>
    <t>ฎถ9843</t>
  </si>
  <si>
    <t>สนิท รอดลันดา</t>
  </si>
  <si>
    <t>1กถ5774</t>
  </si>
  <si>
    <t>ละมัย ไชยยงค์</t>
  </si>
  <si>
    <t>ฆส8167</t>
  </si>
  <si>
    <t>หัน ผุ้สมเก่า</t>
  </si>
  <si>
    <t>ฒค2305</t>
  </si>
  <si>
    <t>พิเชษฐ์ อ่อนหวาน</t>
  </si>
  <si>
    <t>ถบ9607</t>
  </si>
  <si>
    <t>พฤกษชาติ ฉายสุวรรณ</t>
  </si>
  <si>
    <t>ษศ1571</t>
  </si>
  <si>
    <t>LANCCER</t>
  </si>
  <si>
    <t>สังข์วร คำแก้ว</t>
  </si>
  <si>
    <t>1กร4068</t>
  </si>
  <si>
    <t>สุนีย์ อุ่นจิตร</t>
  </si>
  <si>
    <t>ญค6594</t>
  </si>
  <si>
    <t>อรทัย พึ่งไม้</t>
  </si>
  <si>
    <t>ปากคลองบางปลากด</t>
  </si>
  <si>
    <t>2กญ9843</t>
  </si>
  <si>
    <t>อุทัย สัตยากร</t>
  </si>
  <si>
    <t xml:space="preserve">HONDA </t>
  </si>
  <si>
    <t>อมร วิธิสินธุ์</t>
  </si>
  <si>
    <t>ศช3107</t>
  </si>
  <si>
    <t xml:space="preserve">NISSAN </t>
  </si>
  <si>
    <t>SUPPER NEO A</t>
  </si>
  <si>
    <t>กุญหิรัญ บุตรพลวง</t>
  </si>
  <si>
    <t>สมชาย ชาญธัญการ</t>
  </si>
  <si>
    <t>ฒภ7205</t>
  </si>
  <si>
    <t>นันทยา อุชุปาละนันท์</t>
  </si>
  <si>
    <t>ศษ2399</t>
  </si>
  <si>
    <t>สิทธิพันธ์ กล่ำประชา</t>
  </si>
  <si>
    <t>ฌจ178</t>
  </si>
  <si>
    <t>รุ่งโรจน์ บัวเผือก</t>
  </si>
  <si>
    <t>สจ8442</t>
  </si>
  <si>
    <t>2+/600000</t>
  </si>
  <si>
    <t>รุ่งเพชร ไฝทาคำ</t>
  </si>
  <si>
    <t>ฒอ3454</t>
  </si>
  <si>
    <t>เพ็ญศรี ฤดูดี</t>
  </si>
  <si>
    <t>ฌฎ</t>
  </si>
  <si>
    <t>ฌฎ1355</t>
  </si>
  <si>
    <t>ทองคำ พงษ์สุระ</t>
  </si>
  <si>
    <t>บท4642</t>
  </si>
  <si>
    <t>สุชาดา ขุนสันเทียะ</t>
  </si>
  <si>
    <t>ญฐ2580</t>
  </si>
  <si>
    <t>วัชรา สุขวงค์</t>
  </si>
  <si>
    <t>บล4389</t>
  </si>
  <si>
    <t>จรรยา กล่ำดิษฐ์</t>
  </si>
  <si>
    <t>อนุสรณ์ แดงเรือง</t>
  </si>
  <si>
    <t>อ9356</t>
  </si>
  <si>
    <t>บัณฑิต ภู่ตระกูล</t>
  </si>
  <si>
    <t>2กฌ2892</t>
  </si>
  <si>
    <t>ธวัชชัย สร้อยมาตร</t>
  </si>
  <si>
    <t>ชง1139</t>
  </si>
  <si>
    <t>สุวัฒน์ ฝ่ายสิงห์</t>
  </si>
  <si>
    <t>1ฒส5437</t>
  </si>
  <si>
    <t>FIGHTER</t>
  </si>
  <si>
    <t>ฆธ4408</t>
  </si>
  <si>
    <t>กฤษฎา กาวีละเต็ม</t>
  </si>
  <si>
    <t>5กธ5497</t>
  </si>
  <si>
    <t>ฎอ4104</t>
  </si>
  <si>
    <t>อำภา สิริวงศ์วัฒนชัย</t>
  </si>
  <si>
    <t>4กฌ656</t>
  </si>
  <si>
    <t>อนงค์ลักษณ์ รื่นพจน์</t>
  </si>
  <si>
    <t>ตม425</t>
  </si>
  <si>
    <t>ณัฐพงศ์ คชรินทร์</t>
  </si>
  <si>
    <t>1ฒท9589</t>
  </si>
  <si>
    <t>อารีย์ เดชมิตร</t>
  </si>
  <si>
    <t>3กภ7810</t>
  </si>
  <si>
    <t>ศรนรินทร์ ตอนปัญญา</t>
  </si>
  <si>
    <t>ฒอ5864</t>
  </si>
  <si>
    <t>ชยันต์ นิรอรัมย์</t>
  </si>
  <si>
    <t>บห551</t>
  </si>
  <si>
    <t>พิเชษฐ์ แพรพงษ์ศรี</t>
  </si>
  <si>
    <t>กฉ8926</t>
  </si>
  <si>
    <t xml:space="preserve">ค่าเปลี่ยนสี </t>
  </si>
  <si>
    <t>SUZUKI SWIFT 2012</t>
  </si>
  <si>
    <t>กรุงไทย 1/290000</t>
  </si>
  <si>
    <t>ทำสีกันชนหน้า</t>
  </si>
  <si>
    <t>ทำสีคิ้วกันชนหน้าซ้าย</t>
  </si>
  <si>
    <t>ทำสีมุมกะบะขวา</t>
  </si>
  <si>
    <t>เปลี่ยนยางกันชนเสริมหลังขวา</t>
  </si>
  <si>
    <t>SUZUKI SWIFT 2015</t>
  </si>
  <si>
    <t>TOYOTA VIGO 2005</t>
  </si>
  <si>
    <t>ธนชาต 1/200000</t>
  </si>
  <si>
    <t>ลอกสีประตูหลังซ้าย</t>
  </si>
  <si>
    <t>CHEVROLET COLORADO 2014</t>
  </si>
  <si>
    <t>สยามซิตี้ 1/610000</t>
  </si>
  <si>
    <t>1709047</t>
  </si>
  <si>
    <t>1709048</t>
  </si>
  <si>
    <t>1709049</t>
  </si>
  <si>
    <t>1709050</t>
  </si>
  <si>
    <t>1709051</t>
  </si>
  <si>
    <t>1709052</t>
  </si>
  <si>
    <t>1709053</t>
  </si>
  <si>
    <t>1709054</t>
  </si>
  <si>
    <t>1709055</t>
  </si>
  <si>
    <t>1709056</t>
  </si>
  <si>
    <t>1709057</t>
  </si>
  <si>
    <t>1709058</t>
  </si>
  <si>
    <t>1709059</t>
  </si>
  <si>
    <t>1709060</t>
  </si>
  <si>
    <t>1709061</t>
  </si>
  <si>
    <t>1709062</t>
  </si>
  <si>
    <t>1709063</t>
  </si>
  <si>
    <t>1709064</t>
  </si>
  <si>
    <t>1709065</t>
  </si>
  <si>
    <t>1709066</t>
  </si>
  <si>
    <t>1709067</t>
  </si>
  <si>
    <t>สุนีย์ ถนอมวงศ์</t>
  </si>
  <si>
    <t>1กฆ7167</t>
  </si>
  <si>
    <t>เสวก เดชณรงค์</t>
  </si>
  <si>
    <t>ชง5637</t>
  </si>
  <si>
    <t>ทรงพล กลิ่นหอม</t>
  </si>
  <si>
    <t>ฎฮ6952</t>
  </si>
  <si>
    <t>หงษ์ทอง ศิลศร</t>
  </si>
  <si>
    <t>4กท4825</t>
  </si>
  <si>
    <t>กัลยา เทียมกลาง</t>
  </si>
  <si>
    <t>ฌง3136</t>
  </si>
  <si>
    <t>รัชตะวรรณ เรืองสวัสดิ์</t>
  </si>
  <si>
    <t>ฒย8429</t>
  </si>
  <si>
    <t>ภคพร เจริญสุข</t>
  </si>
  <si>
    <t>ญก2652</t>
  </si>
  <si>
    <t>ยุทธนากร แปลยาว</t>
  </si>
  <si>
    <t>บพ105</t>
  </si>
  <si>
    <t>สมพงษ์ เปงยาวงษ์</t>
  </si>
  <si>
    <t>1ฒฮ5884</t>
  </si>
  <si>
    <t>อิงขวัญ ทยาอุไร</t>
  </si>
  <si>
    <t>ฎร2939</t>
  </si>
  <si>
    <t>ณัฐวุฒิ ตังคะพิภพ</t>
  </si>
  <si>
    <t>ญอ9896</t>
  </si>
  <si>
    <t>ภูวิช วริศวรกฤต</t>
  </si>
  <si>
    <t>ฆฐ1875</t>
  </si>
  <si>
    <t>ประเจิด พึ่งจะแย้ม</t>
  </si>
  <si>
    <t>ญฐ6440</t>
  </si>
  <si>
    <t>ทิวาพร คอนทอง</t>
  </si>
  <si>
    <t>3กญ2275</t>
  </si>
  <si>
    <t>ระวีวรรณ นนทรักษ์ชัยศร</t>
  </si>
  <si>
    <t>4กจ5633</t>
  </si>
  <si>
    <t>ธำรงค์ศักดิ์ จุนทอง</t>
  </si>
  <si>
    <t>ฒส1839</t>
  </si>
  <si>
    <t>ฑริกา นนทศรี</t>
  </si>
  <si>
    <t>ฆก8821</t>
  </si>
  <si>
    <t>กพ1622</t>
  </si>
  <si>
    <t>1709068</t>
  </si>
  <si>
    <t>1709069</t>
  </si>
  <si>
    <t>1709070</t>
  </si>
  <si>
    <t>วุฒิพงษ์ สุนิลวงศ์</t>
  </si>
  <si>
    <t>ฒก5110</t>
  </si>
  <si>
    <t>กัณติพณณ์ ยาระมัง</t>
  </si>
  <si>
    <t>ญท246</t>
  </si>
  <si>
    <t>วิทยา กลีบบัว</t>
  </si>
  <si>
    <t>ถช7261</t>
  </si>
  <si>
    <t>ยางกันโคลนหลังขวา</t>
  </si>
  <si>
    <t>ยางกันชนเสริมหลังขวา</t>
  </si>
  <si>
    <t>TOYOTA VIGO 2010</t>
  </si>
  <si>
    <t>กรุงไทย 1/370000เ</t>
  </si>
  <si>
    <t>หลอดไฟ</t>
  </si>
  <si>
    <t>ค่าซ่อมรถ</t>
  </si>
  <si>
    <t xml:space="preserve">FORD FIESTA </t>
  </si>
  <si>
    <t>เปลี่ยนยางขอบเสกิร์ต</t>
  </si>
  <si>
    <t>ฟรีค่าแรง 200 บาท</t>
  </si>
  <si>
    <t>HONDA JAZZ 2009</t>
  </si>
  <si>
    <t>อาคเนย์ 1/250000</t>
  </si>
  <si>
    <t>ISUZU D-MAX 2010</t>
  </si>
  <si>
    <t>อาคเนย์ 1/410000</t>
  </si>
  <si>
    <t>MAZDA 3 2016</t>
  </si>
  <si>
    <t>ธนชาต 1/680000</t>
  </si>
  <si>
    <t>1709071</t>
  </si>
  <si>
    <t>1709072</t>
  </si>
  <si>
    <t>1709073</t>
  </si>
  <si>
    <t>1709074</t>
  </si>
  <si>
    <t>1709075</t>
  </si>
  <si>
    <t>1709076</t>
  </si>
  <si>
    <t>1709077</t>
  </si>
  <si>
    <t>1709078</t>
  </si>
  <si>
    <t>1709079</t>
  </si>
  <si>
    <t>1709080</t>
  </si>
  <si>
    <t>1709081</t>
  </si>
  <si>
    <t>1709082</t>
  </si>
  <si>
    <t>1709083</t>
  </si>
  <si>
    <t>1709084</t>
  </si>
  <si>
    <t>1709085</t>
  </si>
  <si>
    <t>1709086</t>
  </si>
  <si>
    <t>1709087</t>
  </si>
  <si>
    <t>1709088</t>
  </si>
  <si>
    <t>1709089</t>
  </si>
  <si>
    <t>1709090</t>
  </si>
  <si>
    <t>1709091</t>
  </si>
  <si>
    <t>1709092</t>
  </si>
  <si>
    <t>1709093</t>
  </si>
  <si>
    <t>1709094</t>
  </si>
  <si>
    <t>1709095</t>
  </si>
  <si>
    <t>1709096</t>
  </si>
  <si>
    <t>1710001</t>
  </si>
  <si>
    <t>1710002</t>
  </si>
  <si>
    <t>1710003</t>
  </si>
  <si>
    <t>1710004</t>
  </si>
  <si>
    <t>1710005</t>
  </si>
  <si>
    <t>1710006</t>
  </si>
  <si>
    <t>ฌฬ9213</t>
  </si>
  <si>
    <t>ศว6610</t>
  </si>
  <si>
    <t>กต452</t>
  </si>
  <si>
    <t>สอ927</t>
  </si>
  <si>
    <t>มานพ นาคสุขศรี</t>
  </si>
  <si>
    <t>6กช7981</t>
  </si>
  <si>
    <t>สัญญา ยันวงษา</t>
  </si>
  <si>
    <t>ณธ7078</t>
  </si>
  <si>
    <t>TIGER D4D</t>
  </si>
  <si>
    <t>สมรัก สุดรอด</t>
  </si>
  <si>
    <t>สฎ3854</t>
  </si>
  <si>
    <t>ประเสริฐ พิชญ์เสถียร</t>
  </si>
  <si>
    <t>บ4824</t>
  </si>
  <si>
    <t>ปัญญา สุริยันต์</t>
  </si>
  <si>
    <t>ฒง7513</t>
  </si>
  <si>
    <t>รชต เสาสิงห์</t>
  </si>
  <si>
    <t>ฒอ1943</t>
  </si>
  <si>
    <t>สมบัติ เครือพลับ</t>
  </si>
  <si>
    <t>แรพกษา</t>
  </si>
  <si>
    <t>ฒม5244</t>
  </si>
  <si>
    <t>วิฑุรย์ แสงนพรัตน์</t>
  </si>
  <si>
    <t>ณต5393</t>
  </si>
  <si>
    <t>บุญเหลือ กักจัตุรัส</t>
  </si>
  <si>
    <t>ฒฎ8533</t>
  </si>
  <si>
    <t>VIGO CHAMP</t>
  </si>
  <si>
    <t>เตชิณห์ นันทิวิภาวี</t>
  </si>
  <si>
    <t>ฎท1868</t>
  </si>
  <si>
    <t>ประชา สายแสง</t>
  </si>
  <si>
    <t>ชช169</t>
  </si>
  <si>
    <t>1/640000</t>
  </si>
  <si>
    <t>ศุจินันท์ ไทรสุวรรณ</t>
  </si>
  <si>
    <t>ชฉ5880</t>
  </si>
  <si>
    <t>สมพร สินธุ</t>
  </si>
  <si>
    <t>ฌล2307</t>
  </si>
  <si>
    <t>ปัญญา นามสว่าง</t>
  </si>
  <si>
    <t>ถถ7689</t>
  </si>
  <si>
    <t>อนุวัฒน์ วันทองสังข์</t>
  </si>
  <si>
    <t>ญน1975</t>
  </si>
  <si>
    <t>ดวงมณี สุขโข</t>
  </si>
  <si>
    <t>บางพลีใหญ๋</t>
  </si>
  <si>
    <t>ฆช1478</t>
  </si>
  <si>
    <t>คชภัค รัตน์พันธ์</t>
  </si>
  <si>
    <t>ฎบ4572</t>
  </si>
  <si>
    <t>ปราโมช ธรรมวงษา</t>
  </si>
  <si>
    <t>บางเพรียง</t>
  </si>
  <si>
    <t>ฒว2770</t>
  </si>
  <si>
    <t>COLOADOX-CAB 1</t>
  </si>
  <si>
    <t>บุญญานุช เริ่มภักดี</t>
  </si>
  <si>
    <t>ฌห7669</t>
  </si>
  <si>
    <t>สมพร ขาวสว่าง</t>
  </si>
  <si>
    <t>ฌข9705</t>
  </si>
  <si>
    <t>ณฐา จตุสิทธางกูรณ์</t>
  </si>
  <si>
    <t>3กษ8907</t>
  </si>
  <si>
    <t>1/780000</t>
  </si>
  <si>
    <t>นิจวรรณ นาพันปอง</t>
  </si>
  <si>
    <t>1กว531</t>
  </si>
  <si>
    <t>1/900000</t>
  </si>
  <si>
    <t>สกุล สะสมทรัพย์</t>
  </si>
  <si>
    <t>2ฒฆ865</t>
  </si>
  <si>
    <t>สุรศักดิ์ อยู่นาน</t>
  </si>
  <si>
    <t>3กฒ4537</t>
  </si>
  <si>
    <t>ณรงค์ฤทธิ์ รอดเจริญ</t>
  </si>
  <si>
    <t>บงาพลีใหญ่</t>
  </si>
  <si>
    <t>ชร1963</t>
  </si>
  <si>
    <t>บัวขาว แจ้งจรรยา</t>
  </si>
  <si>
    <t>1ฒน6567</t>
  </si>
  <si>
    <t>อนุศักดิ์ บุญศรี</t>
  </si>
  <si>
    <t>ษธ9446</t>
  </si>
  <si>
    <t>จำนน จิ๋วสุข</t>
  </si>
  <si>
    <t>บบ6324</t>
  </si>
  <si>
    <t>ธัญญาภรณ์ แจ้งสว่าง</t>
  </si>
  <si>
    <t>5กร8381</t>
  </si>
  <si>
    <t>รายการอะไหล่</t>
  </si>
  <si>
    <t xml:space="preserve"> - ฝากระโปรงหน้า OEM</t>
  </si>
  <si>
    <t xml:space="preserve"> - ไฟใหญ่หน้า ซ้าย OEM</t>
  </si>
  <si>
    <t xml:space="preserve"> - กระจังหน้า OEM</t>
  </si>
  <si>
    <t>ทำสี ฝากระโปรงหน้า</t>
  </si>
  <si>
    <t>ทำสี กันชนหน้า</t>
  </si>
  <si>
    <t>ดึงตัวถัง คานรับฝากระโปรงหน้า</t>
  </si>
  <si>
    <t>ประกอบ กระจังหน้า</t>
  </si>
  <si>
    <t>ประกอบ ไฟใหญ่หน้า</t>
  </si>
  <si>
    <t>ไม่คิดค่าแรง</t>
  </si>
  <si>
    <t>ISUZU MU-7 2011</t>
  </si>
  <si>
    <t>NISSAN TEANA 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</si>
</sst>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87" formatCode="_(* #,##0.00_);_(* \(#,##0.00\);_(* &quot;-&quot;??_);_(@_)"/>
    <numFmt numFmtId="188" formatCode="[$-1070000]d/mm/yyyy;@"/>
    <numFmt numFmtId="189" formatCode="[$-107041E]d\ mmm\ yy;@"/>
    <numFmt numFmtId="190" formatCode="#,##0.00;\-#,##0.00;;@"/>
    <numFmt numFmtId="191" formatCode="0000000"/>
    <numFmt numFmtId="192" formatCode="000\-000\-0000"/>
    <numFmt numFmtId="193" formatCode="_(* #,##0_);_(* \(#,##0\);_(* &quot;-&quot;??_);_(@_)"/>
    <numFmt numFmtId="194" formatCode="000"/>
    <numFmt numFmtId="195" formatCode="[$-1070000]d/m/yy;@"/>
  </numFmts>
  <fonts count="19" x14ac:knownFonts="1"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b/>
      <sz val="28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6"/>
      <color rgb="FF000000"/>
      <name val="Tahoma"/>
      <family val="2"/>
    </font>
    <font>
      <sz val="14"/>
      <color theme="1"/>
      <name val="FreesiaUPC"/>
      <family val="2"/>
    </font>
    <font>
      <b/>
      <sz val="22"/>
      <color rgb="FF0070C0"/>
      <name val="FreesiaUPC"/>
      <family val="2"/>
    </font>
    <font>
      <b/>
      <sz val="22"/>
      <color theme="1"/>
      <name val="FreesiaUPC"/>
      <family val="2"/>
    </font>
    <font>
      <u/>
      <sz val="16"/>
      <color theme="1"/>
      <name val="FreesiaUPC"/>
      <family val="2"/>
    </font>
    <font>
      <sz val="12"/>
      <color theme="1"/>
      <name val="FreesiaUPC"/>
      <family val="2"/>
    </font>
    <font>
      <sz val="18"/>
      <color theme="1"/>
      <name val="FreesiaUPC"/>
      <family val="2"/>
    </font>
    <font>
      <b/>
      <sz val="20"/>
      <color rgb="FF212121"/>
      <name val="FreesiaUPC"/>
      <family val="2"/>
    </font>
    <font>
      <sz val="16"/>
      <color theme="1"/>
      <name val="FreesiaUPC"/>
      <family val="2"/>
    </font>
    <font>
      <b/>
      <sz val="16"/>
      <color theme="1"/>
      <name val="FreesiaUPC"/>
      <family val="2"/>
    </font>
    <font>
      <b/>
      <u/>
      <sz val="18"/>
      <color theme="1"/>
      <name val="FreesiaUPC"/>
      <family val="2"/>
    </font>
    <font>
      <b/>
      <sz val="14"/>
      <color theme="1"/>
      <name val="FreesiaUPC"/>
      <family val="2"/>
    </font>
    <font>
      <sz val="11"/>
      <color theme="1"/>
      <name val="Tahoma"/>
      <family val="2"/>
      <charset val="222"/>
      <scheme val="minor"/>
    </font>
    <font>
      <sz val="13"/>
      <color theme="1"/>
      <name val="FreesiaUPC"/>
      <family val="2"/>
    </font>
    <font>
      <sz val="16"/>
      <color theme="0"/>
      <name val="FreesiaUPC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18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2">
    <xf numFmtId="0" fontId="0" fillId="0" borderId="0" xfId="0"/>
    <xf numFmtId="0" fontId="2" fillId="0" borderId="0" xfId="0" applyFont="1"/>
    <xf numFmtId="189" fontId="0" fillId="0" borderId="0" xfId="0" applyNumberFormat="1"/>
    <xf numFmtId="0" fontId="3" fillId="0" borderId="1" xfId="0" applyFont="1" applyBorder="1" applyAlignment="1">
      <alignment vertical="center"/>
    </xf>
    <xf numFmtId="192" fontId="3" fillId="0" borderId="1" xfId="0" applyNumberFormat="1" applyFont="1" applyBorder="1" applyAlignment="1">
      <alignment vertical="center"/>
    </xf>
    <xf numFmtId="189" fontId="3" fillId="0" borderId="1" xfId="0" applyNumberFormat="1" applyFont="1" applyBorder="1" applyAlignment="1">
      <alignment vertical="center"/>
    </xf>
    <xf numFmtId="193" fontId="3" fillId="0" borderId="1" xfId="1" applyNumberFormat="1" applyFont="1" applyBorder="1" applyAlignment="1">
      <alignment vertical="center"/>
    </xf>
    <xf numFmtId="191" fontId="0" fillId="0" borderId="1" xfId="0" applyNumberFormat="1" applyBorder="1"/>
    <xf numFmtId="189" fontId="0" fillId="0" borderId="1" xfId="0" applyNumberFormat="1" applyBorder="1"/>
    <xf numFmtId="1" fontId="0" fillId="0" borderId="1" xfId="1" applyNumberFormat="1" applyFont="1" applyBorder="1" applyAlignment="1">
      <alignment horizontal="center"/>
    </xf>
    <xf numFmtId="0" fontId="0" fillId="0" borderId="1" xfId="0" applyBorder="1"/>
    <xf numFmtId="192" fontId="0" fillId="0" borderId="1" xfId="0" applyNumberFormat="1" applyBorder="1"/>
    <xf numFmtId="193" fontId="0" fillId="0" borderId="1" xfId="1" applyNumberFormat="1" applyFont="1" applyBorder="1"/>
    <xf numFmtId="0" fontId="0" fillId="0" borderId="1" xfId="0" applyBorder="1" applyAlignment="1">
      <alignment horizontal="left"/>
    </xf>
    <xf numFmtId="193" fontId="0" fillId="0" borderId="1" xfId="1" applyNumberFormat="1" applyFont="1" applyBorder="1" applyAlignment="1">
      <alignment horizontal="left"/>
    </xf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192" fontId="0" fillId="0" borderId="0" xfId="0" applyNumberFormat="1" applyBorder="1"/>
    <xf numFmtId="0" fontId="0" fillId="5" borderId="16" xfId="0" applyFill="1" applyBorder="1" applyAlignment="1">
      <alignment horizontal="left"/>
    </xf>
    <xf numFmtId="0" fontId="0" fillId="5" borderId="17" xfId="0" applyFill="1" applyBorder="1"/>
    <xf numFmtId="0" fontId="0" fillId="5" borderId="18" xfId="0" applyFill="1" applyBorder="1"/>
    <xf numFmtId="0" fontId="0" fillId="5" borderId="21" xfId="0" applyFill="1" applyBorder="1"/>
    <xf numFmtId="0" fontId="0" fillId="5" borderId="22" xfId="0" applyFill="1" applyBorder="1"/>
    <xf numFmtId="192" fontId="0" fillId="5" borderId="22" xfId="0" applyNumberFormat="1" applyFill="1" applyBorder="1"/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195" fontId="0" fillId="5" borderId="17" xfId="0" applyNumberFormat="1" applyFill="1" applyBorder="1" applyAlignment="1">
      <alignment horizontal="left"/>
    </xf>
    <xf numFmtId="195" fontId="0" fillId="5" borderId="22" xfId="0" applyNumberFormat="1" applyFill="1" applyBorder="1"/>
    <xf numFmtId="195" fontId="0" fillId="0" borderId="32" xfId="0" applyNumberFormat="1" applyBorder="1"/>
    <xf numFmtId="0" fontId="5" fillId="3" borderId="0" xfId="0" applyFont="1" applyFill="1"/>
    <xf numFmtId="0" fontId="7" fillId="3" borderId="0" xfId="0" applyFont="1" applyFill="1" applyAlignment="1"/>
    <xf numFmtId="0" fontId="5" fillId="0" borderId="0" xfId="0" applyFont="1"/>
    <xf numFmtId="0" fontId="5" fillId="3" borderId="2" xfId="0" applyFont="1" applyFill="1" applyBorder="1" applyAlignment="1">
      <alignment horizontal="right"/>
    </xf>
    <xf numFmtId="0" fontId="5" fillId="3" borderId="4" xfId="0" applyFont="1" applyFill="1" applyBorder="1" applyAlignment="1">
      <alignment horizontal="right"/>
    </xf>
    <xf numFmtId="0" fontId="11" fillId="3" borderId="0" xfId="0" applyFont="1" applyFill="1" applyAlignment="1">
      <alignment horizontal="left" vertical="center"/>
    </xf>
    <xf numFmtId="0" fontId="12" fillId="4" borderId="1" xfId="0" applyFont="1" applyFill="1" applyBorder="1" applyAlignment="1" applyProtection="1">
      <alignment horizontal="left"/>
      <protection locked="0"/>
    </xf>
    <xf numFmtId="0" fontId="12" fillId="3" borderId="0" xfId="0" applyFont="1" applyFill="1" applyBorder="1" applyAlignment="1">
      <alignment horizontal="right"/>
    </xf>
    <xf numFmtId="194" fontId="12" fillId="3" borderId="0" xfId="0" applyNumberFormat="1" applyFont="1" applyFill="1" applyBorder="1" applyAlignment="1">
      <alignment horizontal="left"/>
    </xf>
    <xf numFmtId="0" fontId="12" fillId="3" borderId="0" xfId="0" applyFont="1" applyFill="1" applyBorder="1" applyAlignment="1">
      <alignment horizontal="left"/>
    </xf>
    <xf numFmtId="0" fontId="13" fillId="3" borderId="0" xfId="0" applyFont="1" applyFill="1" applyBorder="1"/>
    <xf numFmtId="0" fontId="12" fillId="2" borderId="26" xfId="0" applyFont="1" applyFill="1" applyBorder="1"/>
    <xf numFmtId="0" fontId="12" fillId="3" borderId="0" xfId="0" applyFont="1" applyFill="1"/>
    <xf numFmtId="0" fontId="12" fillId="0" borderId="0" xfId="0" applyFont="1"/>
    <xf numFmtId="0" fontId="5" fillId="3" borderId="7" xfId="0" applyFont="1" applyFill="1" applyBorder="1" applyAlignment="1">
      <alignment horizontal="right"/>
    </xf>
    <xf numFmtId="188" fontId="5" fillId="3" borderId="9" xfId="0" applyNumberFormat="1" applyFont="1" applyFill="1" applyBorder="1"/>
    <xf numFmtId="0" fontId="14" fillId="3" borderId="0" xfId="0" applyFont="1" applyFill="1" applyAlignment="1">
      <alignment vertical="center"/>
    </xf>
    <xf numFmtId="0" fontId="12" fillId="2" borderId="27" xfId="0" applyFont="1" applyFill="1" applyBorder="1"/>
    <xf numFmtId="0" fontId="5" fillId="3" borderId="3" xfId="0" applyFont="1" applyFill="1" applyBorder="1" applyAlignment="1">
      <alignment horizontal="left"/>
    </xf>
    <xf numFmtId="0" fontId="5" fillId="3" borderId="3" xfId="0" applyFont="1" applyFill="1" applyBorder="1"/>
    <xf numFmtId="0" fontId="13" fillId="3" borderId="0" xfId="0" applyFont="1" applyFill="1" applyAlignment="1">
      <alignment vertical="center"/>
    </xf>
    <xf numFmtId="0" fontId="12" fillId="4" borderId="1" xfId="0" applyFont="1" applyFill="1" applyBorder="1" applyProtection="1">
      <protection locked="0"/>
    </xf>
    <xf numFmtId="192" fontId="12" fillId="2" borderId="27" xfId="0" applyNumberFormat="1" applyFont="1" applyFill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0" fontId="5" fillId="3" borderId="0" xfId="0" applyFont="1" applyFill="1" applyBorder="1"/>
    <xf numFmtId="192" fontId="5" fillId="3" borderId="0" xfId="0" applyNumberFormat="1" applyFont="1" applyFill="1" applyBorder="1" applyAlignment="1">
      <alignment horizontal="left"/>
    </xf>
    <xf numFmtId="192" fontId="12" fillId="4" borderId="1" xfId="0" applyNumberFormat="1" applyFont="1" applyFill="1" applyBorder="1" applyAlignment="1" applyProtection="1">
      <alignment horizontal="left"/>
      <protection locked="0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2" fillId="3" borderId="4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0" fontId="15" fillId="3" borderId="0" xfId="0" applyFont="1" applyFill="1" applyBorder="1"/>
    <xf numFmtId="0" fontId="5" fillId="2" borderId="28" xfId="0" applyFont="1" applyFill="1" applyBorder="1"/>
    <xf numFmtId="0" fontId="5" fillId="3" borderId="5" xfId="0" applyFont="1" applyFill="1" applyBorder="1" applyAlignment="1">
      <alignment horizontal="center"/>
    </xf>
    <xf numFmtId="190" fontId="5" fillId="3" borderId="0" xfId="0" applyNumberFormat="1" applyFont="1" applyFill="1" applyBorder="1"/>
    <xf numFmtId="190" fontId="5" fillId="3" borderId="6" xfId="1" applyNumberFormat="1" applyFont="1" applyFill="1" applyBorder="1"/>
    <xf numFmtId="0" fontId="13" fillId="3" borderId="16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13" fillId="3" borderId="18" xfId="0" applyFont="1" applyFill="1" applyBorder="1" applyAlignment="1">
      <alignment horizontal="center"/>
    </xf>
    <xf numFmtId="0" fontId="16" fillId="3" borderId="0" xfId="0" applyFont="1" applyFill="1"/>
    <xf numFmtId="0" fontId="12" fillId="3" borderId="19" xfId="0" applyFont="1" applyFill="1" applyBorder="1"/>
    <xf numFmtId="0" fontId="12" fillId="4" borderId="20" xfId="0" applyFont="1" applyFill="1" applyBorder="1" applyProtection="1">
      <protection locked="0"/>
    </xf>
    <xf numFmtId="0" fontId="5" fillId="3" borderId="7" xfId="0" applyFont="1" applyFill="1" applyBorder="1" applyAlignment="1">
      <alignment horizontal="center"/>
    </xf>
    <xf numFmtId="190" fontId="5" fillId="3" borderId="8" xfId="0" applyNumberFormat="1" applyFont="1" applyFill="1" applyBorder="1"/>
    <xf numFmtId="0" fontId="5" fillId="3" borderId="12" xfId="0" applyFont="1" applyFill="1" applyBorder="1" applyAlignment="1">
      <alignment horizontal="right"/>
    </xf>
    <xf numFmtId="190" fontId="5" fillId="3" borderId="1" xfId="1" applyNumberFormat="1" applyFont="1" applyFill="1" applyBorder="1"/>
    <xf numFmtId="0" fontId="16" fillId="3" borderId="0" xfId="0" applyFont="1" applyFill="1" applyProtection="1">
      <protection locked="0"/>
    </xf>
    <xf numFmtId="0" fontId="12" fillId="3" borderId="29" xfId="0" applyFont="1" applyFill="1" applyBorder="1"/>
    <xf numFmtId="0" fontId="12" fillId="4" borderId="11" xfId="0" applyFont="1" applyFill="1" applyBorder="1" applyProtection="1">
      <protection locked="0"/>
    </xf>
    <xf numFmtId="0" fontId="12" fillId="4" borderId="30" xfId="0" applyFont="1" applyFill="1" applyBorder="1" applyProtection="1">
      <protection locked="0"/>
    </xf>
    <xf numFmtId="0" fontId="5" fillId="3" borderId="0" xfId="0" applyFont="1" applyFill="1" applyBorder="1" applyAlignment="1"/>
    <xf numFmtId="0" fontId="5" fillId="3" borderId="13" xfId="0" applyFont="1" applyFill="1" applyBorder="1" applyAlignment="1">
      <alignment horizontal="right"/>
    </xf>
    <xf numFmtId="190" fontId="5" fillId="3" borderId="10" xfId="1" applyNumberFormat="1" applyFont="1" applyFill="1" applyBorder="1"/>
    <xf numFmtId="9" fontId="12" fillId="4" borderId="17" xfId="2" applyFont="1" applyFill="1" applyBorder="1" applyProtection="1">
      <protection locked="0"/>
    </xf>
    <xf numFmtId="0" fontId="12" fillId="3" borderId="18" xfId="0" applyFont="1" applyFill="1" applyBorder="1"/>
    <xf numFmtId="0" fontId="5" fillId="3" borderId="0" xfId="0" applyFont="1" applyFill="1" applyBorder="1" applyAlignment="1">
      <alignment horizontal="right"/>
    </xf>
    <xf numFmtId="190" fontId="5" fillId="3" borderId="0" xfId="1" applyNumberFormat="1" applyFont="1" applyFill="1" applyBorder="1"/>
    <xf numFmtId="187" fontId="12" fillId="4" borderId="22" xfId="1" applyFont="1" applyFill="1" applyBorder="1" applyProtection="1">
      <protection locked="0"/>
    </xf>
    <xf numFmtId="0" fontId="12" fillId="3" borderId="23" xfId="0" applyFont="1" applyFill="1" applyBorder="1"/>
    <xf numFmtId="0" fontId="18" fillId="3" borderId="0" xfId="0" applyFont="1" applyFill="1"/>
    <xf numFmtId="187" fontId="18" fillId="3" borderId="0" xfId="1" applyFont="1" applyFill="1"/>
    <xf numFmtId="192" fontId="5" fillId="3" borderId="8" xfId="0" applyNumberFormat="1" applyFont="1" applyFill="1" applyBorder="1" applyAlignment="1">
      <alignment horizontal="left"/>
    </xf>
    <xf numFmtId="0" fontId="5" fillId="3" borderId="8" xfId="0" applyFont="1" applyFill="1" applyBorder="1"/>
    <xf numFmtId="190" fontId="5" fillId="3" borderId="9" xfId="1" applyNumberFormat="1" applyFont="1" applyFill="1" applyBorder="1"/>
    <xf numFmtId="190" fontId="5" fillId="3" borderId="13" xfId="1" applyNumberFormat="1" applyFont="1" applyFill="1" applyBorder="1"/>
    <xf numFmtId="0" fontId="12" fillId="4" borderId="14" xfId="0" applyFont="1" applyFill="1" applyBorder="1" applyAlignment="1" applyProtection="1">
      <alignment horizontal="left"/>
      <protection locked="0"/>
    </xf>
    <xf numFmtId="0" fontId="12" fillId="4" borderId="15" xfId="0" applyFont="1" applyFill="1" applyBorder="1" applyAlignment="1" applyProtection="1">
      <alignment horizontal="left"/>
      <protection locked="0"/>
    </xf>
    <xf numFmtId="0" fontId="8" fillId="3" borderId="0" xfId="0" applyFont="1" applyFill="1" applyAlignment="1">
      <alignment horizontal="left"/>
    </xf>
    <xf numFmtId="0" fontId="8" fillId="3" borderId="0" xfId="0" applyFont="1" applyFill="1" applyBorder="1" applyAlignment="1">
      <alignment horizontal="left"/>
    </xf>
    <xf numFmtId="0" fontId="14" fillId="3" borderId="0" xfId="0" applyFont="1" applyFill="1" applyBorder="1" applyAlignment="1">
      <alignment horizontal="center" vertical="center"/>
    </xf>
    <xf numFmtId="0" fontId="13" fillId="3" borderId="24" xfId="0" applyFont="1" applyFill="1" applyBorder="1" applyAlignment="1">
      <alignment horizontal="center"/>
    </xf>
    <xf numFmtId="0" fontId="13" fillId="3" borderId="25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left"/>
    </xf>
    <xf numFmtId="0" fontId="5" fillId="3" borderId="8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horizontal="left"/>
    </xf>
    <xf numFmtId="187" fontId="18" fillId="3" borderId="0" xfId="1" applyFont="1" applyFill="1" applyAlignment="1">
      <alignment horizontal="left"/>
    </xf>
    <xf numFmtId="187" fontId="12" fillId="3" borderId="0" xfId="1" applyFont="1" applyFill="1" applyAlignment="1">
      <alignment horizontal="left"/>
    </xf>
    <xf numFmtId="0" fontId="12" fillId="3" borderId="16" xfId="0" applyFont="1" applyFill="1" applyBorder="1" applyAlignment="1">
      <alignment horizontal="right" vertical="top"/>
    </xf>
    <xf numFmtId="0" fontId="12" fillId="3" borderId="17" xfId="0" applyFont="1" applyFill="1" applyBorder="1" applyAlignment="1">
      <alignment horizontal="right" vertical="top"/>
    </xf>
    <xf numFmtId="0" fontId="12" fillId="3" borderId="21" xfId="0" applyFont="1" applyFill="1" applyBorder="1" applyAlignment="1">
      <alignment horizontal="right" vertical="top"/>
    </xf>
    <xf numFmtId="0" fontId="12" fillId="3" borderId="22" xfId="0" applyFont="1" applyFill="1" applyBorder="1" applyAlignment="1">
      <alignment horizontal="right" vertical="top"/>
    </xf>
    <xf numFmtId="187" fontId="18" fillId="3" borderId="0" xfId="1" applyFont="1" applyFill="1" applyAlignment="1">
      <alignment horizontal="center"/>
    </xf>
    <xf numFmtId="0" fontId="12" fillId="4" borderId="2" xfId="0" applyFont="1" applyFill="1" applyBorder="1" applyAlignment="1" applyProtection="1">
      <alignment horizontal="lef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0" fontId="1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10" fillId="3" borderId="4" xfId="0" applyFont="1" applyFill="1" applyBorder="1" applyAlignment="1">
      <alignment horizontal="right" vertical="center"/>
    </xf>
    <xf numFmtId="0" fontId="10" fillId="3" borderId="9" xfId="0" applyFont="1" applyFill="1" applyBorder="1" applyAlignment="1">
      <alignment horizontal="right" vertical="center"/>
    </xf>
    <xf numFmtId="0" fontId="5" fillId="3" borderId="7" xfId="0" applyFont="1" applyFill="1" applyBorder="1" applyAlignment="1">
      <alignment horizontal="left"/>
    </xf>
    <xf numFmtId="0" fontId="12" fillId="3" borderId="3" xfId="0" applyFont="1" applyFill="1" applyBorder="1" applyAlignment="1">
      <alignment horizontal="center"/>
    </xf>
    <xf numFmtId="0" fontId="6" fillId="3" borderId="0" xfId="0" applyFont="1" applyFill="1" applyAlignment="1">
      <alignment horizontal="left" vertical="center"/>
    </xf>
    <xf numFmtId="0" fontId="9" fillId="3" borderId="0" xfId="0" applyFont="1" applyFill="1" applyAlignment="1">
      <alignment horizontal="left" vertical="center"/>
    </xf>
    <xf numFmtId="0" fontId="5" fillId="3" borderId="2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5" fillId="3" borderId="8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191" fontId="3" fillId="0" borderId="1" xfId="0" applyNumberFormat="1" applyFont="1" applyBorder="1" applyAlignment="1">
      <alignment horizontal="center" vertical="center"/>
    </xf>
    <xf numFmtId="189" fontId="3" fillId="0" borderId="1" xfId="0" applyNumberFormat="1" applyFont="1" applyBorder="1" applyAlignment="1">
      <alignment horizontal="center" vertical="center"/>
    </xf>
    <xf numFmtId="1" fontId="3" fillId="0" borderId="1" xfId="1" applyNumberFormat="1" applyFont="1" applyBorder="1" applyAlignment="1">
      <alignment horizontal="center" vertical="center"/>
    </xf>
    <xf numFmtId="0" fontId="0" fillId="5" borderId="17" xfId="0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2"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66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266700</xdr:rowOff>
    </xdr:from>
    <xdr:to>
      <xdr:col>3</xdr:col>
      <xdr:colOff>962025</xdr:colOff>
      <xdr:row>18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61925" y="4019550"/>
          <a:ext cx="1771650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400">
              <a:latin typeface="FreesiaUPC" pitchFamily="34" charset="-34"/>
              <a:cs typeface="FreesiaUPC" pitchFamily="34" charset="-34"/>
            </a:rPr>
            <a:t>_____________________</a:t>
          </a:r>
        </a:p>
        <a:p>
          <a:pPr algn="ctr"/>
          <a:r>
            <a:rPr lang="th-TH" sz="1400">
              <a:latin typeface="FreesiaUPC" pitchFamily="34" charset="-34"/>
              <a:cs typeface="FreesiaUPC" pitchFamily="34" charset="-34"/>
            </a:rPr>
            <a:t>ผู้รับเงิน</a:t>
          </a:r>
        </a:p>
      </xdr:txBody>
    </xdr:sp>
    <xdr:clientData/>
  </xdr:twoCellAnchor>
  <xdr:twoCellAnchor>
    <xdr:from>
      <xdr:col>3</xdr:col>
      <xdr:colOff>1238250</xdr:colOff>
      <xdr:row>14</xdr:row>
      <xdr:rowOff>266700</xdr:rowOff>
    </xdr:from>
    <xdr:to>
      <xdr:col>4</xdr:col>
      <xdr:colOff>809625</xdr:colOff>
      <xdr:row>18</xdr:row>
      <xdr:rowOff>133350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09800" y="4019550"/>
          <a:ext cx="1733550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400">
              <a:latin typeface="FreesiaUPC" pitchFamily="34" charset="-34"/>
              <a:cs typeface="FreesiaUPC" pitchFamily="34" charset="-34"/>
            </a:rPr>
            <a:t>_____________________</a:t>
          </a:r>
        </a:p>
        <a:p>
          <a:pPr algn="ctr"/>
          <a:r>
            <a:rPr lang="th-TH" sz="1400">
              <a:latin typeface="FreesiaUPC" pitchFamily="34" charset="-34"/>
              <a:cs typeface="FreesiaUPC" pitchFamily="34" charset="-34"/>
            </a:rPr>
            <a:t>ผู้จ่ายเงิน</a:t>
          </a:r>
        </a:p>
      </xdr:txBody>
    </xdr:sp>
    <xdr:clientData/>
  </xdr:twoCellAnchor>
  <xdr:twoCellAnchor>
    <xdr:from>
      <xdr:col>1</xdr:col>
      <xdr:colOff>0</xdr:colOff>
      <xdr:row>32</xdr:row>
      <xdr:rowOff>266700</xdr:rowOff>
    </xdr:from>
    <xdr:to>
      <xdr:col>3</xdr:col>
      <xdr:colOff>962025</xdr:colOff>
      <xdr:row>34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61925" y="8229600"/>
          <a:ext cx="1771650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400">
              <a:latin typeface="FreesiaUPC" pitchFamily="34" charset="-34"/>
              <a:cs typeface="FreesiaUPC" pitchFamily="34" charset="-34"/>
            </a:rPr>
            <a:t>_____________________</a:t>
          </a:r>
        </a:p>
        <a:p>
          <a:pPr algn="ctr"/>
          <a:r>
            <a:rPr lang="th-TH" sz="1400">
              <a:latin typeface="FreesiaUPC" pitchFamily="34" charset="-34"/>
              <a:cs typeface="FreesiaUPC" pitchFamily="34" charset="-34"/>
            </a:rPr>
            <a:t>ผู้รับเงิน</a:t>
          </a:r>
        </a:p>
      </xdr:txBody>
    </xdr:sp>
    <xdr:clientData/>
  </xdr:twoCellAnchor>
  <xdr:twoCellAnchor>
    <xdr:from>
      <xdr:col>3</xdr:col>
      <xdr:colOff>1238250</xdr:colOff>
      <xdr:row>32</xdr:row>
      <xdr:rowOff>266700</xdr:rowOff>
    </xdr:from>
    <xdr:to>
      <xdr:col>4</xdr:col>
      <xdr:colOff>809625</xdr:colOff>
      <xdr:row>34</xdr:row>
      <xdr:rowOff>133350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209800" y="8229600"/>
          <a:ext cx="1733550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400">
              <a:latin typeface="FreesiaUPC" pitchFamily="34" charset="-34"/>
              <a:cs typeface="FreesiaUPC" pitchFamily="34" charset="-34"/>
            </a:rPr>
            <a:t>_____________________</a:t>
          </a:r>
        </a:p>
        <a:p>
          <a:pPr algn="ctr"/>
          <a:r>
            <a:rPr lang="th-TH" sz="1400">
              <a:latin typeface="FreesiaUPC" pitchFamily="34" charset="-34"/>
              <a:cs typeface="FreesiaUPC" pitchFamily="34" charset="-34"/>
            </a:rPr>
            <a:t>ผู้จ่ายเงิน</a:t>
          </a:r>
        </a:p>
      </xdr:txBody>
    </xdr:sp>
    <xdr:clientData/>
  </xdr:twoCellAnchor>
  <xdr:twoCellAnchor>
    <xdr:from>
      <xdr:col>1</xdr:col>
      <xdr:colOff>9525</xdr:colOff>
      <xdr:row>17</xdr:row>
      <xdr:rowOff>38100</xdr:rowOff>
    </xdr:from>
    <xdr:to>
      <xdr:col>6</xdr:col>
      <xdr:colOff>866775</xdr:colOff>
      <xdr:row>17</xdr:row>
      <xdr:rowOff>39688</xdr:rowOff>
    </xdr:to>
    <xdr:cxnSp macro="">
      <xdr:nvCxnSpPr>
        <xdr:cNvPr id="7" name="ตัวเชื่อมต่อตร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71450" y="4933950"/>
          <a:ext cx="5581650" cy="1588"/>
        </a:xfrm>
        <a:prstGeom prst="line">
          <a:avLst/>
        </a:prstGeom>
        <a:ln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10</xdr:row>
          <xdr:rowOff>66675</xdr:rowOff>
        </xdr:from>
        <xdr:to>
          <xdr:col>14</xdr:col>
          <xdr:colOff>533400</xdr:colOff>
          <xdr:row>12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12</xdr:row>
          <xdr:rowOff>219075</xdr:rowOff>
        </xdr:from>
        <xdr:to>
          <xdr:col>14</xdr:col>
          <xdr:colOff>1743075</xdr:colOff>
          <xdr:row>14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UPDATE 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619125</xdr:colOff>
          <xdr:row>10</xdr:row>
          <xdr:rowOff>66675</xdr:rowOff>
        </xdr:from>
        <xdr:to>
          <xdr:col>14</xdr:col>
          <xdr:colOff>1733550</xdr:colOff>
          <xdr:row>12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ออกใบเสร็จฯ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00"/>
  <sheetViews>
    <sheetView tabSelected="1" view="pageBreakPreview" zoomScaleNormal="100" zoomScaleSheetLayoutView="100" workbookViewId="0">
      <selection activeCell="G33" sqref="G33"/>
    </sheetView>
  </sheetViews>
  <sheetFormatPr defaultColWidth="9" defaultRowHeight="20.25" x14ac:dyDescent="0.4"/>
  <cols>
    <col min="1" max="1" width="2" style="33" customWidth="1"/>
    <col min="2" max="2" width="3.875" style="33" customWidth="1"/>
    <col min="3" max="3" width="6.75" style="33" customWidth="1"/>
    <col min="4" max="4" width="28.375" style="33" customWidth="1"/>
    <col min="5" max="6" width="11.375" style="33" customWidth="1"/>
    <col min="7" max="7" width="12.75" style="33" customWidth="1"/>
    <col min="8" max="8" width="2" style="33" customWidth="1"/>
    <col min="9" max="9" width="8.375" style="33" customWidth="1"/>
    <col min="10" max="10" width="23.625" style="33" customWidth="1"/>
    <col min="11" max="13" width="11.375" style="33" customWidth="1"/>
    <col min="14" max="14" width="9.375" style="33" customWidth="1"/>
    <col min="15" max="15" width="23.25" style="33" customWidth="1"/>
    <col min="16" max="17" width="38.375" style="33" customWidth="1"/>
    <col min="18" max="16384" width="9" style="33"/>
  </cols>
  <sheetData>
    <row r="1" spans="1:25" ht="42" customHeight="1" x14ac:dyDescent="0.65">
      <c r="A1" s="31"/>
      <c r="B1" s="127" t="s">
        <v>28</v>
      </c>
      <c r="C1" s="127"/>
      <c r="D1" s="127"/>
      <c r="E1" s="31"/>
      <c r="F1" s="31"/>
      <c r="G1" s="31"/>
      <c r="H1" s="31"/>
      <c r="I1" s="32" t="s">
        <v>31</v>
      </c>
      <c r="J1" s="32"/>
      <c r="K1" s="32"/>
      <c r="L1" s="32"/>
      <c r="M1" s="32"/>
      <c r="N1" s="99" t="s">
        <v>1270</v>
      </c>
      <c r="O1" s="99"/>
      <c r="P1" s="31"/>
      <c r="Q1" s="31"/>
    </row>
    <row r="2" spans="1:25" ht="10.5" customHeight="1" thickBot="1" x14ac:dyDescent="0.45">
      <c r="A2" s="31"/>
      <c r="B2" s="128" t="str">
        <f>IF(J3="","SERVICE ASSISTANCE","ref.NO "&amp;J3&amp;"/"&amp;O7)</f>
        <v>SERVICE ASSISTANCE</v>
      </c>
      <c r="C2" s="128"/>
      <c r="D2" s="128"/>
      <c r="E2" s="128"/>
      <c r="F2" s="134"/>
      <c r="G2" s="134"/>
      <c r="H2" s="31"/>
      <c r="I2" s="31"/>
      <c r="J2" s="31"/>
      <c r="K2" s="31"/>
      <c r="L2" s="31"/>
      <c r="M2" s="31"/>
      <c r="N2" s="100"/>
      <c r="O2" s="100"/>
      <c r="P2" s="31"/>
      <c r="Q2" s="31"/>
    </row>
    <row r="3" spans="1:25" ht="19.5" customHeight="1" x14ac:dyDescent="0.5">
      <c r="A3" s="31"/>
      <c r="B3" s="119" t="s">
        <v>23</v>
      </c>
      <c r="C3" s="120"/>
      <c r="D3" s="120"/>
      <c r="E3" s="123" t="s">
        <v>30</v>
      </c>
      <c r="F3" s="34" t="s">
        <v>21</v>
      </c>
      <c r="G3" s="35" t="str">
        <f>"REC"&amp;TEXT(L3,"000")</f>
        <v>REC228</v>
      </c>
      <c r="H3" s="31"/>
      <c r="I3" s="36" t="s">
        <v>32</v>
      </c>
      <c r="J3" s="37"/>
      <c r="K3" s="38" t="s">
        <v>1271</v>
      </c>
      <c r="L3" s="39">
        <f>O14</f>
        <v>228</v>
      </c>
      <c r="M3" s="40"/>
      <c r="N3" s="41" t="s">
        <v>35</v>
      </c>
      <c r="O3" s="42" t="str">
        <f>IF(J3="","",VLOOKUP(J3,PROFILE!A4:Q5000,8,FALSE))</f>
        <v/>
      </c>
      <c r="P3" s="43"/>
      <c r="Q3" s="43"/>
      <c r="R3" s="44"/>
      <c r="S3" s="44"/>
      <c r="T3" s="44"/>
      <c r="U3" s="44"/>
      <c r="V3" s="44"/>
      <c r="W3" s="44"/>
      <c r="X3" s="44"/>
      <c r="Y3" s="44"/>
    </row>
    <row r="4" spans="1:25" ht="19.5" customHeight="1" x14ac:dyDescent="0.5">
      <c r="A4" s="31"/>
      <c r="B4" s="121"/>
      <c r="C4" s="122"/>
      <c r="D4" s="122"/>
      <c r="E4" s="124"/>
      <c r="F4" s="45" t="s">
        <v>22</v>
      </c>
      <c r="G4" s="46">
        <f ca="1">NOW()</f>
        <v>43028.401678125003</v>
      </c>
      <c r="H4" s="31"/>
      <c r="I4" s="47" t="s">
        <v>34</v>
      </c>
      <c r="J4" s="43"/>
      <c r="K4" s="43"/>
      <c r="L4" s="43"/>
      <c r="M4" s="43"/>
      <c r="N4" s="41" t="s">
        <v>7</v>
      </c>
      <c r="O4" s="48" t="str">
        <f>IF(J3="","",VLOOKUP(J3,PROFILE!A4:Q5000,9,FALSE))</f>
        <v/>
      </c>
      <c r="P4" s="43"/>
      <c r="Q4" s="43"/>
      <c r="R4" s="44"/>
      <c r="S4" s="44"/>
      <c r="T4" s="44"/>
      <c r="U4" s="44"/>
      <c r="V4" s="44"/>
      <c r="W4" s="44"/>
      <c r="X4" s="44"/>
      <c r="Y4" s="44"/>
    </row>
    <row r="5" spans="1:25" ht="19.5" customHeight="1" x14ac:dyDescent="0.5">
      <c r="A5" s="31"/>
      <c r="B5" s="129" t="s">
        <v>9</v>
      </c>
      <c r="C5" s="130"/>
      <c r="D5" s="49">
        <f>IF(J3="",J5,O3)</f>
        <v>0</v>
      </c>
      <c r="E5" s="50" t="s">
        <v>17</v>
      </c>
      <c r="F5" s="130" t="str">
        <f>IF(J3="",UPPER(L5),UPPER(O6))</f>
        <v/>
      </c>
      <c r="G5" s="131"/>
      <c r="H5" s="31"/>
      <c r="I5" s="51" t="s">
        <v>6</v>
      </c>
      <c r="J5" s="52"/>
      <c r="K5" s="41" t="s">
        <v>17</v>
      </c>
      <c r="L5" s="97"/>
      <c r="M5" s="98"/>
      <c r="N5" s="41" t="s">
        <v>8</v>
      </c>
      <c r="O5" s="53" t="str">
        <f>IF(J3="","",VLOOKUP(J3,PROFILE!A4:Q5000,10,FALSE))</f>
        <v/>
      </c>
      <c r="P5" s="43"/>
      <c r="Q5" s="43"/>
      <c r="R5" s="44"/>
      <c r="S5" s="44"/>
      <c r="T5" s="44"/>
      <c r="U5" s="44"/>
      <c r="V5" s="44"/>
      <c r="W5" s="44"/>
      <c r="X5" s="44"/>
      <c r="Y5" s="44"/>
    </row>
    <row r="6" spans="1:25" ht="19.5" customHeight="1" x14ac:dyDescent="0.5">
      <c r="A6" s="31"/>
      <c r="B6" s="132" t="s">
        <v>10</v>
      </c>
      <c r="C6" s="104"/>
      <c r="D6" s="54">
        <f>IF(J3="",J6,IF(O4=0,"",O4))</f>
        <v>0</v>
      </c>
      <c r="E6" s="55" t="s">
        <v>18</v>
      </c>
      <c r="F6" s="104">
        <f>IF(J3="",L6,O7)</f>
        <v>0</v>
      </c>
      <c r="G6" s="133"/>
      <c r="H6" s="31"/>
      <c r="I6" s="51" t="s">
        <v>7</v>
      </c>
      <c r="J6" s="52"/>
      <c r="K6" s="41" t="s">
        <v>18</v>
      </c>
      <c r="L6" s="97"/>
      <c r="M6" s="98"/>
      <c r="N6" s="41" t="s">
        <v>14</v>
      </c>
      <c r="O6" s="48" t="str">
        <f>IF(J3="","",VLOOKUP(J3,PROFILE!A4:Q5000,13,FALSE)&amp;" "&amp;VLOOKUP(J3,PROFILE!A4:Q5000,14,FALSE)&amp;" "&amp;VLOOKUP(J3,PROFILE!A4:Q5000,15,FALSE))</f>
        <v/>
      </c>
      <c r="P6" s="43"/>
      <c r="Q6" s="43"/>
      <c r="R6" s="44"/>
      <c r="S6" s="44"/>
      <c r="T6" s="44"/>
      <c r="U6" s="44"/>
      <c r="V6" s="44"/>
      <c r="W6" s="44"/>
      <c r="X6" s="44"/>
      <c r="Y6" s="44"/>
    </row>
    <row r="7" spans="1:25" ht="19.5" customHeight="1" x14ac:dyDescent="0.5">
      <c r="A7" s="31"/>
      <c r="B7" s="132" t="s">
        <v>11</v>
      </c>
      <c r="C7" s="104"/>
      <c r="D7" s="56">
        <f>IF(J3="",J7,O5)</f>
        <v>0</v>
      </c>
      <c r="E7" s="55" t="s">
        <v>19</v>
      </c>
      <c r="F7" s="104">
        <f>IF(J3="",L7,O8)</f>
        <v>0</v>
      </c>
      <c r="G7" s="133"/>
      <c r="H7" s="31"/>
      <c r="I7" s="51" t="s">
        <v>8</v>
      </c>
      <c r="J7" s="57"/>
      <c r="K7" s="41" t="s">
        <v>19</v>
      </c>
      <c r="L7" s="97"/>
      <c r="M7" s="98"/>
      <c r="N7" s="41" t="s">
        <v>15</v>
      </c>
      <c r="O7" s="48" t="str">
        <f>IF(J3="","",VLOOKUP(J3,PROFILE!A4:Q5000,12,FALSE))</f>
        <v/>
      </c>
      <c r="P7" s="43"/>
      <c r="Q7" s="43"/>
      <c r="R7" s="44"/>
      <c r="S7" s="44"/>
      <c r="T7" s="44"/>
      <c r="U7" s="44"/>
      <c r="V7" s="44"/>
      <c r="W7" s="44"/>
      <c r="X7" s="44"/>
      <c r="Y7" s="44"/>
    </row>
    <row r="8" spans="1:25" ht="19.5" customHeight="1" thickBot="1" x14ac:dyDescent="0.5">
      <c r="A8" s="31"/>
      <c r="B8" s="58" t="s">
        <v>0</v>
      </c>
      <c r="C8" s="126" t="s">
        <v>1</v>
      </c>
      <c r="D8" s="126"/>
      <c r="E8" s="59" t="s">
        <v>3</v>
      </c>
      <c r="F8" s="59" t="s">
        <v>4</v>
      </c>
      <c r="G8" s="60" t="s">
        <v>5</v>
      </c>
      <c r="H8" s="61"/>
      <c r="I8" s="101"/>
      <c r="J8" s="101"/>
      <c r="K8" s="101"/>
      <c r="L8" s="101"/>
      <c r="M8" s="62"/>
      <c r="N8" s="63" t="s">
        <v>16</v>
      </c>
      <c r="O8" s="64" t="str">
        <f>IF(J3="","",VLOOKUP(J3,PROFILE!A4:Q5000,7,FALSE)&amp;" "&amp;VLOOKUP(J3,PROFILE!A4:Q5000,17,FALSE))</f>
        <v/>
      </c>
      <c r="P8" s="43"/>
      <c r="Q8" s="43"/>
      <c r="R8" s="44"/>
      <c r="S8" s="44"/>
      <c r="T8" s="44"/>
      <c r="U8" s="44"/>
      <c r="V8" s="44"/>
      <c r="W8" s="44"/>
      <c r="X8" s="44"/>
      <c r="Y8" s="44"/>
    </row>
    <row r="9" spans="1:25" ht="19.5" customHeight="1" thickBot="1" x14ac:dyDescent="0.5">
      <c r="A9" s="31"/>
      <c r="B9" s="65" t="str">
        <f>IFERROR(IF(I11="","",I11),"")</f>
        <v/>
      </c>
      <c r="C9" s="104" t="str">
        <f>IF(J11="","",J11)</f>
        <v/>
      </c>
      <c r="D9" s="104"/>
      <c r="E9" s="66">
        <f>IF(L11="",0,L11)</f>
        <v>0</v>
      </c>
      <c r="F9" s="66">
        <f>IF(M11="",0,M11)</f>
        <v>0</v>
      </c>
      <c r="G9" s="67">
        <f>IFERROR(E9*F9,0)</f>
        <v>0</v>
      </c>
      <c r="H9" s="31"/>
      <c r="I9" s="47" t="s">
        <v>33</v>
      </c>
      <c r="J9" s="31"/>
      <c r="K9" s="31"/>
      <c r="L9" s="31"/>
      <c r="M9" s="31"/>
      <c r="N9" s="31"/>
      <c r="O9" s="31"/>
      <c r="P9" s="43"/>
      <c r="Q9" s="43"/>
      <c r="R9" s="44"/>
      <c r="S9" s="44"/>
      <c r="T9" s="44"/>
      <c r="U9" s="44"/>
      <c r="V9" s="44"/>
      <c r="W9" s="44"/>
      <c r="X9" s="44"/>
      <c r="Y9" s="44"/>
    </row>
    <row r="10" spans="1:25" ht="19.5" customHeight="1" x14ac:dyDescent="0.5">
      <c r="A10" s="31"/>
      <c r="B10" s="65" t="str">
        <f t="shared" ref="B10:B13" si="0">IFERROR(IF(I12="","",I12),"")</f>
        <v/>
      </c>
      <c r="C10" s="104" t="str">
        <f t="shared" ref="C10:C13" si="1">IF(J12="","",J12)</f>
        <v/>
      </c>
      <c r="D10" s="104"/>
      <c r="E10" s="66">
        <f t="shared" ref="E10:E12" si="2">IF(L12="",0,L12)</f>
        <v>0</v>
      </c>
      <c r="F10" s="66">
        <f t="shared" ref="F10:F12" si="3">IF(M12="",0,M12)</f>
        <v>0</v>
      </c>
      <c r="G10" s="67">
        <f t="shared" ref="G10:G13" si="4">IFERROR(E10*F10,0)</f>
        <v>0</v>
      </c>
      <c r="H10" s="31"/>
      <c r="I10" s="68" t="s">
        <v>0</v>
      </c>
      <c r="J10" s="102" t="s">
        <v>1</v>
      </c>
      <c r="K10" s="103"/>
      <c r="L10" s="69" t="s">
        <v>3</v>
      </c>
      <c r="M10" s="70" t="s">
        <v>4</v>
      </c>
      <c r="N10" s="71"/>
      <c r="O10" s="71"/>
      <c r="P10" s="43"/>
      <c r="Q10" s="43"/>
      <c r="R10" s="44"/>
      <c r="S10" s="44"/>
      <c r="T10" s="44"/>
      <c r="U10" s="44"/>
      <c r="V10" s="44"/>
      <c r="W10" s="44"/>
      <c r="X10" s="44"/>
      <c r="Y10" s="44"/>
    </row>
    <row r="11" spans="1:25" ht="19.5" customHeight="1" x14ac:dyDescent="0.45">
      <c r="A11" s="31"/>
      <c r="B11" s="65" t="str">
        <f t="shared" si="0"/>
        <v/>
      </c>
      <c r="C11" s="104" t="str">
        <f t="shared" si="1"/>
        <v/>
      </c>
      <c r="D11" s="104"/>
      <c r="E11" s="66">
        <f t="shared" si="2"/>
        <v>0</v>
      </c>
      <c r="F11" s="66">
        <f t="shared" si="3"/>
        <v>0</v>
      </c>
      <c r="G11" s="67">
        <f t="shared" si="4"/>
        <v>0</v>
      </c>
      <c r="H11" s="31"/>
      <c r="I11" s="72" t="str">
        <f>IF(J11="","",1)</f>
        <v/>
      </c>
      <c r="J11" s="97"/>
      <c r="K11" s="98"/>
      <c r="L11" s="52"/>
      <c r="M11" s="73"/>
      <c r="N11" s="71"/>
      <c r="O11" s="71"/>
      <c r="P11" s="43"/>
      <c r="Q11" s="43"/>
      <c r="R11" s="44"/>
      <c r="S11" s="44"/>
      <c r="T11" s="44"/>
      <c r="U11" s="44"/>
      <c r="V11" s="44"/>
      <c r="W11" s="44"/>
      <c r="X11" s="44"/>
      <c r="Y11" s="44"/>
    </row>
    <row r="12" spans="1:25" ht="19.5" customHeight="1" x14ac:dyDescent="0.45">
      <c r="A12" s="31"/>
      <c r="B12" s="65" t="str">
        <f t="shared" si="0"/>
        <v/>
      </c>
      <c r="C12" s="104" t="str">
        <f t="shared" si="1"/>
        <v/>
      </c>
      <c r="D12" s="104"/>
      <c r="E12" s="66">
        <f t="shared" si="2"/>
        <v>0</v>
      </c>
      <c r="F12" s="66">
        <f t="shared" si="3"/>
        <v>0</v>
      </c>
      <c r="G12" s="67">
        <f t="shared" si="4"/>
        <v>0</v>
      </c>
      <c r="H12" s="31"/>
      <c r="I12" s="72" t="str">
        <f t="shared" ref="I12:I15" si="5">IF(J12="","",I11+1)</f>
        <v/>
      </c>
      <c r="J12" s="97"/>
      <c r="K12" s="98"/>
      <c r="L12" s="52"/>
      <c r="M12" s="73"/>
      <c r="N12" s="71"/>
      <c r="O12" s="71"/>
      <c r="P12" s="43"/>
      <c r="Q12" s="43"/>
      <c r="R12" s="44"/>
      <c r="S12" s="44"/>
      <c r="T12" s="44"/>
      <c r="U12" s="44"/>
      <c r="V12" s="44"/>
      <c r="W12" s="44"/>
      <c r="X12" s="44"/>
      <c r="Y12" s="44"/>
    </row>
    <row r="13" spans="1:25" ht="19.5" customHeight="1" x14ac:dyDescent="0.45">
      <c r="A13" s="31"/>
      <c r="B13" s="74" t="str">
        <f t="shared" si="0"/>
        <v/>
      </c>
      <c r="C13" s="105" t="str">
        <f t="shared" si="1"/>
        <v/>
      </c>
      <c r="D13" s="105"/>
      <c r="E13" s="75">
        <f t="shared" ref="E13:F13" si="6">IF(L15="",0,L15)</f>
        <v>0</v>
      </c>
      <c r="F13" s="75">
        <f t="shared" si="6"/>
        <v>0</v>
      </c>
      <c r="G13" s="67">
        <f t="shared" si="4"/>
        <v>0</v>
      </c>
      <c r="H13" s="31"/>
      <c r="I13" s="72" t="str">
        <f>IF(J13="","",I12+1)</f>
        <v/>
      </c>
      <c r="J13" s="97"/>
      <c r="K13" s="98"/>
      <c r="L13" s="52"/>
      <c r="M13" s="73"/>
      <c r="N13" s="71"/>
      <c r="O13" s="71"/>
      <c r="P13" s="43"/>
      <c r="Q13" s="43"/>
      <c r="R13" s="44"/>
      <c r="S13" s="44"/>
      <c r="T13" s="44"/>
      <c r="U13" s="44"/>
      <c r="V13" s="44"/>
      <c r="W13" s="44"/>
      <c r="X13" s="44"/>
      <c r="Y13" s="44"/>
    </row>
    <row r="14" spans="1:25" ht="28.5" customHeight="1" x14ac:dyDescent="0.45">
      <c r="A14" s="31"/>
      <c r="B14" s="135" t="str">
        <f>"("&amp;BAHTTEXT(G16)&amp;")"</f>
        <v>(ศูนย์บาทถ้วน)</v>
      </c>
      <c r="C14" s="135"/>
      <c r="D14" s="135"/>
      <c r="E14" s="136"/>
      <c r="F14" s="76" t="s">
        <v>24</v>
      </c>
      <c r="G14" s="77">
        <f>SUM(G9:G13)</f>
        <v>0</v>
      </c>
      <c r="H14" s="31"/>
      <c r="I14" s="72" t="str">
        <f t="shared" si="5"/>
        <v/>
      </c>
      <c r="J14" s="97"/>
      <c r="K14" s="98"/>
      <c r="L14" s="52"/>
      <c r="M14" s="73"/>
      <c r="N14" s="71"/>
      <c r="O14" s="78">
        <v>228</v>
      </c>
      <c r="P14" s="43"/>
      <c r="Q14" s="43"/>
      <c r="R14" s="44"/>
      <c r="S14" s="44"/>
      <c r="T14" s="44"/>
      <c r="U14" s="44"/>
      <c r="V14" s="44"/>
      <c r="W14" s="44"/>
      <c r="X14" s="44"/>
      <c r="Y14" s="44"/>
    </row>
    <row r="15" spans="1:25" ht="28.5" customHeight="1" thickBot="1" x14ac:dyDescent="0.5">
      <c r="A15" s="31"/>
      <c r="B15" s="118" t="s">
        <v>27</v>
      </c>
      <c r="C15" s="118"/>
      <c r="D15" s="118"/>
      <c r="E15" s="118"/>
      <c r="F15" s="76" t="s">
        <v>25</v>
      </c>
      <c r="G15" s="77">
        <f>IF(L16="",L17,L16*G14)</f>
        <v>0</v>
      </c>
      <c r="H15" s="31"/>
      <c r="I15" s="79" t="str">
        <f t="shared" si="5"/>
        <v/>
      </c>
      <c r="J15" s="116"/>
      <c r="K15" s="117"/>
      <c r="L15" s="80"/>
      <c r="M15" s="81"/>
      <c r="N15" s="71"/>
      <c r="O15" s="71"/>
      <c r="P15" s="43"/>
      <c r="Q15" s="43"/>
      <c r="R15" s="44"/>
      <c r="S15" s="44"/>
      <c r="T15" s="44"/>
      <c r="U15" s="44"/>
      <c r="V15" s="44"/>
      <c r="W15" s="44"/>
      <c r="X15" s="44"/>
      <c r="Y15" s="44"/>
    </row>
    <row r="16" spans="1:25" ht="28.5" customHeight="1" thickBot="1" x14ac:dyDescent="0.5">
      <c r="A16" s="31"/>
      <c r="B16" s="82"/>
      <c r="C16" s="82"/>
      <c r="D16" s="82"/>
      <c r="E16" s="82"/>
      <c r="F16" s="83" t="s">
        <v>26</v>
      </c>
      <c r="G16" s="84">
        <f>G14-G15</f>
        <v>0</v>
      </c>
      <c r="H16" s="31"/>
      <c r="I16" s="111" t="s">
        <v>25</v>
      </c>
      <c r="J16" s="112"/>
      <c r="K16" s="112"/>
      <c r="L16" s="85"/>
      <c r="M16" s="86" t="s">
        <v>2349</v>
      </c>
      <c r="N16" s="43"/>
      <c r="O16" s="43"/>
      <c r="P16" s="43"/>
      <c r="Q16" s="43"/>
      <c r="R16" s="44"/>
      <c r="S16" s="44"/>
      <c r="T16" s="44"/>
      <c r="U16" s="44"/>
      <c r="V16" s="44"/>
      <c r="W16" s="44"/>
      <c r="X16" s="44"/>
      <c r="Y16" s="44"/>
    </row>
    <row r="17" spans="1:25" ht="33" customHeight="1" thickTop="1" thickBot="1" x14ac:dyDescent="0.5">
      <c r="A17" s="31"/>
      <c r="B17" s="82"/>
      <c r="C17" s="82"/>
      <c r="D17" s="82"/>
      <c r="E17" s="82"/>
      <c r="F17" s="87"/>
      <c r="G17" s="88"/>
      <c r="H17" s="31"/>
      <c r="I17" s="113"/>
      <c r="J17" s="114"/>
      <c r="K17" s="114"/>
      <c r="L17" s="89"/>
      <c r="M17" s="90" t="s">
        <v>2350</v>
      </c>
      <c r="N17" s="43"/>
      <c r="O17" s="43"/>
      <c r="P17" s="43"/>
      <c r="Q17" s="43"/>
      <c r="R17" s="44"/>
      <c r="S17" s="44"/>
      <c r="T17" s="44"/>
      <c r="U17" s="44"/>
      <c r="V17" s="44"/>
      <c r="W17" s="44"/>
      <c r="X17" s="44"/>
      <c r="Y17" s="44"/>
    </row>
    <row r="18" spans="1:25" ht="24" customHeight="1" x14ac:dyDescent="0.45">
      <c r="A18" s="31"/>
      <c r="B18" s="82"/>
      <c r="C18" s="82"/>
      <c r="D18" s="82"/>
      <c r="E18" s="82"/>
      <c r="F18" s="87"/>
      <c r="G18" s="88"/>
      <c r="H18" s="31"/>
      <c r="I18" s="91"/>
      <c r="J18" s="91" t="s">
        <v>2</v>
      </c>
      <c r="K18" s="92">
        <f>G14</f>
        <v>0</v>
      </c>
      <c r="L18" s="91"/>
      <c r="M18" s="91"/>
      <c r="N18" s="43"/>
      <c r="O18" s="43"/>
      <c r="P18" s="43"/>
      <c r="Q18" s="43"/>
      <c r="R18" s="44"/>
      <c r="S18" s="44"/>
      <c r="T18" s="44"/>
      <c r="U18" s="44"/>
      <c r="V18" s="44"/>
      <c r="W18" s="44"/>
      <c r="X18" s="44"/>
      <c r="Y18" s="44"/>
    </row>
    <row r="19" spans="1:25" ht="14.25" customHeight="1" x14ac:dyDescent="0.45">
      <c r="A19" s="31"/>
      <c r="B19" s="31"/>
      <c r="C19" s="31"/>
      <c r="D19" s="31"/>
      <c r="E19" s="31"/>
      <c r="F19" s="31"/>
      <c r="G19" s="31"/>
      <c r="H19" s="31"/>
      <c r="I19" s="91"/>
      <c r="J19" s="109" t="s">
        <v>25</v>
      </c>
      <c r="K19" s="115">
        <f>IF(L16="",L17,K18*L16)</f>
        <v>0</v>
      </c>
      <c r="L19" s="91"/>
      <c r="M19" s="91"/>
      <c r="N19" s="43"/>
      <c r="O19" s="43"/>
      <c r="P19" s="43"/>
      <c r="Q19" s="43"/>
      <c r="R19" s="44"/>
      <c r="S19" s="44"/>
      <c r="T19" s="44"/>
      <c r="U19" s="44"/>
      <c r="V19" s="44"/>
      <c r="W19" s="44"/>
      <c r="X19" s="44"/>
      <c r="Y19" s="44"/>
    </row>
    <row r="20" spans="1:25" ht="10.5" customHeight="1" x14ac:dyDescent="0.45">
      <c r="A20" s="31"/>
      <c r="B20" s="128" t="str">
        <f>B2</f>
        <v>SERVICE ASSISTANCE</v>
      </c>
      <c r="C20" s="128"/>
      <c r="D20" s="128"/>
      <c r="E20" s="128"/>
      <c r="F20" s="134"/>
      <c r="G20" s="134"/>
      <c r="H20" s="31"/>
      <c r="I20" s="91"/>
      <c r="J20" s="109"/>
      <c r="K20" s="115"/>
      <c r="L20" s="91"/>
      <c r="M20" s="91"/>
      <c r="N20" s="43"/>
      <c r="O20" s="43"/>
      <c r="P20" s="43"/>
      <c r="Q20" s="43"/>
      <c r="R20" s="44"/>
      <c r="S20" s="44"/>
      <c r="T20" s="44"/>
      <c r="U20" s="44"/>
      <c r="V20" s="44"/>
      <c r="W20" s="44"/>
      <c r="X20" s="44"/>
      <c r="Y20" s="44"/>
    </row>
    <row r="21" spans="1:25" ht="19.5" customHeight="1" x14ac:dyDescent="0.45">
      <c r="A21" s="31"/>
      <c r="B21" s="119" t="s">
        <v>23</v>
      </c>
      <c r="C21" s="120"/>
      <c r="D21" s="120"/>
      <c r="E21" s="123" t="s">
        <v>29</v>
      </c>
      <c r="F21" s="34" t="s">
        <v>21</v>
      </c>
      <c r="G21" s="35" t="str">
        <f>G3</f>
        <v>REC228</v>
      </c>
      <c r="H21" s="31"/>
      <c r="I21" s="43"/>
      <c r="J21" s="43"/>
      <c r="K21" s="43"/>
      <c r="L21" s="43"/>
      <c r="M21" s="43"/>
      <c r="N21" s="43"/>
      <c r="O21" s="43"/>
      <c r="P21" s="43"/>
      <c r="Q21" s="43"/>
      <c r="R21" s="44"/>
      <c r="S21" s="44"/>
      <c r="T21" s="44"/>
      <c r="U21" s="44"/>
      <c r="V21" s="44"/>
      <c r="W21" s="44"/>
      <c r="X21" s="44"/>
      <c r="Y21" s="44"/>
    </row>
    <row r="22" spans="1:25" ht="19.5" customHeight="1" x14ac:dyDescent="0.45">
      <c r="A22" s="31"/>
      <c r="B22" s="121"/>
      <c r="C22" s="122"/>
      <c r="D22" s="122"/>
      <c r="E22" s="124"/>
      <c r="F22" s="45" t="s">
        <v>22</v>
      </c>
      <c r="G22" s="46">
        <f ca="1">NOW()</f>
        <v>43028.401678125003</v>
      </c>
      <c r="H22" s="31"/>
      <c r="I22" s="43"/>
      <c r="J22" s="43"/>
      <c r="K22" s="43"/>
      <c r="L22" s="43"/>
      <c r="M22" s="43"/>
      <c r="N22" s="43"/>
      <c r="O22" s="43"/>
      <c r="P22" s="43"/>
      <c r="Q22" s="43"/>
      <c r="R22" s="44"/>
      <c r="S22" s="44"/>
      <c r="T22" s="44"/>
      <c r="U22" s="44"/>
      <c r="V22" s="44"/>
      <c r="W22" s="44"/>
      <c r="X22" s="44"/>
      <c r="Y22" s="44"/>
    </row>
    <row r="23" spans="1:25" ht="19.5" customHeight="1" x14ac:dyDescent="0.45">
      <c r="A23" s="31"/>
      <c r="B23" s="129" t="s">
        <v>9</v>
      </c>
      <c r="C23" s="130"/>
      <c r="D23" s="49">
        <f>D5</f>
        <v>0</v>
      </c>
      <c r="E23" s="50" t="s">
        <v>17</v>
      </c>
      <c r="F23" s="130" t="str">
        <f>F5</f>
        <v/>
      </c>
      <c r="G23" s="131"/>
      <c r="H23" s="31"/>
      <c r="I23" s="43"/>
      <c r="J23" s="43"/>
      <c r="K23" s="43"/>
      <c r="L23" s="43"/>
      <c r="M23" s="43"/>
      <c r="N23" s="43"/>
      <c r="O23" s="43"/>
      <c r="P23" s="43"/>
      <c r="Q23" s="43"/>
      <c r="R23" s="44"/>
      <c r="S23" s="44"/>
      <c r="T23" s="44"/>
      <c r="U23" s="44"/>
      <c r="V23" s="44"/>
      <c r="W23" s="44"/>
      <c r="X23" s="44"/>
      <c r="Y23" s="44"/>
    </row>
    <row r="24" spans="1:25" ht="19.5" customHeight="1" x14ac:dyDescent="0.45">
      <c r="A24" s="31"/>
      <c r="B24" s="132" t="s">
        <v>10</v>
      </c>
      <c r="C24" s="104"/>
      <c r="D24" s="54">
        <f>D6</f>
        <v>0</v>
      </c>
      <c r="E24" s="55" t="s">
        <v>18</v>
      </c>
      <c r="F24" s="104">
        <f>F6</f>
        <v>0</v>
      </c>
      <c r="G24" s="133"/>
      <c r="H24" s="31"/>
      <c r="I24" s="43"/>
      <c r="J24" s="110"/>
      <c r="K24" s="43"/>
      <c r="L24" s="43"/>
      <c r="M24" s="43"/>
      <c r="N24" s="43"/>
      <c r="O24" s="43"/>
      <c r="P24" s="43"/>
      <c r="Q24" s="43"/>
      <c r="R24" s="44"/>
      <c r="S24" s="44"/>
      <c r="T24" s="44"/>
      <c r="U24" s="44"/>
      <c r="V24" s="44"/>
      <c r="W24" s="44"/>
      <c r="X24" s="44"/>
      <c r="Y24" s="44"/>
    </row>
    <row r="25" spans="1:25" ht="19.5" customHeight="1" x14ac:dyDescent="0.45">
      <c r="A25" s="31"/>
      <c r="B25" s="125" t="s">
        <v>11</v>
      </c>
      <c r="C25" s="105"/>
      <c r="D25" s="93">
        <f>D7</f>
        <v>0</v>
      </c>
      <c r="E25" s="94" t="s">
        <v>19</v>
      </c>
      <c r="F25" s="105">
        <f>F7</f>
        <v>0</v>
      </c>
      <c r="G25" s="108"/>
      <c r="H25" s="31"/>
      <c r="I25" s="43"/>
      <c r="J25" s="110"/>
      <c r="K25" s="43"/>
      <c r="L25" s="43"/>
      <c r="M25" s="43"/>
      <c r="N25" s="43"/>
      <c r="O25" s="43"/>
      <c r="P25" s="43"/>
      <c r="Q25" s="43"/>
      <c r="R25" s="44"/>
      <c r="S25" s="44"/>
      <c r="T25" s="44"/>
      <c r="U25" s="44"/>
      <c r="V25" s="44"/>
      <c r="W25" s="44"/>
      <c r="X25" s="44"/>
      <c r="Y25" s="44"/>
    </row>
    <row r="26" spans="1:25" ht="19.5" customHeight="1" x14ac:dyDescent="0.45">
      <c r="A26" s="31"/>
      <c r="B26" s="58" t="s">
        <v>0</v>
      </c>
      <c r="C26" s="126" t="s">
        <v>1</v>
      </c>
      <c r="D26" s="126"/>
      <c r="E26" s="59" t="s">
        <v>3</v>
      </c>
      <c r="F26" s="59" t="s">
        <v>4</v>
      </c>
      <c r="G26" s="60" t="s">
        <v>5</v>
      </c>
      <c r="H26" s="31"/>
      <c r="I26" s="43"/>
      <c r="J26" s="43"/>
      <c r="K26" s="43"/>
      <c r="L26" s="43"/>
      <c r="M26" s="43"/>
      <c r="N26" s="43"/>
      <c r="O26" s="43"/>
      <c r="P26" s="43"/>
      <c r="Q26" s="43"/>
      <c r="R26" s="44"/>
      <c r="S26" s="44"/>
      <c r="T26" s="44"/>
      <c r="U26" s="44"/>
      <c r="V26" s="44"/>
      <c r="W26" s="44"/>
      <c r="X26" s="44"/>
      <c r="Y26" s="44"/>
    </row>
    <row r="27" spans="1:25" ht="19.5" customHeight="1" x14ac:dyDescent="0.45">
      <c r="A27" s="31"/>
      <c r="B27" s="65" t="str">
        <f>B9</f>
        <v/>
      </c>
      <c r="C27" s="104" t="str">
        <f>C9</f>
        <v/>
      </c>
      <c r="D27" s="104"/>
      <c r="E27" s="66">
        <f>E9</f>
        <v>0</v>
      </c>
      <c r="F27" s="66">
        <f>F9</f>
        <v>0</v>
      </c>
      <c r="G27" s="67">
        <f>E27*F27</f>
        <v>0</v>
      </c>
      <c r="H27" s="31"/>
      <c r="I27" s="43"/>
      <c r="J27" s="43"/>
      <c r="K27" s="43"/>
      <c r="L27" s="43"/>
      <c r="M27" s="43"/>
      <c r="N27" s="43"/>
      <c r="O27" s="43"/>
      <c r="P27" s="43"/>
      <c r="Q27" s="43"/>
      <c r="R27" s="44"/>
      <c r="S27" s="44"/>
      <c r="T27" s="44"/>
      <c r="U27" s="44"/>
      <c r="V27" s="44"/>
      <c r="W27" s="44"/>
      <c r="X27" s="44"/>
      <c r="Y27" s="44"/>
    </row>
    <row r="28" spans="1:25" ht="19.5" customHeight="1" x14ac:dyDescent="0.45">
      <c r="A28" s="31"/>
      <c r="B28" s="65" t="str">
        <f t="shared" ref="B28:C30" si="7">B10</f>
        <v/>
      </c>
      <c r="C28" s="104" t="str">
        <f t="shared" si="7"/>
        <v/>
      </c>
      <c r="D28" s="104"/>
      <c r="E28" s="66">
        <f t="shared" ref="E28:F30" si="8">E10</f>
        <v>0</v>
      </c>
      <c r="F28" s="66">
        <f t="shared" si="8"/>
        <v>0</v>
      </c>
      <c r="G28" s="67">
        <f t="shared" ref="G28:G30" si="9">E28*F28</f>
        <v>0</v>
      </c>
      <c r="H28" s="31"/>
      <c r="I28" s="43"/>
      <c r="J28" s="43"/>
      <c r="K28" s="43"/>
      <c r="L28" s="43"/>
      <c r="M28" s="43"/>
      <c r="N28" s="43"/>
      <c r="O28" s="43"/>
      <c r="P28" s="43"/>
      <c r="Q28" s="43"/>
      <c r="R28" s="44"/>
      <c r="S28" s="44"/>
      <c r="T28" s="44"/>
      <c r="U28" s="44"/>
      <c r="V28" s="44"/>
      <c r="W28" s="44"/>
      <c r="X28" s="44"/>
      <c r="Y28" s="44"/>
    </row>
    <row r="29" spans="1:25" ht="19.5" customHeight="1" x14ac:dyDescent="0.45">
      <c r="A29" s="31"/>
      <c r="B29" s="65" t="str">
        <f t="shared" si="7"/>
        <v/>
      </c>
      <c r="C29" s="104" t="str">
        <f t="shared" si="7"/>
        <v/>
      </c>
      <c r="D29" s="104"/>
      <c r="E29" s="66">
        <f t="shared" si="8"/>
        <v>0</v>
      </c>
      <c r="F29" s="66">
        <f t="shared" si="8"/>
        <v>0</v>
      </c>
      <c r="G29" s="67">
        <f t="shared" si="9"/>
        <v>0</v>
      </c>
      <c r="H29" s="31"/>
      <c r="I29" s="43"/>
      <c r="J29" s="43"/>
      <c r="K29" s="43"/>
      <c r="L29" s="43"/>
      <c r="M29" s="43"/>
      <c r="N29" s="43"/>
      <c r="O29" s="43"/>
      <c r="P29" s="43"/>
      <c r="Q29" s="43"/>
      <c r="R29" s="44"/>
      <c r="S29" s="44"/>
      <c r="T29" s="44"/>
      <c r="U29" s="44"/>
      <c r="V29" s="44"/>
      <c r="W29" s="44"/>
      <c r="X29" s="44"/>
      <c r="Y29" s="44"/>
    </row>
    <row r="30" spans="1:25" ht="19.5" customHeight="1" x14ac:dyDescent="0.45">
      <c r="A30" s="31"/>
      <c r="B30" s="65" t="str">
        <f t="shared" si="7"/>
        <v/>
      </c>
      <c r="C30" s="104" t="str">
        <f t="shared" si="7"/>
        <v/>
      </c>
      <c r="D30" s="104"/>
      <c r="E30" s="66">
        <f t="shared" si="8"/>
        <v>0</v>
      </c>
      <c r="F30" s="66">
        <f t="shared" si="8"/>
        <v>0</v>
      </c>
      <c r="G30" s="67">
        <f t="shared" si="9"/>
        <v>0</v>
      </c>
      <c r="H30" s="31"/>
      <c r="I30" s="43"/>
      <c r="J30" s="43"/>
      <c r="K30" s="43"/>
      <c r="L30" s="43"/>
      <c r="M30" s="43"/>
      <c r="N30" s="43"/>
      <c r="O30" s="43"/>
      <c r="P30" s="43"/>
      <c r="Q30" s="43"/>
      <c r="R30" s="44"/>
      <c r="S30" s="44"/>
      <c r="T30" s="44"/>
      <c r="U30" s="44"/>
      <c r="V30" s="44"/>
      <c r="W30" s="44"/>
      <c r="X30" s="44"/>
      <c r="Y30" s="44"/>
    </row>
    <row r="31" spans="1:25" ht="19.5" customHeight="1" x14ac:dyDescent="0.45">
      <c r="A31" s="31"/>
      <c r="B31" s="74" t="str">
        <f t="shared" ref="B31" si="10">B13</f>
        <v/>
      </c>
      <c r="C31" s="105" t="str">
        <f t="shared" ref="C31" si="11">C13</f>
        <v/>
      </c>
      <c r="D31" s="105"/>
      <c r="E31" s="75">
        <f t="shared" ref="E31:F31" si="12">E13</f>
        <v>0</v>
      </c>
      <c r="F31" s="75">
        <f t="shared" si="12"/>
        <v>0</v>
      </c>
      <c r="G31" s="95">
        <f t="shared" ref="G31" si="13">E31*F31</f>
        <v>0</v>
      </c>
      <c r="H31" s="31"/>
      <c r="I31" s="43"/>
      <c r="J31" s="43"/>
      <c r="K31" s="43"/>
      <c r="L31" s="43"/>
      <c r="M31" s="43"/>
      <c r="N31" s="43"/>
      <c r="O31" s="43"/>
      <c r="P31" s="43"/>
      <c r="Q31" s="43"/>
      <c r="R31" s="44"/>
      <c r="S31" s="44"/>
      <c r="T31" s="44"/>
      <c r="U31" s="44"/>
      <c r="V31" s="44"/>
      <c r="W31" s="44"/>
      <c r="X31" s="44"/>
      <c r="Y31" s="44"/>
    </row>
    <row r="32" spans="1:25" ht="28.5" customHeight="1" x14ac:dyDescent="0.45">
      <c r="A32" s="31"/>
      <c r="B32" s="106" t="str">
        <f>B14</f>
        <v>(ศูนย์บาทถ้วน)</v>
      </c>
      <c r="C32" s="106"/>
      <c r="D32" s="106"/>
      <c r="E32" s="107"/>
      <c r="F32" s="76" t="s">
        <v>24</v>
      </c>
      <c r="G32" s="96">
        <f>G14</f>
        <v>0</v>
      </c>
      <c r="H32" s="31"/>
      <c r="I32" s="43"/>
      <c r="J32" s="43"/>
      <c r="K32" s="43"/>
      <c r="L32" s="43"/>
      <c r="M32" s="43"/>
      <c r="N32" s="43"/>
      <c r="O32" s="43"/>
      <c r="P32" s="43"/>
      <c r="Q32" s="43"/>
      <c r="R32" s="44"/>
      <c r="S32" s="44"/>
      <c r="T32" s="44"/>
      <c r="U32" s="44"/>
      <c r="V32" s="44"/>
      <c r="W32" s="44"/>
      <c r="X32" s="44"/>
      <c r="Y32" s="44"/>
    </row>
    <row r="33" spans="1:25" ht="28.5" customHeight="1" x14ac:dyDescent="0.45">
      <c r="A33" s="31"/>
      <c r="B33" s="118" t="s">
        <v>27</v>
      </c>
      <c r="C33" s="118"/>
      <c r="D33" s="118"/>
      <c r="E33" s="118"/>
      <c r="F33" s="76" t="s">
        <v>25</v>
      </c>
      <c r="G33" s="77">
        <f>G15</f>
        <v>0</v>
      </c>
      <c r="H33" s="31"/>
      <c r="I33" s="43"/>
      <c r="J33" s="43"/>
      <c r="K33" s="43"/>
      <c r="L33" s="43"/>
      <c r="M33" s="43"/>
      <c r="N33" s="43"/>
      <c r="O33" s="43"/>
      <c r="P33" s="43"/>
      <c r="Q33" s="43"/>
      <c r="R33" s="44"/>
      <c r="S33" s="44"/>
      <c r="T33" s="44"/>
      <c r="U33" s="44"/>
      <c r="V33" s="44"/>
      <c r="W33" s="44"/>
      <c r="X33" s="44"/>
      <c r="Y33" s="44"/>
    </row>
    <row r="34" spans="1:25" ht="28.5" customHeight="1" thickBot="1" x14ac:dyDescent="0.5">
      <c r="A34" s="31"/>
      <c r="B34" s="82"/>
      <c r="C34" s="82"/>
      <c r="D34" s="82"/>
      <c r="E34" s="82"/>
      <c r="F34" s="83" t="s">
        <v>26</v>
      </c>
      <c r="G34" s="84">
        <f>G16</f>
        <v>0</v>
      </c>
      <c r="H34" s="31"/>
      <c r="I34" s="43"/>
      <c r="J34" s="43"/>
      <c r="K34" s="43"/>
      <c r="L34" s="43"/>
      <c r="M34" s="43"/>
      <c r="N34" s="43"/>
      <c r="O34" s="43"/>
      <c r="P34" s="43"/>
      <c r="Q34" s="43"/>
      <c r="R34" s="44"/>
      <c r="S34" s="44"/>
      <c r="T34" s="44"/>
      <c r="U34" s="44"/>
      <c r="V34" s="44"/>
      <c r="W34" s="44"/>
      <c r="X34" s="44"/>
      <c r="Y34" s="44"/>
    </row>
    <row r="35" spans="1:25" ht="21" thickTop="1" x14ac:dyDescent="0.4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</row>
    <row r="36" spans="1:25" x14ac:dyDescent="0.4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</row>
    <row r="37" spans="1:25" x14ac:dyDescent="0.4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</row>
    <row r="38" spans="1:25" x14ac:dyDescent="0.4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</row>
    <row r="39" spans="1:25" x14ac:dyDescent="0.4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</row>
    <row r="40" spans="1:25" x14ac:dyDescent="0.4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</row>
    <row r="41" spans="1:25" x14ac:dyDescent="0.4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</row>
    <row r="42" spans="1:25" x14ac:dyDescent="0.4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</row>
    <row r="43" spans="1:25" x14ac:dyDescent="0.4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</row>
    <row r="44" spans="1:25" x14ac:dyDescent="0.4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</row>
    <row r="45" spans="1:25" x14ac:dyDescent="0.4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</row>
    <row r="46" spans="1:25" x14ac:dyDescent="0.4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1:25" x14ac:dyDescent="0.4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</row>
    <row r="48" spans="1:25" x14ac:dyDescent="0.4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 x14ac:dyDescent="0.4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</row>
    <row r="50" spans="1:17" x14ac:dyDescent="0.4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</row>
    <row r="51" spans="1:17" x14ac:dyDescent="0.4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</row>
    <row r="52" spans="1:17" x14ac:dyDescent="0.4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</row>
    <row r="53" spans="1:17" x14ac:dyDescent="0.4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</row>
    <row r="54" spans="1:17" x14ac:dyDescent="0.4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</row>
    <row r="55" spans="1:17" x14ac:dyDescent="0.4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</row>
    <row r="56" spans="1:17" x14ac:dyDescent="0.4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</row>
    <row r="57" spans="1:17" x14ac:dyDescent="0.4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</row>
    <row r="58" spans="1:17" x14ac:dyDescent="0.4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</row>
    <row r="59" spans="1:17" x14ac:dyDescent="0.4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</row>
    <row r="60" spans="1:17" x14ac:dyDescent="0.4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</row>
    <row r="61" spans="1:17" x14ac:dyDescent="0.4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</row>
    <row r="62" spans="1:17" x14ac:dyDescent="0.4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</row>
    <row r="63" spans="1:17" x14ac:dyDescent="0.4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</row>
    <row r="64" spans="1:17" x14ac:dyDescent="0.4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</row>
    <row r="65" spans="1:17" x14ac:dyDescent="0.4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</row>
    <row r="66" spans="1:17" x14ac:dyDescent="0.4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</row>
    <row r="67" spans="1:17" x14ac:dyDescent="0.4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</row>
    <row r="68" spans="1:17" x14ac:dyDescent="0.4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</row>
    <row r="69" spans="1:17" x14ac:dyDescent="0.4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</row>
    <row r="70" spans="1:17" x14ac:dyDescent="0.4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</row>
    <row r="71" spans="1:17" x14ac:dyDescent="0.4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</row>
    <row r="72" spans="1:17" x14ac:dyDescent="0.4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</row>
    <row r="73" spans="1:17" x14ac:dyDescent="0.4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</row>
    <row r="74" spans="1:17" x14ac:dyDescent="0.4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</row>
    <row r="75" spans="1:17" x14ac:dyDescent="0.4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</row>
    <row r="76" spans="1:17" x14ac:dyDescent="0.4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</row>
    <row r="77" spans="1:17" x14ac:dyDescent="0.4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</row>
    <row r="78" spans="1:17" x14ac:dyDescent="0.4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</row>
    <row r="79" spans="1:17" x14ac:dyDescent="0.4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</row>
    <row r="80" spans="1:17" x14ac:dyDescent="0.4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</row>
    <row r="81" spans="1:17" x14ac:dyDescent="0.4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</row>
    <row r="82" spans="1:17" x14ac:dyDescent="0.4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</row>
    <row r="83" spans="1:17" x14ac:dyDescent="0.4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</row>
    <row r="84" spans="1:17" x14ac:dyDescent="0.4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</row>
    <row r="85" spans="1:17" x14ac:dyDescent="0.4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</row>
    <row r="86" spans="1:17" x14ac:dyDescent="0.4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</row>
    <row r="87" spans="1:17" x14ac:dyDescent="0.4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</row>
    <row r="88" spans="1:17" x14ac:dyDescent="0.4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</row>
    <row r="89" spans="1:17" x14ac:dyDescent="0.4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</row>
    <row r="90" spans="1:17" x14ac:dyDescent="0.4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</row>
    <row r="91" spans="1:17" x14ac:dyDescent="0.4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</row>
    <row r="92" spans="1:17" x14ac:dyDescent="0.4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</row>
    <row r="93" spans="1:17" x14ac:dyDescent="0.4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</row>
    <row r="94" spans="1:17" x14ac:dyDescent="0.4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</row>
    <row r="95" spans="1:17" x14ac:dyDescent="0.4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</row>
    <row r="96" spans="1:17" x14ac:dyDescent="0.4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</row>
    <row r="97" spans="1:17" x14ac:dyDescent="0.4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</row>
    <row r="98" spans="1:17" x14ac:dyDescent="0.4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</row>
    <row r="99" spans="1:17" x14ac:dyDescent="0.4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</row>
    <row r="100" spans="1:17" x14ac:dyDescent="0.4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</row>
  </sheetData>
  <sheetProtection selectLockedCells="1"/>
  <mergeCells count="52">
    <mergeCell ref="F7:G7"/>
    <mergeCell ref="B5:C5"/>
    <mergeCell ref="B6:C6"/>
    <mergeCell ref="B7:C7"/>
    <mergeCell ref="C8:D8"/>
    <mergeCell ref="B1:D1"/>
    <mergeCell ref="B20:E20"/>
    <mergeCell ref="B23:C23"/>
    <mergeCell ref="F23:G23"/>
    <mergeCell ref="B24:C24"/>
    <mergeCell ref="F24:G24"/>
    <mergeCell ref="F2:G2"/>
    <mergeCell ref="F20:G20"/>
    <mergeCell ref="B2:E2"/>
    <mergeCell ref="B14:E14"/>
    <mergeCell ref="B15:E15"/>
    <mergeCell ref="C11:D11"/>
    <mergeCell ref="C12:D12"/>
    <mergeCell ref="C13:D13"/>
    <mergeCell ref="F5:G5"/>
    <mergeCell ref="F6:G6"/>
    <mergeCell ref="B33:E33"/>
    <mergeCell ref="B3:D4"/>
    <mergeCell ref="E3:E4"/>
    <mergeCell ref="B21:D22"/>
    <mergeCell ref="E21:E22"/>
    <mergeCell ref="B25:C25"/>
    <mergeCell ref="C26:D26"/>
    <mergeCell ref="C27:D27"/>
    <mergeCell ref="C28:D28"/>
    <mergeCell ref="C29:D29"/>
    <mergeCell ref="C9:D9"/>
    <mergeCell ref="C10:D10"/>
    <mergeCell ref="J10:K10"/>
    <mergeCell ref="J11:K11"/>
    <mergeCell ref="C30:D30"/>
    <mergeCell ref="C31:D31"/>
    <mergeCell ref="B32:E32"/>
    <mergeCell ref="F25:G25"/>
    <mergeCell ref="J19:J20"/>
    <mergeCell ref="J24:J25"/>
    <mergeCell ref="I16:K17"/>
    <mergeCell ref="K19:K20"/>
    <mergeCell ref="J12:K12"/>
    <mergeCell ref="J13:K13"/>
    <mergeCell ref="J14:K14"/>
    <mergeCell ref="J15:K15"/>
    <mergeCell ref="L5:M5"/>
    <mergeCell ref="L6:M6"/>
    <mergeCell ref="L7:M7"/>
    <mergeCell ref="N1:O2"/>
    <mergeCell ref="I8:L8"/>
  </mergeCells>
  <pageMargins left="0.59055118110236227" right="0.31496062992125984" top="0.35433070866141736" bottom="0.19685039370078741" header="0.31496062992125984" footer="0.31496062992125984"/>
  <pageSetup paperSize="9" scale="115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13</xdr:col>
                    <xdr:colOff>133350</xdr:colOff>
                    <xdr:row>10</xdr:row>
                    <xdr:rowOff>66675</xdr:rowOff>
                  </from>
                  <to>
                    <xdr:col>14</xdr:col>
                    <xdr:colOff>533400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">
                <anchor moveWithCells="1" sizeWithCells="1">
                  <from>
                    <xdr:col>13</xdr:col>
                    <xdr:colOff>133350</xdr:colOff>
                    <xdr:row>12</xdr:row>
                    <xdr:rowOff>219075</xdr:rowOff>
                  </from>
                  <to>
                    <xdr:col>14</xdr:col>
                    <xdr:colOff>1743075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intrec">
                <anchor moveWithCells="1" sizeWithCells="1">
                  <from>
                    <xdr:col>14</xdr:col>
                    <xdr:colOff>619125</xdr:colOff>
                    <xdr:row>10</xdr:row>
                    <xdr:rowOff>66675</xdr:rowOff>
                  </from>
                  <to>
                    <xdr:col>14</xdr:col>
                    <xdr:colOff>1733550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206"/>
  <sheetViews>
    <sheetView topLeftCell="B446" workbookViewId="0">
      <selection activeCell="H461" sqref="H461:Q2455"/>
    </sheetView>
  </sheetViews>
  <sheetFormatPr defaultRowHeight="14.25" x14ac:dyDescent="0.2"/>
  <cols>
    <col min="1" max="1" width="9" hidden="1" customWidth="1"/>
    <col min="3" max="4" width="10.625" style="2" customWidth="1"/>
    <col min="8" max="11" width="14" customWidth="1"/>
    <col min="12" max="17" width="12" customWidth="1"/>
  </cols>
  <sheetData>
    <row r="1" spans="1:17" ht="34.5" x14ac:dyDescent="0.45">
      <c r="B1" s="1" t="s">
        <v>1260</v>
      </c>
    </row>
    <row r="2" spans="1:17" ht="21.75" customHeight="1" x14ac:dyDescent="0.2">
      <c r="B2" s="138" t="s">
        <v>20</v>
      </c>
      <c r="C2" s="139" t="s">
        <v>1261</v>
      </c>
      <c r="D2" s="139" t="s">
        <v>1262</v>
      </c>
      <c r="E2" s="140" t="s">
        <v>1263</v>
      </c>
      <c r="F2" s="137" t="s">
        <v>1264</v>
      </c>
      <c r="G2" s="137" t="s">
        <v>16</v>
      </c>
      <c r="H2" s="137" t="s">
        <v>1265</v>
      </c>
      <c r="I2" s="137"/>
      <c r="J2" s="137"/>
      <c r="K2" s="137"/>
      <c r="L2" s="137" t="s">
        <v>1266</v>
      </c>
      <c r="M2" s="137"/>
      <c r="N2" s="137"/>
      <c r="O2" s="137"/>
      <c r="P2" s="137"/>
      <c r="Q2" s="137"/>
    </row>
    <row r="3" spans="1:17" ht="21.75" customHeight="1" x14ac:dyDescent="0.2">
      <c r="B3" s="138"/>
      <c r="C3" s="139"/>
      <c r="D3" s="139"/>
      <c r="E3" s="140"/>
      <c r="F3" s="137"/>
      <c r="G3" s="137"/>
      <c r="H3" s="3" t="s">
        <v>35</v>
      </c>
      <c r="I3" s="3" t="s">
        <v>7</v>
      </c>
      <c r="J3" s="4" t="s">
        <v>8</v>
      </c>
      <c r="K3" s="4" t="s">
        <v>8</v>
      </c>
      <c r="L3" s="3" t="s">
        <v>15</v>
      </c>
      <c r="M3" s="3" t="s">
        <v>12</v>
      </c>
      <c r="N3" s="3" t="s">
        <v>13</v>
      </c>
      <c r="O3" s="3" t="s">
        <v>1267</v>
      </c>
      <c r="P3" s="5" t="s">
        <v>1268</v>
      </c>
      <c r="Q3" s="6" t="s">
        <v>1269</v>
      </c>
    </row>
    <row r="4" spans="1:17" x14ac:dyDescent="0.2">
      <c r="A4">
        <f t="shared" ref="A4:A67" si="0">VALUE(B4)</f>
        <v>1606001</v>
      </c>
      <c r="B4" s="7" t="s">
        <v>36</v>
      </c>
      <c r="C4" s="8">
        <v>42535.560979398149</v>
      </c>
      <c r="D4" s="8"/>
      <c r="E4" s="9" t="s">
        <v>37</v>
      </c>
      <c r="F4" s="10"/>
      <c r="G4" s="10"/>
      <c r="H4" s="10"/>
      <c r="I4" s="10"/>
      <c r="J4" s="11"/>
      <c r="K4" s="11"/>
      <c r="L4" s="10"/>
      <c r="M4" s="10"/>
      <c r="N4" s="10"/>
      <c r="O4" s="10"/>
      <c r="P4" s="8"/>
      <c r="Q4" s="12"/>
    </row>
    <row r="5" spans="1:17" x14ac:dyDescent="0.2">
      <c r="A5">
        <f t="shared" si="0"/>
        <v>1606002</v>
      </c>
      <c r="B5" s="7" t="s">
        <v>38</v>
      </c>
      <c r="C5" s="8">
        <v>42535.561057175924</v>
      </c>
      <c r="D5" s="8">
        <v>42560</v>
      </c>
      <c r="E5" s="9" t="s">
        <v>39</v>
      </c>
      <c r="F5" s="10" t="s">
        <v>16</v>
      </c>
      <c r="G5" s="10" t="s">
        <v>40</v>
      </c>
      <c r="H5" s="10"/>
      <c r="I5" s="10"/>
      <c r="J5" s="11"/>
      <c r="K5" s="11"/>
      <c r="L5" s="10" t="s">
        <v>41</v>
      </c>
      <c r="M5" s="10" t="s">
        <v>42</v>
      </c>
      <c r="N5" s="10" t="s">
        <v>43</v>
      </c>
      <c r="O5" s="10"/>
      <c r="P5" s="8"/>
      <c r="Q5" s="12"/>
    </row>
    <row r="6" spans="1:17" x14ac:dyDescent="0.2">
      <c r="A6">
        <f t="shared" si="0"/>
        <v>1606003</v>
      </c>
      <c r="B6" s="7" t="s">
        <v>45</v>
      </c>
      <c r="C6" s="8">
        <v>42535.562150231483</v>
      </c>
      <c r="D6" s="8">
        <v>42560</v>
      </c>
      <c r="E6" s="9" t="s">
        <v>39</v>
      </c>
      <c r="F6" s="10" t="s">
        <v>16</v>
      </c>
      <c r="G6" s="10" t="s">
        <v>40</v>
      </c>
      <c r="H6" s="10"/>
      <c r="I6" s="10"/>
      <c r="J6" s="11"/>
      <c r="K6" s="11"/>
      <c r="L6" s="10" t="s">
        <v>46</v>
      </c>
      <c r="M6" s="10" t="s">
        <v>47</v>
      </c>
      <c r="N6" s="10" t="s">
        <v>48</v>
      </c>
      <c r="O6" s="10"/>
      <c r="P6" s="8"/>
      <c r="Q6" s="12"/>
    </row>
    <row r="7" spans="1:17" x14ac:dyDescent="0.2">
      <c r="A7">
        <f t="shared" si="0"/>
        <v>1606004</v>
      </c>
      <c r="B7" s="7" t="s">
        <v>49</v>
      </c>
      <c r="C7" s="8">
        <v>42535.573994212966</v>
      </c>
      <c r="D7" s="8">
        <v>42560</v>
      </c>
      <c r="E7" s="9" t="s">
        <v>39</v>
      </c>
      <c r="F7" s="10" t="s">
        <v>16</v>
      </c>
      <c r="G7" s="10" t="s">
        <v>40</v>
      </c>
      <c r="H7" s="10"/>
      <c r="I7" s="10"/>
      <c r="J7" s="11"/>
      <c r="K7" s="11"/>
      <c r="L7" s="10" t="s">
        <v>50</v>
      </c>
      <c r="M7" s="10" t="s">
        <v>47</v>
      </c>
      <c r="N7" s="10" t="s">
        <v>51</v>
      </c>
      <c r="O7" s="10"/>
      <c r="P7" s="8"/>
      <c r="Q7" s="12"/>
    </row>
    <row r="8" spans="1:17" x14ac:dyDescent="0.2">
      <c r="A8">
        <f t="shared" si="0"/>
        <v>1606005</v>
      </c>
      <c r="B8" s="7" t="s">
        <v>52</v>
      </c>
      <c r="C8" s="8">
        <v>42535.574660532409</v>
      </c>
      <c r="D8" s="8">
        <v>42560</v>
      </c>
      <c r="E8" s="9" t="s">
        <v>39</v>
      </c>
      <c r="F8" s="10" t="s">
        <v>16</v>
      </c>
      <c r="G8" s="10" t="s">
        <v>40</v>
      </c>
      <c r="H8" s="10"/>
      <c r="I8" s="10"/>
      <c r="J8" s="11"/>
      <c r="K8" s="11"/>
      <c r="L8" s="10" t="s">
        <v>53</v>
      </c>
      <c r="M8" s="10" t="s">
        <v>54</v>
      </c>
      <c r="N8" s="10" t="s">
        <v>55</v>
      </c>
      <c r="O8" s="10"/>
      <c r="P8" s="8"/>
      <c r="Q8" s="12"/>
    </row>
    <row r="9" spans="1:17" x14ac:dyDescent="0.2">
      <c r="A9">
        <f t="shared" si="0"/>
        <v>1606006</v>
      </c>
      <c r="B9" s="7" t="s">
        <v>56</v>
      </c>
      <c r="C9" s="8">
        <v>42535.575230902781</v>
      </c>
      <c r="D9" s="8">
        <v>42560</v>
      </c>
      <c r="E9" s="9" t="s">
        <v>39</v>
      </c>
      <c r="F9" s="10" t="s">
        <v>16</v>
      </c>
      <c r="G9" s="10" t="s">
        <v>40</v>
      </c>
      <c r="H9" s="10"/>
      <c r="I9" s="10"/>
      <c r="J9" s="11"/>
      <c r="K9" s="11"/>
      <c r="L9" s="10" t="s">
        <v>57</v>
      </c>
      <c r="M9" s="10" t="s">
        <v>58</v>
      </c>
      <c r="N9" s="10" t="s">
        <v>59</v>
      </c>
      <c r="O9" s="10"/>
      <c r="P9" s="8"/>
      <c r="Q9" s="12"/>
    </row>
    <row r="10" spans="1:17" x14ac:dyDescent="0.2">
      <c r="A10">
        <f t="shared" si="0"/>
        <v>1606007</v>
      </c>
      <c r="B10" s="7" t="s">
        <v>60</v>
      </c>
      <c r="C10" s="8">
        <v>42535.575706018521</v>
      </c>
      <c r="D10" s="8">
        <v>42560</v>
      </c>
      <c r="E10" s="9" t="s">
        <v>39</v>
      </c>
      <c r="F10" s="10" t="s">
        <v>16</v>
      </c>
      <c r="G10" s="10" t="s">
        <v>40</v>
      </c>
      <c r="H10" s="10"/>
      <c r="I10" s="10"/>
      <c r="J10" s="11"/>
      <c r="K10" s="11"/>
      <c r="L10" s="10" t="s">
        <v>61</v>
      </c>
      <c r="M10" s="10" t="s">
        <v>58</v>
      </c>
      <c r="N10" s="10" t="s">
        <v>59</v>
      </c>
      <c r="O10" s="10"/>
      <c r="P10" s="8"/>
      <c r="Q10" s="12"/>
    </row>
    <row r="11" spans="1:17" x14ac:dyDescent="0.2">
      <c r="A11">
        <f t="shared" si="0"/>
        <v>1606008</v>
      </c>
      <c r="B11" s="7" t="s">
        <v>62</v>
      </c>
      <c r="C11" s="8">
        <v>42535.605749768518</v>
      </c>
      <c r="D11" s="8">
        <v>42560</v>
      </c>
      <c r="E11" s="9" t="s">
        <v>39</v>
      </c>
      <c r="F11" s="10" t="s">
        <v>16</v>
      </c>
      <c r="G11" s="10" t="s">
        <v>40</v>
      </c>
      <c r="H11" s="10"/>
      <c r="I11" s="10"/>
      <c r="J11" s="11"/>
      <c r="K11" s="11"/>
      <c r="L11" s="10" t="s">
        <v>63</v>
      </c>
      <c r="M11" s="10" t="s">
        <v>47</v>
      </c>
      <c r="N11" s="10" t="s">
        <v>51</v>
      </c>
      <c r="O11" s="10"/>
      <c r="P11" s="8"/>
      <c r="Q11" s="12"/>
    </row>
    <row r="12" spans="1:17" x14ac:dyDescent="0.2">
      <c r="A12">
        <f t="shared" si="0"/>
        <v>1606009</v>
      </c>
      <c r="B12" s="7" t="s">
        <v>64</v>
      </c>
      <c r="C12" s="8">
        <v>42535.608181481482</v>
      </c>
      <c r="D12" s="8">
        <v>42560</v>
      </c>
      <c r="E12" s="9" t="s">
        <v>39</v>
      </c>
      <c r="F12" s="10" t="s">
        <v>16</v>
      </c>
      <c r="G12" s="10" t="s">
        <v>40</v>
      </c>
      <c r="H12" s="10"/>
      <c r="I12" s="10"/>
      <c r="J12" s="11"/>
      <c r="K12" s="11"/>
      <c r="L12" s="10" t="s">
        <v>65</v>
      </c>
      <c r="M12" s="10" t="s">
        <v>47</v>
      </c>
      <c r="N12" s="10" t="s">
        <v>51</v>
      </c>
      <c r="O12" s="10"/>
      <c r="P12" s="8"/>
      <c r="Q12" s="12"/>
    </row>
    <row r="13" spans="1:17" x14ac:dyDescent="0.2">
      <c r="A13">
        <f t="shared" si="0"/>
        <v>1606010</v>
      </c>
      <c r="B13" s="7" t="s">
        <v>66</v>
      </c>
      <c r="C13" s="8">
        <v>42535.608735416667</v>
      </c>
      <c r="D13" s="8">
        <v>42560</v>
      </c>
      <c r="E13" s="9" t="s">
        <v>39</v>
      </c>
      <c r="F13" s="10" t="s">
        <v>16</v>
      </c>
      <c r="G13" s="10" t="s">
        <v>40</v>
      </c>
      <c r="H13" s="10"/>
      <c r="I13" s="10"/>
      <c r="J13" s="11"/>
      <c r="K13" s="11"/>
      <c r="L13" s="10" t="s">
        <v>67</v>
      </c>
      <c r="M13" s="10" t="s">
        <v>58</v>
      </c>
      <c r="N13" s="10" t="s">
        <v>59</v>
      </c>
      <c r="O13" s="10"/>
      <c r="P13" s="8"/>
      <c r="Q13" s="12"/>
    </row>
    <row r="14" spans="1:17" x14ac:dyDescent="0.2">
      <c r="A14">
        <f t="shared" si="0"/>
        <v>1606011</v>
      </c>
      <c r="B14" s="7" t="s">
        <v>68</v>
      </c>
      <c r="C14" s="8">
        <v>42535.609198842591</v>
      </c>
      <c r="D14" s="8">
        <v>42560</v>
      </c>
      <c r="E14" s="9" t="s">
        <v>39</v>
      </c>
      <c r="F14" s="10" t="s">
        <v>16</v>
      </c>
      <c r="G14" s="10" t="s">
        <v>40</v>
      </c>
      <c r="H14" s="10"/>
      <c r="I14" s="10"/>
      <c r="J14" s="11"/>
      <c r="K14" s="11"/>
      <c r="L14" s="10" t="s">
        <v>69</v>
      </c>
      <c r="M14" s="10" t="s">
        <v>47</v>
      </c>
      <c r="N14" s="10" t="s">
        <v>51</v>
      </c>
      <c r="O14" s="10"/>
      <c r="P14" s="8"/>
      <c r="Q14" s="12"/>
    </row>
    <row r="15" spans="1:17" x14ac:dyDescent="0.2">
      <c r="A15">
        <f t="shared" si="0"/>
        <v>1606012</v>
      </c>
      <c r="B15" s="7" t="s">
        <v>70</v>
      </c>
      <c r="C15" s="8">
        <v>42535.609830208334</v>
      </c>
      <c r="D15" s="8">
        <v>42560</v>
      </c>
      <c r="E15" s="9" t="s">
        <v>39</v>
      </c>
      <c r="F15" s="10" t="s">
        <v>16</v>
      </c>
      <c r="G15" s="10" t="s">
        <v>40</v>
      </c>
      <c r="H15" s="10"/>
      <c r="I15" s="10"/>
      <c r="J15" s="11"/>
      <c r="K15" s="11"/>
      <c r="L15" s="10" t="s">
        <v>71</v>
      </c>
      <c r="M15" s="10" t="s">
        <v>54</v>
      </c>
      <c r="N15" s="10" t="s">
        <v>72</v>
      </c>
      <c r="O15" s="10"/>
      <c r="P15" s="8"/>
      <c r="Q15" s="12"/>
    </row>
    <row r="16" spans="1:17" x14ac:dyDescent="0.2">
      <c r="A16">
        <f t="shared" si="0"/>
        <v>1606013</v>
      </c>
      <c r="B16" s="7" t="s">
        <v>73</v>
      </c>
      <c r="C16" s="8">
        <v>42535.610523958334</v>
      </c>
      <c r="D16" s="8">
        <v>42560</v>
      </c>
      <c r="E16" s="9" t="s">
        <v>39</v>
      </c>
      <c r="F16" s="10" t="s">
        <v>16</v>
      </c>
      <c r="G16" s="10" t="s">
        <v>40</v>
      </c>
      <c r="H16" s="10"/>
      <c r="I16" s="10"/>
      <c r="J16" s="11"/>
      <c r="K16" s="11"/>
      <c r="L16" s="10" t="s">
        <v>74</v>
      </c>
      <c r="M16" s="10" t="s">
        <v>42</v>
      </c>
      <c r="N16" s="10" t="s">
        <v>75</v>
      </c>
      <c r="O16" s="10"/>
      <c r="P16" s="8"/>
      <c r="Q16" s="12"/>
    </row>
    <row r="17" spans="1:17" x14ac:dyDescent="0.2">
      <c r="A17">
        <f t="shared" si="0"/>
        <v>1606014</v>
      </c>
      <c r="B17" s="7" t="s">
        <v>76</v>
      </c>
      <c r="C17" s="8">
        <v>42535.611463425928</v>
      </c>
      <c r="D17" s="8">
        <v>42560</v>
      </c>
      <c r="E17" s="9" t="s">
        <v>39</v>
      </c>
      <c r="F17" s="10" t="s">
        <v>16</v>
      </c>
      <c r="G17" s="10" t="s">
        <v>40</v>
      </c>
      <c r="H17" s="10"/>
      <c r="I17" s="10"/>
      <c r="J17" s="11"/>
      <c r="K17" s="11"/>
      <c r="L17" s="10" t="s">
        <v>77</v>
      </c>
      <c r="M17" s="10" t="s">
        <v>47</v>
      </c>
      <c r="N17" s="10" t="s">
        <v>78</v>
      </c>
      <c r="O17" s="10"/>
      <c r="P17" s="8"/>
      <c r="Q17" s="12"/>
    </row>
    <row r="18" spans="1:17" x14ac:dyDescent="0.2">
      <c r="A18">
        <f t="shared" si="0"/>
        <v>1606015</v>
      </c>
      <c r="B18" s="7" t="s">
        <v>79</v>
      </c>
      <c r="C18" s="8">
        <v>42535.611999189816</v>
      </c>
      <c r="D18" s="8">
        <v>42560</v>
      </c>
      <c r="E18" s="9" t="s">
        <v>39</v>
      </c>
      <c r="F18" s="10" t="s">
        <v>16</v>
      </c>
      <c r="G18" s="10" t="s">
        <v>40</v>
      </c>
      <c r="H18" s="10"/>
      <c r="I18" s="10"/>
      <c r="J18" s="11"/>
      <c r="K18" s="11"/>
      <c r="L18" s="10" t="s">
        <v>80</v>
      </c>
      <c r="M18" s="10" t="s">
        <v>47</v>
      </c>
      <c r="N18" s="10" t="s">
        <v>81</v>
      </c>
      <c r="O18" s="10"/>
      <c r="P18" s="8"/>
      <c r="Q18" s="12"/>
    </row>
    <row r="19" spans="1:17" x14ac:dyDescent="0.2">
      <c r="A19">
        <f t="shared" si="0"/>
        <v>1606016</v>
      </c>
      <c r="B19" s="7" t="s">
        <v>82</v>
      </c>
      <c r="C19" s="8">
        <v>42535.612508680555</v>
      </c>
      <c r="D19" s="8">
        <v>42560</v>
      </c>
      <c r="E19" s="9" t="s">
        <v>39</v>
      </c>
      <c r="F19" s="10" t="s">
        <v>16</v>
      </c>
      <c r="G19" s="10" t="s">
        <v>40</v>
      </c>
      <c r="H19" s="10"/>
      <c r="I19" s="10"/>
      <c r="J19" s="11"/>
      <c r="K19" s="11"/>
      <c r="L19" s="10" t="s">
        <v>83</v>
      </c>
      <c r="M19" s="10" t="s">
        <v>42</v>
      </c>
      <c r="N19" s="10" t="s">
        <v>84</v>
      </c>
      <c r="O19" s="10"/>
      <c r="P19" s="8"/>
      <c r="Q19" s="12"/>
    </row>
    <row r="20" spans="1:17" x14ac:dyDescent="0.2">
      <c r="A20">
        <f t="shared" si="0"/>
        <v>1606017</v>
      </c>
      <c r="B20" s="7" t="s">
        <v>85</v>
      </c>
      <c r="C20" s="8">
        <v>42535.612861111113</v>
      </c>
      <c r="D20" s="8">
        <v>42560</v>
      </c>
      <c r="E20" s="9" t="s">
        <v>39</v>
      </c>
      <c r="F20" s="10" t="s">
        <v>16</v>
      </c>
      <c r="G20" s="10" t="s">
        <v>40</v>
      </c>
      <c r="H20" s="10"/>
      <c r="I20" s="10"/>
      <c r="J20" s="11"/>
      <c r="K20" s="11"/>
      <c r="L20" s="10" t="s">
        <v>86</v>
      </c>
      <c r="M20" s="10" t="s">
        <v>87</v>
      </c>
      <c r="N20" s="13">
        <v>2</v>
      </c>
      <c r="O20" s="10"/>
      <c r="P20" s="8"/>
      <c r="Q20" s="12"/>
    </row>
    <row r="21" spans="1:17" x14ac:dyDescent="0.2">
      <c r="A21">
        <f t="shared" si="0"/>
        <v>1606018</v>
      </c>
      <c r="B21" s="7" t="s">
        <v>88</v>
      </c>
      <c r="C21" s="8">
        <v>42535.61384421296</v>
      </c>
      <c r="D21" s="8">
        <v>42560</v>
      </c>
      <c r="E21" s="9" t="s">
        <v>39</v>
      </c>
      <c r="F21" s="10" t="s">
        <v>16</v>
      </c>
      <c r="G21" s="10" t="s">
        <v>40</v>
      </c>
      <c r="H21" s="10"/>
      <c r="I21" s="10"/>
      <c r="J21" s="11"/>
      <c r="K21" s="11"/>
      <c r="L21" s="10" t="s">
        <v>89</v>
      </c>
      <c r="M21" s="10" t="s">
        <v>58</v>
      </c>
      <c r="N21" s="10" t="s">
        <v>90</v>
      </c>
      <c r="O21" s="10"/>
      <c r="P21" s="8"/>
      <c r="Q21" s="12"/>
    </row>
    <row r="22" spans="1:17" x14ac:dyDescent="0.2">
      <c r="A22">
        <f t="shared" si="0"/>
        <v>1606019</v>
      </c>
      <c r="B22" s="7" t="s">
        <v>91</v>
      </c>
      <c r="C22" s="8">
        <v>42535.614898958331</v>
      </c>
      <c r="D22" s="8">
        <v>42560</v>
      </c>
      <c r="E22" s="9" t="s">
        <v>39</v>
      </c>
      <c r="F22" s="10" t="s">
        <v>16</v>
      </c>
      <c r="G22" s="10" t="s">
        <v>40</v>
      </c>
      <c r="H22" s="10"/>
      <c r="I22" s="10"/>
      <c r="J22" s="11"/>
      <c r="K22" s="11"/>
      <c r="L22" s="10" t="s">
        <v>92</v>
      </c>
      <c r="M22" s="10" t="s">
        <v>93</v>
      </c>
      <c r="N22" s="10" t="s">
        <v>94</v>
      </c>
      <c r="O22" s="10"/>
      <c r="P22" s="8"/>
      <c r="Q22" s="12"/>
    </row>
    <row r="23" spans="1:17" x14ac:dyDescent="0.2">
      <c r="A23">
        <f t="shared" si="0"/>
        <v>1606020</v>
      </c>
      <c r="B23" s="7" t="s">
        <v>95</v>
      </c>
      <c r="C23" s="8">
        <v>42535.615375000001</v>
      </c>
      <c r="D23" s="8">
        <v>42560</v>
      </c>
      <c r="E23" s="9" t="s">
        <v>39</v>
      </c>
      <c r="F23" s="10" t="s">
        <v>16</v>
      </c>
      <c r="G23" s="10" t="s">
        <v>40</v>
      </c>
      <c r="H23" s="10"/>
      <c r="I23" s="10"/>
      <c r="J23" s="11"/>
      <c r="K23" s="11"/>
      <c r="L23" s="10" t="s">
        <v>96</v>
      </c>
      <c r="M23" s="10" t="s">
        <v>58</v>
      </c>
      <c r="N23" s="10" t="s">
        <v>59</v>
      </c>
      <c r="O23" s="10"/>
      <c r="P23" s="8"/>
      <c r="Q23" s="12"/>
    </row>
    <row r="24" spans="1:17" x14ac:dyDescent="0.2">
      <c r="A24">
        <f t="shared" si="0"/>
        <v>1606021</v>
      </c>
      <c r="B24" s="7" t="s">
        <v>97</v>
      </c>
      <c r="C24" s="8">
        <v>42535.615743402777</v>
      </c>
      <c r="D24" s="8">
        <v>42560</v>
      </c>
      <c r="E24" s="9" t="s">
        <v>39</v>
      </c>
      <c r="F24" s="10" t="s">
        <v>16</v>
      </c>
      <c r="G24" s="10" t="s">
        <v>40</v>
      </c>
      <c r="H24" s="10"/>
      <c r="I24" s="10"/>
      <c r="J24" s="11"/>
      <c r="K24" s="11"/>
      <c r="L24" s="10" t="s">
        <v>98</v>
      </c>
      <c r="M24" s="10" t="s">
        <v>47</v>
      </c>
      <c r="N24" s="10" t="s">
        <v>99</v>
      </c>
      <c r="O24" s="10"/>
      <c r="P24" s="8"/>
      <c r="Q24" s="12"/>
    </row>
    <row r="25" spans="1:17" x14ac:dyDescent="0.2">
      <c r="A25">
        <f t="shared" si="0"/>
        <v>1606022</v>
      </c>
      <c r="B25" s="7" t="s">
        <v>100</v>
      </c>
      <c r="C25" s="8">
        <v>42535.616116550926</v>
      </c>
      <c r="D25" s="8"/>
      <c r="E25" s="9" t="s">
        <v>39</v>
      </c>
      <c r="F25" s="10" t="s">
        <v>16</v>
      </c>
      <c r="G25" s="10"/>
      <c r="H25" s="10"/>
      <c r="I25" s="10"/>
      <c r="J25" s="11"/>
      <c r="K25" s="11"/>
      <c r="L25" s="10" t="s">
        <v>101</v>
      </c>
      <c r="M25" s="10" t="s">
        <v>54</v>
      </c>
      <c r="N25" s="10" t="s">
        <v>72</v>
      </c>
      <c r="O25" s="10"/>
      <c r="P25" s="8"/>
      <c r="Q25" s="12"/>
    </row>
    <row r="26" spans="1:17" x14ac:dyDescent="0.2">
      <c r="A26">
        <f t="shared" si="0"/>
        <v>1606023</v>
      </c>
      <c r="B26" s="7" t="s">
        <v>102</v>
      </c>
      <c r="C26" s="8">
        <v>42535.616658564817</v>
      </c>
      <c r="D26" s="8"/>
      <c r="E26" s="9" t="s">
        <v>39</v>
      </c>
      <c r="F26" s="10" t="s">
        <v>16</v>
      </c>
      <c r="G26" s="10" t="s">
        <v>40</v>
      </c>
      <c r="H26" s="10"/>
      <c r="I26" s="10"/>
      <c r="J26" s="11"/>
      <c r="K26" s="11"/>
      <c r="L26" s="10" t="s">
        <v>103</v>
      </c>
      <c r="M26" s="10" t="s">
        <v>58</v>
      </c>
      <c r="N26" s="10" t="s">
        <v>59</v>
      </c>
      <c r="O26" s="10"/>
      <c r="P26" s="8"/>
      <c r="Q26" s="12"/>
    </row>
    <row r="27" spans="1:17" x14ac:dyDescent="0.2">
      <c r="A27">
        <f t="shared" si="0"/>
        <v>1606024</v>
      </c>
      <c r="B27" s="7" t="s">
        <v>104</v>
      </c>
      <c r="C27" s="8">
        <v>42535.617390740743</v>
      </c>
      <c r="D27" s="8"/>
      <c r="E27" s="9" t="s">
        <v>39</v>
      </c>
      <c r="F27" s="10" t="s">
        <v>16</v>
      </c>
      <c r="G27" s="10" t="s">
        <v>40</v>
      </c>
      <c r="H27" s="10"/>
      <c r="I27" s="10"/>
      <c r="J27" s="11"/>
      <c r="K27" s="11"/>
      <c r="L27" s="10" t="s">
        <v>105</v>
      </c>
      <c r="M27" s="10" t="s">
        <v>47</v>
      </c>
      <c r="N27" s="10" t="s">
        <v>106</v>
      </c>
      <c r="O27" s="10"/>
      <c r="P27" s="8"/>
      <c r="Q27" s="12"/>
    </row>
    <row r="28" spans="1:17" x14ac:dyDescent="0.2">
      <c r="A28">
        <f t="shared" si="0"/>
        <v>1606025</v>
      </c>
      <c r="B28" s="7" t="s">
        <v>107</v>
      </c>
      <c r="C28" s="8">
        <v>42535.617755902778</v>
      </c>
      <c r="D28" s="8"/>
      <c r="E28" s="9" t="s">
        <v>39</v>
      </c>
      <c r="F28" s="10" t="s">
        <v>16</v>
      </c>
      <c r="G28" s="10" t="s">
        <v>40</v>
      </c>
      <c r="H28" s="10"/>
      <c r="I28" s="10"/>
      <c r="J28" s="11"/>
      <c r="K28" s="11"/>
      <c r="L28" s="10" t="s">
        <v>108</v>
      </c>
      <c r="M28" s="10" t="s">
        <v>109</v>
      </c>
      <c r="N28" s="10" t="s">
        <v>110</v>
      </c>
      <c r="O28" s="10"/>
      <c r="P28" s="8"/>
      <c r="Q28" s="12"/>
    </row>
    <row r="29" spans="1:17" x14ac:dyDescent="0.2">
      <c r="A29">
        <f t="shared" si="0"/>
        <v>1606026</v>
      </c>
      <c r="B29" s="7" t="s">
        <v>111</v>
      </c>
      <c r="C29" s="8">
        <v>42535.618245138889</v>
      </c>
      <c r="D29" s="8">
        <v>42538</v>
      </c>
      <c r="E29" s="9" t="s">
        <v>39</v>
      </c>
      <c r="F29" s="10" t="s">
        <v>16</v>
      </c>
      <c r="G29" s="10" t="s">
        <v>40</v>
      </c>
      <c r="H29" s="10"/>
      <c r="I29" s="10"/>
      <c r="J29" s="11"/>
      <c r="K29" s="11"/>
      <c r="L29" s="10" t="s">
        <v>112</v>
      </c>
      <c r="M29" s="10" t="s">
        <v>42</v>
      </c>
      <c r="N29" s="10" t="s">
        <v>75</v>
      </c>
      <c r="O29" s="10"/>
      <c r="P29" s="8"/>
      <c r="Q29" s="12"/>
    </row>
    <row r="30" spans="1:17" x14ac:dyDescent="0.2">
      <c r="A30">
        <f t="shared" si="0"/>
        <v>1606027</v>
      </c>
      <c r="B30" s="7" t="s">
        <v>113</v>
      </c>
      <c r="C30" s="8">
        <v>42535.618951851851</v>
      </c>
      <c r="D30" s="8"/>
      <c r="E30" s="9" t="s">
        <v>39</v>
      </c>
      <c r="F30" s="10" t="s">
        <v>16</v>
      </c>
      <c r="G30" s="10" t="s">
        <v>40</v>
      </c>
      <c r="H30" s="10"/>
      <c r="I30" s="10"/>
      <c r="J30" s="11"/>
      <c r="K30" s="11"/>
      <c r="L30" s="10" t="s">
        <v>114</v>
      </c>
      <c r="M30" s="10" t="s">
        <v>58</v>
      </c>
      <c r="N30" s="10" t="s">
        <v>59</v>
      </c>
      <c r="O30" s="10"/>
      <c r="P30" s="8"/>
      <c r="Q30" s="12"/>
    </row>
    <row r="31" spans="1:17" x14ac:dyDescent="0.2">
      <c r="A31">
        <f t="shared" si="0"/>
        <v>1606028</v>
      </c>
      <c r="B31" s="7" t="s">
        <v>115</v>
      </c>
      <c r="C31" s="8">
        <v>42535.619320254627</v>
      </c>
      <c r="D31" s="8">
        <v>42560</v>
      </c>
      <c r="E31" s="9" t="s">
        <v>39</v>
      </c>
      <c r="F31" s="10" t="s">
        <v>16</v>
      </c>
      <c r="G31" s="10" t="s">
        <v>40</v>
      </c>
      <c r="H31" s="10"/>
      <c r="I31" s="10"/>
      <c r="J31" s="11"/>
      <c r="K31" s="11"/>
      <c r="L31" s="10" t="s">
        <v>116</v>
      </c>
      <c r="M31" s="10" t="s">
        <v>47</v>
      </c>
      <c r="N31" s="10" t="s">
        <v>106</v>
      </c>
      <c r="O31" s="10"/>
      <c r="P31" s="8"/>
      <c r="Q31" s="12"/>
    </row>
    <row r="32" spans="1:17" x14ac:dyDescent="0.2">
      <c r="A32">
        <f t="shared" si="0"/>
        <v>1606029</v>
      </c>
      <c r="B32" s="7" t="s">
        <v>117</v>
      </c>
      <c r="C32" s="8">
        <v>42535.619855092591</v>
      </c>
      <c r="D32" s="8"/>
      <c r="E32" s="9" t="s">
        <v>39</v>
      </c>
      <c r="F32" s="10" t="s">
        <v>16</v>
      </c>
      <c r="G32" s="10" t="s">
        <v>40</v>
      </c>
      <c r="H32" s="10"/>
      <c r="I32" s="10"/>
      <c r="J32" s="11"/>
      <c r="K32" s="11"/>
      <c r="L32" s="10" t="s">
        <v>118</v>
      </c>
      <c r="M32" s="10" t="s">
        <v>47</v>
      </c>
      <c r="N32" s="10" t="s">
        <v>51</v>
      </c>
      <c r="O32" s="10"/>
      <c r="P32" s="8"/>
      <c r="Q32" s="12"/>
    </row>
    <row r="33" spans="1:17" x14ac:dyDescent="0.2">
      <c r="A33">
        <f t="shared" si="0"/>
        <v>1606030</v>
      </c>
      <c r="B33" s="7" t="s">
        <v>119</v>
      </c>
      <c r="C33" s="8">
        <v>42535.620207175925</v>
      </c>
      <c r="D33" s="8"/>
      <c r="E33" s="9" t="s">
        <v>37</v>
      </c>
      <c r="F33" s="10" t="s">
        <v>16</v>
      </c>
      <c r="G33" s="10" t="s">
        <v>40</v>
      </c>
      <c r="H33" s="10"/>
      <c r="I33" s="10"/>
      <c r="J33" s="11"/>
      <c r="K33" s="11"/>
      <c r="L33" s="10" t="s">
        <v>120</v>
      </c>
      <c r="M33" s="10" t="s">
        <v>47</v>
      </c>
      <c r="N33" s="10" t="s">
        <v>121</v>
      </c>
      <c r="O33" s="10"/>
      <c r="P33" s="8"/>
      <c r="Q33" s="12"/>
    </row>
    <row r="34" spans="1:17" x14ac:dyDescent="0.2">
      <c r="A34">
        <f t="shared" si="0"/>
        <v>1606031</v>
      </c>
      <c r="B34" s="7" t="s">
        <v>122</v>
      </c>
      <c r="C34" s="8">
        <v>42535.62064710648</v>
      </c>
      <c r="D34" s="8">
        <v>42560</v>
      </c>
      <c r="E34" s="9" t="s">
        <v>39</v>
      </c>
      <c r="F34" s="10" t="s">
        <v>16</v>
      </c>
      <c r="G34" s="10" t="s">
        <v>40</v>
      </c>
      <c r="H34" s="10"/>
      <c r="I34" s="10"/>
      <c r="J34" s="11"/>
      <c r="K34" s="11"/>
      <c r="L34" s="10" t="s">
        <v>123</v>
      </c>
      <c r="M34" s="10" t="s">
        <v>58</v>
      </c>
      <c r="N34" s="10" t="s">
        <v>59</v>
      </c>
      <c r="O34" s="10"/>
      <c r="P34" s="8"/>
      <c r="Q34" s="12"/>
    </row>
    <row r="35" spans="1:17" x14ac:dyDescent="0.2">
      <c r="A35">
        <f t="shared" si="0"/>
        <v>1606032</v>
      </c>
      <c r="B35" s="7" t="s">
        <v>124</v>
      </c>
      <c r="C35" s="8">
        <v>42535.621126736114</v>
      </c>
      <c r="D35" s="8">
        <v>42560</v>
      </c>
      <c r="E35" s="9" t="s">
        <v>39</v>
      </c>
      <c r="F35" s="10" t="s">
        <v>16</v>
      </c>
      <c r="G35" s="10" t="s">
        <v>40</v>
      </c>
      <c r="H35" s="10"/>
      <c r="I35" s="10"/>
      <c r="J35" s="11"/>
      <c r="K35" s="11"/>
      <c r="L35" s="10" t="s">
        <v>125</v>
      </c>
      <c r="M35" s="10" t="s">
        <v>126</v>
      </c>
      <c r="N35" s="10" t="s">
        <v>127</v>
      </c>
      <c r="O35" s="10"/>
      <c r="P35" s="8"/>
      <c r="Q35" s="12"/>
    </row>
    <row r="36" spans="1:17" x14ac:dyDescent="0.2">
      <c r="A36">
        <f t="shared" si="0"/>
        <v>1606033</v>
      </c>
      <c r="B36" s="7" t="s">
        <v>128</v>
      </c>
      <c r="C36" s="8">
        <v>42535.621764699077</v>
      </c>
      <c r="D36" s="8"/>
      <c r="E36" s="9" t="s">
        <v>37</v>
      </c>
      <c r="F36" s="10" t="s">
        <v>16</v>
      </c>
      <c r="G36" s="10" t="s">
        <v>40</v>
      </c>
      <c r="H36" s="10"/>
      <c r="I36" s="10"/>
      <c r="J36" s="11"/>
      <c r="K36" s="11"/>
      <c r="L36" s="10" t="s">
        <v>129</v>
      </c>
      <c r="M36" s="10" t="s">
        <v>42</v>
      </c>
      <c r="N36" s="10" t="s">
        <v>43</v>
      </c>
      <c r="O36" s="10"/>
      <c r="P36" s="8"/>
      <c r="Q36" s="12"/>
    </row>
    <row r="37" spans="1:17" x14ac:dyDescent="0.2">
      <c r="A37">
        <f t="shared" si="0"/>
        <v>1606034</v>
      </c>
      <c r="B37" s="7" t="s">
        <v>130</v>
      </c>
      <c r="C37" s="8">
        <v>42535.622142245367</v>
      </c>
      <c r="D37" s="8">
        <v>42560</v>
      </c>
      <c r="E37" s="9" t="s">
        <v>39</v>
      </c>
      <c r="F37" s="10" t="s">
        <v>16</v>
      </c>
      <c r="G37" s="10" t="s">
        <v>40</v>
      </c>
      <c r="H37" s="10"/>
      <c r="I37" s="10"/>
      <c r="J37" s="11"/>
      <c r="K37" s="11"/>
      <c r="L37" s="10" t="s">
        <v>131</v>
      </c>
      <c r="M37" s="10" t="s">
        <v>47</v>
      </c>
      <c r="N37" s="10" t="s">
        <v>99</v>
      </c>
      <c r="O37" s="10"/>
      <c r="P37" s="8"/>
      <c r="Q37" s="12"/>
    </row>
    <row r="38" spans="1:17" x14ac:dyDescent="0.2">
      <c r="A38">
        <f t="shared" si="0"/>
        <v>1606035</v>
      </c>
      <c r="B38" s="7" t="s">
        <v>132</v>
      </c>
      <c r="C38" s="8">
        <v>42535.629157407406</v>
      </c>
      <c r="D38" s="8"/>
      <c r="E38" s="9" t="s">
        <v>39</v>
      </c>
      <c r="F38" s="10" t="s">
        <v>16</v>
      </c>
      <c r="G38" s="10" t="s">
        <v>40</v>
      </c>
      <c r="H38" s="10"/>
      <c r="I38" s="10"/>
      <c r="J38" s="11"/>
      <c r="K38" s="11"/>
      <c r="L38" s="10" t="s">
        <v>133</v>
      </c>
      <c r="M38" s="10" t="s">
        <v>54</v>
      </c>
      <c r="N38" s="10" t="s">
        <v>134</v>
      </c>
      <c r="O38" s="10"/>
      <c r="P38" s="8"/>
      <c r="Q38" s="12"/>
    </row>
    <row r="39" spans="1:17" x14ac:dyDescent="0.2">
      <c r="A39">
        <f t="shared" si="0"/>
        <v>1606036</v>
      </c>
      <c r="B39" s="7" t="s">
        <v>135</v>
      </c>
      <c r="C39" s="8">
        <v>42535.629653009259</v>
      </c>
      <c r="D39" s="8"/>
      <c r="E39" s="9" t="s">
        <v>39</v>
      </c>
      <c r="F39" s="10" t="s">
        <v>16</v>
      </c>
      <c r="G39" s="10" t="s">
        <v>40</v>
      </c>
      <c r="H39" s="10"/>
      <c r="I39" s="10"/>
      <c r="J39" s="11"/>
      <c r="K39" s="11"/>
      <c r="L39" s="10" t="s">
        <v>136</v>
      </c>
      <c r="M39" s="10" t="s">
        <v>47</v>
      </c>
      <c r="N39" s="10" t="s">
        <v>51</v>
      </c>
      <c r="O39" s="10"/>
      <c r="P39" s="8"/>
      <c r="Q39" s="12"/>
    </row>
    <row r="40" spans="1:17" x14ac:dyDescent="0.2">
      <c r="A40">
        <f t="shared" si="0"/>
        <v>1606037</v>
      </c>
      <c r="B40" s="7" t="s">
        <v>137</v>
      </c>
      <c r="C40" s="8">
        <v>42535.629994560186</v>
      </c>
      <c r="D40" s="8"/>
      <c r="E40" s="9" t="s">
        <v>39</v>
      </c>
      <c r="F40" s="10" t="s">
        <v>16</v>
      </c>
      <c r="G40" s="10" t="s">
        <v>40</v>
      </c>
      <c r="H40" s="10"/>
      <c r="I40" s="10"/>
      <c r="J40" s="11"/>
      <c r="K40" s="11"/>
      <c r="L40" s="10" t="s">
        <v>138</v>
      </c>
      <c r="M40" s="10" t="s">
        <v>47</v>
      </c>
      <c r="N40" s="10" t="s">
        <v>106</v>
      </c>
      <c r="O40" s="10"/>
      <c r="P40" s="8"/>
      <c r="Q40" s="12"/>
    </row>
    <row r="41" spans="1:17" x14ac:dyDescent="0.2">
      <c r="A41">
        <f t="shared" si="0"/>
        <v>1606038</v>
      </c>
      <c r="B41" s="7" t="s">
        <v>139</v>
      </c>
      <c r="C41" s="8">
        <v>42535.630314930553</v>
      </c>
      <c r="D41" s="8"/>
      <c r="E41" s="9" t="s">
        <v>39</v>
      </c>
      <c r="F41" s="10" t="s">
        <v>16</v>
      </c>
      <c r="G41" s="10" t="s">
        <v>40</v>
      </c>
      <c r="H41" s="10"/>
      <c r="I41" s="10"/>
      <c r="J41" s="11"/>
      <c r="K41" s="11"/>
      <c r="L41" s="10" t="s">
        <v>140</v>
      </c>
      <c r="M41" s="10" t="s">
        <v>47</v>
      </c>
      <c r="N41" s="10" t="s">
        <v>106</v>
      </c>
      <c r="O41" s="10"/>
      <c r="P41" s="8"/>
      <c r="Q41" s="12"/>
    </row>
    <row r="42" spans="1:17" x14ac:dyDescent="0.2">
      <c r="A42">
        <f t="shared" si="0"/>
        <v>1606039</v>
      </c>
      <c r="B42" s="7" t="s">
        <v>141</v>
      </c>
      <c r="C42" s="8">
        <v>42535.630735648148</v>
      </c>
      <c r="D42" s="8"/>
      <c r="E42" s="9" t="s">
        <v>39</v>
      </c>
      <c r="F42" s="10" t="s">
        <v>16</v>
      </c>
      <c r="G42" s="10" t="s">
        <v>40</v>
      </c>
      <c r="H42" s="10"/>
      <c r="I42" s="10"/>
      <c r="J42" s="11"/>
      <c r="K42" s="11"/>
      <c r="L42" s="10" t="s">
        <v>142</v>
      </c>
      <c r="M42" s="10" t="s">
        <v>42</v>
      </c>
      <c r="N42" s="10" t="s">
        <v>84</v>
      </c>
      <c r="O42" s="10"/>
      <c r="P42" s="8"/>
      <c r="Q42" s="12"/>
    </row>
    <row r="43" spans="1:17" x14ac:dyDescent="0.2">
      <c r="A43">
        <f t="shared" si="0"/>
        <v>1606040</v>
      </c>
      <c r="B43" s="7" t="s">
        <v>143</v>
      </c>
      <c r="C43" s="8">
        <v>42535.631009143515</v>
      </c>
      <c r="D43" s="8"/>
      <c r="E43" s="9" t="s">
        <v>39</v>
      </c>
      <c r="F43" s="10" t="s">
        <v>16</v>
      </c>
      <c r="G43" s="10" t="s">
        <v>40</v>
      </c>
      <c r="H43" s="10"/>
      <c r="I43" s="10"/>
      <c r="J43" s="11"/>
      <c r="K43" s="11"/>
      <c r="L43" s="10" t="s">
        <v>144</v>
      </c>
      <c r="M43" s="10" t="s">
        <v>47</v>
      </c>
      <c r="N43" s="10" t="s">
        <v>106</v>
      </c>
      <c r="O43" s="10"/>
      <c r="P43" s="8"/>
      <c r="Q43" s="12"/>
    </row>
    <row r="44" spans="1:17" x14ac:dyDescent="0.2">
      <c r="A44">
        <f t="shared" si="0"/>
        <v>1606041</v>
      </c>
      <c r="B44" s="7" t="s">
        <v>145</v>
      </c>
      <c r="C44" s="8">
        <v>42535.631353240744</v>
      </c>
      <c r="D44" s="8"/>
      <c r="E44" s="9" t="s">
        <v>39</v>
      </c>
      <c r="F44" s="10" t="s">
        <v>16</v>
      </c>
      <c r="G44" s="10" t="s">
        <v>40</v>
      </c>
      <c r="H44" s="10"/>
      <c r="I44" s="10"/>
      <c r="J44" s="11"/>
      <c r="K44" s="11"/>
      <c r="L44" s="10" t="s">
        <v>146</v>
      </c>
      <c r="M44" s="10" t="s">
        <v>58</v>
      </c>
      <c r="N44" s="10" t="s">
        <v>59</v>
      </c>
      <c r="O44" s="10"/>
      <c r="P44" s="8"/>
      <c r="Q44" s="12"/>
    </row>
    <row r="45" spans="1:17" x14ac:dyDescent="0.2">
      <c r="A45">
        <f t="shared" si="0"/>
        <v>1606042</v>
      </c>
      <c r="B45" s="7" t="s">
        <v>147</v>
      </c>
      <c r="C45" s="8">
        <v>42535.631709953705</v>
      </c>
      <c r="D45" s="8"/>
      <c r="E45" s="9" t="s">
        <v>39</v>
      </c>
      <c r="F45" s="10" t="s">
        <v>16</v>
      </c>
      <c r="G45" s="10" t="s">
        <v>40</v>
      </c>
      <c r="H45" s="10"/>
      <c r="I45" s="10"/>
      <c r="J45" s="11"/>
      <c r="K45" s="11"/>
      <c r="L45" s="10" t="s">
        <v>148</v>
      </c>
      <c r="M45" s="10" t="s">
        <v>47</v>
      </c>
      <c r="N45" s="10" t="s">
        <v>51</v>
      </c>
      <c r="O45" s="10"/>
      <c r="P45" s="8"/>
      <c r="Q45" s="12"/>
    </row>
    <row r="46" spans="1:17" x14ac:dyDescent="0.2">
      <c r="A46">
        <f t="shared" si="0"/>
        <v>1606043</v>
      </c>
      <c r="B46" s="7" t="s">
        <v>149</v>
      </c>
      <c r="C46" s="8">
        <v>42535.632046180559</v>
      </c>
      <c r="D46" s="8"/>
      <c r="E46" s="9" t="s">
        <v>39</v>
      </c>
      <c r="F46" s="10" t="s">
        <v>16</v>
      </c>
      <c r="G46" s="10" t="s">
        <v>40</v>
      </c>
      <c r="H46" s="10"/>
      <c r="I46" s="10"/>
      <c r="J46" s="11"/>
      <c r="K46" s="11"/>
      <c r="L46" s="10" t="s">
        <v>150</v>
      </c>
      <c r="M46" s="10" t="s">
        <v>47</v>
      </c>
      <c r="N46" s="10" t="s">
        <v>106</v>
      </c>
      <c r="O46" s="10"/>
      <c r="P46" s="8"/>
      <c r="Q46" s="12"/>
    </row>
    <row r="47" spans="1:17" x14ac:dyDescent="0.2">
      <c r="A47">
        <f t="shared" si="0"/>
        <v>1606044</v>
      </c>
      <c r="B47" s="7" t="s">
        <v>151</v>
      </c>
      <c r="C47" s="8">
        <v>42535.632315393515</v>
      </c>
      <c r="D47" s="8"/>
      <c r="E47" s="9" t="s">
        <v>39</v>
      </c>
      <c r="F47" s="10" t="s">
        <v>16</v>
      </c>
      <c r="G47" s="10" t="s">
        <v>40</v>
      </c>
      <c r="H47" s="10"/>
      <c r="I47" s="10"/>
      <c r="J47" s="11"/>
      <c r="K47" s="11"/>
      <c r="L47" s="10" t="s">
        <v>152</v>
      </c>
      <c r="M47" s="10" t="s">
        <v>47</v>
      </c>
      <c r="N47" s="10" t="s">
        <v>51</v>
      </c>
      <c r="O47" s="10"/>
      <c r="P47" s="8"/>
      <c r="Q47" s="12"/>
    </row>
    <row r="48" spans="1:17" x14ac:dyDescent="0.2">
      <c r="A48">
        <f t="shared" si="0"/>
        <v>1606045</v>
      </c>
      <c r="B48" s="7" t="s">
        <v>153</v>
      </c>
      <c r="C48" s="8">
        <v>42535.632800578707</v>
      </c>
      <c r="D48" s="8"/>
      <c r="E48" s="9" t="s">
        <v>39</v>
      </c>
      <c r="F48" s="10" t="s">
        <v>16</v>
      </c>
      <c r="G48" s="10" t="s">
        <v>40</v>
      </c>
      <c r="H48" s="10"/>
      <c r="I48" s="10"/>
      <c r="J48" s="11"/>
      <c r="K48" s="11"/>
      <c r="L48" s="10" t="s">
        <v>154</v>
      </c>
      <c r="M48" s="10" t="s">
        <v>93</v>
      </c>
      <c r="N48" s="10" t="s">
        <v>155</v>
      </c>
      <c r="O48" s="10"/>
      <c r="P48" s="8"/>
      <c r="Q48" s="12"/>
    </row>
    <row r="49" spans="1:17" x14ac:dyDescent="0.2">
      <c r="A49">
        <f t="shared" si="0"/>
        <v>1606046</v>
      </c>
      <c r="B49" s="7" t="s">
        <v>156</v>
      </c>
      <c r="C49" s="8">
        <v>42535.63318946759</v>
      </c>
      <c r="D49" s="8"/>
      <c r="E49" s="9" t="s">
        <v>39</v>
      </c>
      <c r="F49" s="10" t="s">
        <v>16</v>
      </c>
      <c r="G49" s="10" t="s">
        <v>40</v>
      </c>
      <c r="H49" s="10"/>
      <c r="I49" s="10"/>
      <c r="J49" s="11"/>
      <c r="K49" s="11"/>
      <c r="L49" s="10" t="s">
        <v>157</v>
      </c>
      <c r="M49" s="10" t="s">
        <v>47</v>
      </c>
      <c r="N49" s="10" t="s">
        <v>51</v>
      </c>
      <c r="O49" s="10"/>
      <c r="P49" s="8"/>
      <c r="Q49" s="12"/>
    </row>
    <row r="50" spans="1:17" x14ac:dyDescent="0.2">
      <c r="A50">
        <f t="shared" si="0"/>
        <v>1606047</v>
      </c>
      <c r="B50" s="7" t="s">
        <v>158</v>
      </c>
      <c r="C50" s="8">
        <v>42535.633728703702</v>
      </c>
      <c r="D50" s="8"/>
      <c r="E50" s="9" t="s">
        <v>39</v>
      </c>
      <c r="F50" s="10" t="s">
        <v>159</v>
      </c>
      <c r="G50" s="10" t="s">
        <v>40</v>
      </c>
      <c r="H50" s="10"/>
      <c r="I50" s="10"/>
      <c r="J50" s="11"/>
      <c r="K50" s="11"/>
      <c r="L50" s="10" t="s">
        <v>160</v>
      </c>
      <c r="M50" s="10" t="s">
        <v>93</v>
      </c>
      <c r="N50" s="10" t="s">
        <v>161</v>
      </c>
      <c r="O50" s="10"/>
      <c r="P50" s="8"/>
      <c r="Q50" s="12"/>
    </row>
    <row r="51" spans="1:17" x14ac:dyDescent="0.2">
      <c r="A51">
        <f t="shared" si="0"/>
        <v>1606048</v>
      </c>
      <c r="B51" s="7" t="s">
        <v>162</v>
      </c>
      <c r="C51" s="8">
        <v>42535.634278240737</v>
      </c>
      <c r="D51" s="8"/>
      <c r="E51" s="9" t="s">
        <v>39</v>
      </c>
      <c r="F51" s="10" t="s">
        <v>16</v>
      </c>
      <c r="G51" s="10" t="s">
        <v>40</v>
      </c>
      <c r="H51" s="10"/>
      <c r="I51" s="10"/>
      <c r="J51" s="11"/>
      <c r="K51" s="11"/>
      <c r="L51" s="10" t="s">
        <v>163</v>
      </c>
      <c r="M51" s="10" t="s">
        <v>58</v>
      </c>
      <c r="N51" s="10" t="s">
        <v>59</v>
      </c>
      <c r="O51" s="10"/>
      <c r="P51" s="8"/>
      <c r="Q51" s="12"/>
    </row>
    <row r="52" spans="1:17" x14ac:dyDescent="0.2">
      <c r="A52">
        <f t="shared" si="0"/>
        <v>1606049</v>
      </c>
      <c r="B52" s="7" t="s">
        <v>164</v>
      </c>
      <c r="C52" s="8">
        <v>42535.63456875</v>
      </c>
      <c r="D52" s="8"/>
      <c r="E52" s="9" t="s">
        <v>39</v>
      </c>
      <c r="F52" s="10" t="s">
        <v>16</v>
      </c>
      <c r="G52" s="10" t="s">
        <v>40</v>
      </c>
      <c r="H52" s="10"/>
      <c r="I52" s="10"/>
      <c r="J52" s="11"/>
      <c r="K52" s="11"/>
      <c r="L52" s="10" t="s">
        <v>165</v>
      </c>
      <c r="M52" s="10" t="s">
        <v>58</v>
      </c>
      <c r="N52" s="10" t="s">
        <v>59</v>
      </c>
      <c r="O52" s="10"/>
      <c r="P52" s="8"/>
      <c r="Q52" s="12"/>
    </row>
    <row r="53" spans="1:17" x14ac:dyDescent="0.2">
      <c r="A53">
        <f t="shared" si="0"/>
        <v>1606050</v>
      </c>
      <c r="B53" s="7" t="s">
        <v>166</v>
      </c>
      <c r="C53" s="8">
        <v>42535.634834606484</v>
      </c>
      <c r="D53" s="8"/>
      <c r="E53" s="9" t="s">
        <v>39</v>
      </c>
      <c r="F53" s="10" t="s">
        <v>16</v>
      </c>
      <c r="G53" s="10" t="s">
        <v>40</v>
      </c>
      <c r="H53" s="10"/>
      <c r="I53" s="10"/>
      <c r="J53" s="11"/>
      <c r="K53" s="11"/>
      <c r="L53" s="10" t="s">
        <v>167</v>
      </c>
      <c r="M53" s="10" t="s">
        <v>47</v>
      </c>
      <c r="N53" s="10" t="s">
        <v>106</v>
      </c>
      <c r="O53" s="10"/>
      <c r="P53" s="8"/>
      <c r="Q53" s="12"/>
    </row>
    <row r="54" spans="1:17" x14ac:dyDescent="0.2">
      <c r="A54">
        <f t="shared" si="0"/>
        <v>1606051</v>
      </c>
      <c r="B54" s="7" t="s">
        <v>168</v>
      </c>
      <c r="C54" s="8">
        <v>42535.63517523148</v>
      </c>
      <c r="D54" s="8"/>
      <c r="E54" s="9" t="s">
        <v>39</v>
      </c>
      <c r="F54" s="10" t="s">
        <v>16</v>
      </c>
      <c r="G54" s="10" t="s">
        <v>40</v>
      </c>
      <c r="H54" s="10"/>
      <c r="I54" s="10"/>
      <c r="J54" s="11"/>
      <c r="K54" s="11"/>
      <c r="L54" s="10" t="s">
        <v>169</v>
      </c>
      <c r="M54" s="10" t="s">
        <v>93</v>
      </c>
      <c r="N54" s="10" t="s">
        <v>155</v>
      </c>
      <c r="O54" s="10"/>
      <c r="P54" s="8"/>
      <c r="Q54" s="12"/>
    </row>
    <row r="55" spans="1:17" x14ac:dyDescent="0.2">
      <c r="A55">
        <f t="shared" si="0"/>
        <v>1606052</v>
      </c>
      <c r="B55" s="7" t="s">
        <v>170</v>
      </c>
      <c r="C55" s="8">
        <v>42535.63692824074</v>
      </c>
      <c r="D55" s="8"/>
      <c r="E55" s="9" t="s">
        <v>37</v>
      </c>
      <c r="F55" s="10" t="s">
        <v>16</v>
      </c>
      <c r="G55" s="10" t="s">
        <v>40</v>
      </c>
      <c r="H55" s="10"/>
      <c r="I55" s="10"/>
      <c r="J55" s="11"/>
      <c r="K55" s="11"/>
      <c r="L55" s="10" t="s">
        <v>171</v>
      </c>
      <c r="M55" s="10" t="s">
        <v>126</v>
      </c>
      <c r="N55" s="10" t="s">
        <v>172</v>
      </c>
      <c r="O55" s="10"/>
      <c r="P55" s="8"/>
      <c r="Q55" s="12"/>
    </row>
    <row r="56" spans="1:17" x14ac:dyDescent="0.2">
      <c r="A56">
        <f t="shared" si="0"/>
        <v>1606053</v>
      </c>
      <c r="B56" s="7" t="s">
        <v>173</v>
      </c>
      <c r="C56" s="8">
        <v>42535.637199537035</v>
      </c>
      <c r="D56" s="8"/>
      <c r="E56" s="9" t="s">
        <v>39</v>
      </c>
      <c r="F56" s="10" t="s">
        <v>16</v>
      </c>
      <c r="G56" s="10" t="s">
        <v>40</v>
      </c>
      <c r="H56" s="10"/>
      <c r="I56" s="10"/>
      <c r="J56" s="11"/>
      <c r="K56" s="11"/>
      <c r="L56" s="10" t="s">
        <v>174</v>
      </c>
      <c r="M56" s="10" t="s">
        <v>42</v>
      </c>
      <c r="N56" s="10" t="s">
        <v>84</v>
      </c>
      <c r="O56" s="10"/>
      <c r="P56" s="8"/>
      <c r="Q56" s="12"/>
    </row>
    <row r="57" spans="1:17" x14ac:dyDescent="0.2">
      <c r="A57">
        <f t="shared" si="0"/>
        <v>1606054</v>
      </c>
      <c r="B57" s="7" t="s">
        <v>175</v>
      </c>
      <c r="C57" s="8">
        <v>42535.637525694445</v>
      </c>
      <c r="D57" s="8"/>
      <c r="E57" s="9" t="s">
        <v>39</v>
      </c>
      <c r="F57" s="10" t="s">
        <v>16</v>
      </c>
      <c r="G57" s="10" t="s">
        <v>40</v>
      </c>
      <c r="H57" s="10"/>
      <c r="I57" s="10"/>
      <c r="J57" s="11"/>
      <c r="K57" s="11"/>
      <c r="L57" s="10" t="s">
        <v>176</v>
      </c>
      <c r="M57" s="10" t="s">
        <v>93</v>
      </c>
      <c r="N57" s="10" t="s">
        <v>161</v>
      </c>
      <c r="O57" s="10"/>
      <c r="P57" s="8"/>
      <c r="Q57" s="12"/>
    </row>
    <row r="58" spans="1:17" x14ac:dyDescent="0.2">
      <c r="A58">
        <f t="shared" si="0"/>
        <v>1606055</v>
      </c>
      <c r="B58" s="7" t="s">
        <v>177</v>
      </c>
      <c r="C58" s="8">
        <v>42535.637862037038</v>
      </c>
      <c r="D58" s="8"/>
      <c r="E58" s="9" t="s">
        <v>37</v>
      </c>
      <c r="F58" s="10" t="s">
        <v>16</v>
      </c>
      <c r="G58" s="10" t="s">
        <v>40</v>
      </c>
      <c r="H58" s="10"/>
      <c r="I58" s="10"/>
      <c r="J58" s="11"/>
      <c r="K58" s="11"/>
      <c r="L58" s="10" t="s">
        <v>178</v>
      </c>
      <c r="M58" s="10" t="s">
        <v>47</v>
      </c>
      <c r="N58" s="10" t="s">
        <v>106</v>
      </c>
      <c r="O58" s="10"/>
      <c r="P58" s="8"/>
      <c r="Q58" s="12"/>
    </row>
    <row r="59" spans="1:17" x14ac:dyDescent="0.2">
      <c r="A59">
        <f t="shared" si="0"/>
        <v>1606056</v>
      </c>
      <c r="B59" s="7" t="s">
        <v>179</v>
      </c>
      <c r="C59" s="8">
        <v>42535.638139814815</v>
      </c>
      <c r="D59" s="8"/>
      <c r="E59" s="9" t="s">
        <v>37</v>
      </c>
      <c r="F59" s="10" t="s">
        <v>16</v>
      </c>
      <c r="G59" s="10" t="s">
        <v>40</v>
      </c>
      <c r="H59" s="10"/>
      <c r="I59" s="10"/>
      <c r="J59" s="11"/>
      <c r="K59" s="11"/>
      <c r="L59" s="10" t="s">
        <v>180</v>
      </c>
      <c r="M59" s="10" t="s">
        <v>42</v>
      </c>
      <c r="N59" s="10" t="s">
        <v>84</v>
      </c>
      <c r="O59" s="10"/>
      <c r="P59" s="8"/>
      <c r="Q59" s="12"/>
    </row>
    <row r="60" spans="1:17" x14ac:dyDescent="0.2">
      <c r="A60">
        <f t="shared" si="0"/>
        <v>1606057</v>
      </c>
      <c r="B60" s="7" t="s">
        <v>181</v>
      </c>
      <c r="C60" s="8">
        <v>42535.638512500002</v>
      </c>
      <c r="D60" s="8"/>
      <c r="E60" s="9" t="s">
        <v>37</v>
      </c>
      <c r="F60" s="10" t="s">
        <v>16</v>
      </c>
      <c r="G60" s="10" t="s">
        <v>40</v>
      </c>
      <c r="H60" s="10"/>
      <c r="I60" s="10"/>
      <c r="J60" s="11"/>
      <c r="K60" s="11"/>
      <c r="L60" s="10" t="s">
        <v>182</v>
      </c>
      <c r="M60" s="10" t="s">
        <v>93</v>
      </c>
      <c r="N60" s="10" t="s">
        <v>155</v>
      </c>
      <c r="O60" s="10"/>
      <c r="P60" s="8"/>
      <c r="Q60" s="12"/>
    </row>
    <row r="61" spans="1:17" x14ac:dyDescent="0.2">
      <c r="A61">
        <f t="shared" si="0"/>
        <v>1606058</v>
      </c>
      <c r="B61" s="7" t="s">
        <v>183</v>
      </c>
      <c r="C61" s="8">
        <v>42535.638918865741</v>
      </c>
      <c r="D61" s="8"/>
      <c r="E61" s="9" t="s">
        <v>39</v>
      </c>
      <c r="F61" s="10" t="s">
        <v>16</v>
      </c>
      <c r="G61" s="10" t="s">
        <v>40</v>
      </c>
      <c r="H61" s="10"/>
      <c r="I61" s="10"/>
      <c r="J61" s="11"/>
      <c r="K61" s="11"/>
      <c r="L61" s="10" t="s">
        <v>184</v>
      </c>
      <c r="M61" s="10" t="s">
        <v>58</v>
      </c>
      <c r="N61" s="10" t="s">
        <v>59</v>
      </c>
      <c r="O61" s="10"/>
      <c r="P61" s="8"/>
      <c r="Q61" s="12"/>
    </row>
    <row r="62" spans="1:17" x14ac:dyDescent="0.2">
      <c r="A62">
        <f t="shared" si="0"/>
        <v>1606059</v>
      </c>
      <c r="B62" s="7" t="s">
        <v>185</v>
      </c>
      <c r="C62" s="8">
        <v>42535.639277083334</v>
      </c>
      <c r="D62" s="8"/>
      <c r="E62" s="9" t="s">
        <v>39</v>
      </c>
      <c r="F62" s="10" t="s">
        <v>16</v>
      </c>
      <c r="G62" s="10" t="s">
        <v>40</v>
      </c>
      <c r="H62" s="10"/>
      <c r="I62" s="10"/>
      <c r="J62" s="11"/>
      <c r="K62" s="11"/>
      <c r="L62" s="10" t="s">
        <v>186</v>
      </c>
      <c r="M62" s="10" t="s">
        <v>47</v>
      </c>
      <c r="N62" s="10" t="s">
        <v>106</v>
      </c>
      <c r="O62" s="10"/>
      <c r="P62" s="8"/>
      <c r="Q62" s="12"/>
    </row>
    <row r="63" spans="1:17" x14ac:dyDescent="0.2">
      <c r="A63">
        <f t="shared" si="0"/>
        <v>1606060</v>
      </c>
      <c r="B63" s="7" t="s">
        <v>187</v>
      </c>
      <c r="C63" s="8">
        <v>42535.639627893521</v>
      </c>
      <c r="D63" s="8"/>
      <c r="E63" s="9" t="s">
        <v>37</v>
      </c>
      <c r="F63" s="10" t="s">
        <v>159</v>
      </c>
      <c r="G63" s="10" t="s">
        <v>40</v>
      </c>
      <c r="H63" s="10"/>
      <c r="I63" s="10"/>
      <c r="J63" s="11"/>
      <c r="K63" s="11"/>
      <c r="L63" s="10" t="s">
        <v>188</v>
      </c>
      <c r="M63" s="10" t="s">
        <v>47</v>
      </c>
      <c r="N63" s="10" t="s">
        <v>51</v>
      </c>
      <c r="O63" s="10"/>
      <c r="P63" s="8"/>
      <c r="Q63" s="12"/>
    </row>
    <row r="64" spans="1:17" x14ac:dyDescent="0.2">
      <c r="A64">
        <f t="shared" si="0"/>
        <v>1606061</v>
      </c>
      <c r="B64" s="7" t="s">
        <v>189</v>
      </c>
      <c r="C64" s="8">
        <v>42535.639906365737</v>
      </c>
      <c r="D64" s="8"/>
      <c r="E64" s="9" t="s">
        <v>37</v>
      </c>
      <c r="F64" s="10" t="s">
        <v>16</v>
      </c>
      <c r="G64" s="10" t="s">
        <v>40</v>
      </c>
      <c r="H64" s="10"/>
      <c r="I64" s="10"/>
      <c r="J64" s="11"/>
      <c r="K64" s="11"/>
      <c r="L64" s="10" t="s">
        <v>190</v>
      </c>
      <c r="M64" s="10" t="s">
        <v>42</v>
      </c>
      <c r="N64" s="10" t="s">
        <v>191</v>
      </c>
      <c r="O64" s="10"/>
      <c r="P64" s="8"/>
      <c r="Q64" s="12"/>
    </row>
    <row r="65" spans="1:17" x14ac:dyDescent="0.2">
      <c r="A65">
        <f t="shared" si="0"/>
        <v>1606062</v>
      </c>
      <c r="B65" s="7" t="s">
        <v>192</v>
      </c>
      <c r="C65" s="8">
        <v>42535.640207638891</v>
      </c>
      <c r="D65" s="8"/>
      <c r="E65" s="9" t="s">
        <v>39</v>
      </c>
      <c r="F65" s="10" t="s">
        <v>16</v>
      </c>
      <c r="G65" s="10" t="s">
        <v>40</v>
      </c>
      <c r="H65" s="10"/>
      <c r="I65" s="10"/>
      <c r="J65" s="11"/>
      <c r="K65" s="11"/>
      <c r="L65" s="10" t="s">
        <v>193</v>
      </c>
      <c r="M65" s="10" t="s">
        <v>54</v>
      </c>
      <c r="N65" s="10" t="s">
        <v>194</v>
      </c>
      <c r="O65" s="10"/>
      <c r="P65" s="8"/>
      <c r="Q65" s="12"/>
    </row>
    <row r="66" spans="1:17" x14ac:dyDescent="0.2">
      <c r="A66">
        <f t="shared" si="0"/>
        <v>1606063</v>
      </c>
      <c r="B66" s="7" t="s">
        <v>195</v>
      </c>
      <c r="C66" s="8">
        <v>42535.965277083335</v>
      </c>
      <c r="D66" s="8">
        <v>42550</v>
      </c>
      <c r="E66" s="9" t="s">
        <v>39</v>
      </c>
      <c r="F66" s="10" t="s">
        <v>16</v>
      </c>
      <c r="G66" s="10" t="s">
        <v>196</v>
      </c>
      <c r="H66" s="10"/>
      <c r="I66" s="10"/>
      <c r="J66" s="11"/>
      <c r="K66" s="11"/>
      <c r="L66" s="10" t="s">
        <v>197</v>
      </c>
      <c r="M66" s="10" t="s">
        <v>47</v>
      </c>
      <c r="N66" s="10" t="s">
        <v>99</v>
      </c>
      <c r="O66" s="10"/>
      <c r="P66" s="8"/>
      <c r="Q66" s="12"/>
    </row>
    <row r="67" spans="1:17" x14ac:dyDescent="0.2">
      <c r="A67">
        <f t="shared" si="0"/>
        <v>1606064</v>
      </c>
      <c r="B67" s="7" t="s">
        <v>198</v>
      </c>
      <c r="C67" s="8">
        <v>42535.966144675927</v>
      </c>
      <c r="D67" s="8">
        <v>42550</v>
      </c>
      <c r="E67" s="9" t="s">
        <v>39</v>
      </c>
      <c r="F67" s="10" t="s">
        <v>16</v>
      </c>
      <c r="G67" s="10" t="s">
        <v>199</v>
      </c>
      <c r="H67" s="10"/>
      <c r="I67" s="10"/>
      <c r="J67" s="11"/>
      <c r="K67" s="11"/>
      <c r="L67" s="10" t="s">
        <v>200</v>
      </c>
      <c r="M67" s="10" t="s">
        <v>42</v>
      </c>
      <c r="N67" s="10" t="s">
        <v>84</v>
      </c>
      <c r="O67" s="10"/>
      <c r="P67" s="8"/>
      <c r="Q67" s="12"/>
    </row>
    <row r="68" spans="1:17" x14ac:dyDescent="0.2">
      <c r="A68">
        <f t="shared" ref="A68:A131" si="1">VALUE(B68)</f>
        <v>1606065</v>
      </c>
      <c r="B68" s="7" t="s">
        <v>201</v>
      </c>
      <c r="C68" s="8">
        <v>42535.967170370372</v>
      </c>
      <c r="D68" s="8">
        <v>42539</v>
      </c>
      <c r="E68" s="9" t="s">
        <v>39</v>
      </c>
      <c r="F68" s="10" t="s">
        <v>16</v>
      </c>
      <c r="G68" s="10" t="s">
        <v>202</v>
      </c>
      <c r="H68" s="10"/>
      <c r="I68" s="10"/>
      <c r="J68" s="11"/>
      <c r="K68" s="11"/>
      <c r="L68" s="10" t="s">
        <v>203</v>
      </c>
      <c r="M68" s="10" t="s">
        <v>204</v>
      </c>
      <c r="N68" s="10" t="s">
        <v>205</v>
      </c>
      <c r="O68" s="10"/>
      <c r="P68" s="8"/>
      <c r="Q68" s="12"/>
    </row>
    <row r="69" spans="1:17" x14ac:dyDescent="0.2">
      <c r="A69">
        <f t="shared" si="1"/>
        <v>1606066</v>
      </c>
      <c r="B69" s="7" t="s">
        <v>206</v>
      </c>
      <c r="C69" s="8">
        <v>42535.9692005787</v>
      </c>
      <c r="D69" s="8">
        <v>42551</v>
      </c>
      <c r="E69" s="9" t="s">
        <v>39</v>
      </c>
      <c r="F69" s="10" t="s">
        <v>16</v>
      </c>
      <c r="G69" s="10" t="s">
        <v>207</v>
      </c>
      <c r="H69" s="10"/>
      <c r="I69" s="10"/>
      <c r="J69" s="11"/>
      <c r="K69" s="11"/>
      <c r="L69" s="10" t="s">
        <v>208</v>
      </c>
      <c r="M69" s="10" t="s">
        <v>47</v>
      </c>
      <c r="N69" s="10" t="s">
        <v>209</v>
      </c>
      <c r="O69" s="10"/>
      <c r="P69" s="8"/>
      <c r="Q69" s="12"/>
    </row>
    <row r="70" spans="1:17" x14ac:dyDescent="0.2">
      <c r="A70">
        <f t="shared" si="1"/>
        <v>1606067</v>
      </c>
      <c r="B70" s="7" t="s">
        <v>210</v>
      </c>
      <c r="C70" s="8">
        <v>42535.970310532408</v>
      </c>
      <c r="D70" s="8">
        <v>42557</v>
      </c>
      <c r="E70" s="9" t="s">
        <v>39</v>
      </c>
      <c r="F70" s="10" t="s">
        <v>16</v>
      </c>
      <c r="G70" s="10" t="s">
        <v>202</v>
      </c>
      <c r="H70" s="10"/>
      <c r="I70" s="10"/>
      <c r="J70" s="11"/>
      <c r="K70" s="11"/>
      <c r="L70" s="10" t="s">
        <v>211</v>
      </c>
      <c r="M70" s="10" t="s">
        <v>47</v>
      </c>
      <c r="N70" s="10" t="s">
        <v>212</v>
      </c>
      <c r="O70" s="10"/>
      <c r="P70" s="8"/>
      <c r="Q70" s="12"/>
    </row>
    <row r="71" spans="1:17" x14ac:dyDescent="0.2">
      <c r="A71">
        <f t="shared" si="1"/>
        <v>1606068</v>
      </c>
      <c r="B71" s="7" t="s">
        <v>213</v>
      </c>
      <c r="C71" s="8">
        <v>42537.378637268521</v>
      </c>
      <c r="D71" s="8">
        <v>42551</v>
      </c>
      <c r="E71" s="9" t="s">
        <v>39</v>
      </c>
      <c r="F71" s="10" t="s">
        <v>16</v>
      </c>
      <c r="G71" s="10" t="s">
        <v>207</v>
      </c>
      <c r="H71" s="10" t="s">
        <v>214</v>
      </c>
      <c r="I71" s="10" t="s">
        <v>215</v>
      </c>
      <c r="J71" s="11">
        <v>859135033</v>
      </c>
      <c r="K71" s="11"/>
      <c r="L71" s="10" t="s">
        <v>216</v>
      </c>
      <c r="M71" s="10" t="s">
        <v>47</v>
      </c>
      <c r="N71" s="10" t="s">
        <v>51</v>
      </c>
      <c r="O71" s="10">
        <v>2008</v>
      </c>
      <c r="P71" s="8">
        <v>42551</v>
      </c>
      <c r="Q71" s="12" t="s">
        <v>217</v>
      </c>
    </row>
    <row r="72" spans="1:17" x14ac:dyDescent="0.2">
      <c r="A72">
        <f t="shared" si="1"/>
        <v>1606069</v>
      </c>
      <c r="B72" s="7" t="s">
        <v>218</v>
      </c>
      <c r="C72" s="8">
        <v>42537.726377430554</v>
      </c>
      <c r="D72" s="8">
        <v>42559</v>
      </c>
      <c r="E72" s="9" t="s">
        <v>39</v>
      </c>
      <c r="F72" s="10" t="s">
        <v>219</v>
      </c>
      <c r="G72" s="10" t="s">
        <v>220</v>
      </c>
      <c r="H72" s="10" t="s">
        <v>221</v>
      </c>
      <c r="I72" s="10" t="s">
        <v>222</v>
      </c>
      <c r="J72" s="11">
        <v>933588369</v>
      </c>
      <c r="K72" s="11"/>
      <c r="L72" s="10" t="s">
        <v>223</v>
      </c>
      <c r="M72" s="10" t="s">
        <v>47</v>
      </c>
      <c r="N72" s="10" t="s">
        <v>78</v>
      </c>
      <c r="O72" s="10" t="s">
        <v>44</v>
      </c>
      <c r="P72" s="8"/>
      <c r="Q72" s="12"/>
    </row>
    <row r="73" spans="1:17" x14ac:dyDescent="0.2">
      <c r="A73">
        <f t="shared" si="1"/>
        <v>1606070</v>
      </c>
      <c r="B73" s="7" t="s">
        <v>224</v>
      </c>
      <c r="C73" s="8">
        <v>42538.734275578703</v>
      </c>
      <c r="D73" s="8">
        <v>42553</v>
      </c>
      <c r="E73" s="9" t="s">
        <v>39</v>
      </c>
      <c r="F73" s="10" t="s">
        <v>16</v>
      </c>
      <c r="G73" s="10" t="s">
        <v>225</v>
      </c>
      <c r="H73" s="10" t="s">
        <v>226</v>
      </c>
      <c r="I73" s="10" t="s">
        <v>227</v>
      </c>
      <c r="J73" s="11">
        <v>899233109</v>
      </c>
      <c r="K73" s="11"/>
      <c r="L73" s="10" t="s">
        <v>228</v>
      </c>
      <c r="M73" s="10" t="s">
        <v>47</v>
      </c>
      <c r="N73" s="10" t="s">
        <v>121</v>
      </c>
      <c r="O73" s="10"/>
      <c r="P73" s="8">
        <v>42695</v>
      </c>
      <c r="Q73" s="12" t="s">
        <v>229</v>
      </c>
    </row>
    <row r="74" spans="1:17" x14ac:dyDescent="0.2">
      <c r="A74">
        <f t="shared" si="1"/>
        <v>1606071</v>
      </c>
      <c r="B74" s="7" t="s">
        <v>230</v>
      </c>
      <c r="C74" s="8">
        <v>42541.379087037036</v>
      </c>
      <c r="D74" s="8">
        <v>42553</v>
      </c>
      <c r="E74" s="9" t="s">
        <v>39</v>
      </c>
      <c r="F74" s="10" t="s">
        <v>16</v>
      </c>
      <c r="G74" s="10" t="s">
        <v>231</v>
      </c>
      <c r="H74" s="10" t="s">
        <v>232</v>
      </c>
      <c r="I74" s="10" t="s">
        <v>233</v>
      </c>
      <c r="J74" s="11">
        <v>863439789</v>
      </c>
      <c r="K74" s="11"/>
      <c r="L74" s="10" t="s">
        <v>234</v>
      </c>
      <c r="M74" s="10" t="s">
        <v>126</v>
      </c>
      <c r="N74" s="10" t="s">
        <v>235</v>
      </c>
      <c r="O74" s="10"/>
      <c r="P74" s="8">
        <v>42823</v>
      </c>
      <c r="Q74" s="12" t="s">
        <v>236</v>
      </c>
    </row>
    <row r="75" spans="1:17" x14ac:dyDescent="0.2">
      <c r="A75">
        <f t="shared" si="1"/>
        <v>1606072</v>
      </c>
      <c r="B75" s="7" t="s">
        <v>237</v>
      </c>
      <c r="C75" s="8">
        <v>42541.380339351854</v>
      </c>
      <c r="D75" s="8">
        <v>42553</v>
      </c>
      <c r="E75" s="9" t="s">
        <v>39</v>
      </c>
      <c r="F75" s="10" t="s">
        <v>16</v>
      </c>
      <c r="G75" s="10" t="s">
        <v>225</v>
      </c>
      <c r="H75" s="10" t="s">
        <v>238</v>
      </c>
      <c r="I75" s="10"/>
      <c r="J75" s="11">
        <v>860567839</v>
      </c>
      <c r="K75" s="11"/>
      <c r="L75" s="10" t="s">
        <v>239</v>
      </c>
      <c r="M75" s="10" t="s">
        <v>109</v>
      </c>
      <c r="N75" s="10" t="s">
        <v>240</v>
      </c>
      <c r="O75" s="10"/>
      <c r="P75" s="8"/>
      <c r="Q75" s="12"/>
    </row>
    <row r="76" spans="1:17" x14ac:dyDescent="0.2">
      <c r="A76">
        <f t="shared" si="1"/>
        <v>1606073</v>
      </c>
      <c r="B76" s="7" t="s">
        <v>241</v>
      </c>
      <c r="C76" s="8">
        <v>42541.712723263889</v>
      </c>
      <c r="D76" s="8">
        <v>42550</v>
      </c>
      <c r="E76" s="9" t="s">
        <v>39</v>
      </c>
      <c r="F76" s="10" t="s">
        <v>16</v>
      </c>
      <c r="G76" s="10" t="s">
        <v>207</v>
      </c>
      <c r="H76" s="10" t="s">
        <v>242</v>
      </c>
      <c r="I76" s="10" t="s">
        <v>243</v>
      </c>
      <c r="J76" s="11">
        <v>856636645</v>
      </c>
      <c r="K76" s="11"/>
      <c r="L76" s="10" t="s">
        <v>244</v>
      </c>
      <c r="M76" s="10" t="s">
        <v>58</v>
      </c>
      <c r="N76" s="10" t="s">
        <v>245</v>
      </c>
      <c r="O76" s="10"/>
      <c r="P76" s="8">
        <v>42611</v>
      </c>
      <c r="Q76" s="12" t="s">
        <v>246</v>
      </c>
    </row>
    <row r="77" spans="1:17" x14ac:dyDescent="0.2">
      <c r="A77">
        <f t="shared" si="1"/>
        <v>1606074</v>
      </c>
      <c r="B77" s="7" t="s">
        <v>247</v>
      </c>
      <c r="C77" s="8">
        <v>42541.714466087964</v>
      </c>
      <c r="D77" s="8">
        <v>42556</v>
      </c>
      <c r="E77" s="9" t="s">
        <v>39</v>
      </c>
      <c r="F77" s="10" t="s">
        <v>16</v>
      </c>
      <c r="G77" s="10" t="s">
        <v>207</v>
      </c>
      <c r="H77" s="10" t="s">
        <v>248</v>
      </c>
      <c r="I77" s="10"/>
      <c r="J77" s="11">
        <v>801239650</v>
      </c>
      <c r="K77" s="11">
        <v>631685496</v>
      </c>
      <c r="L77" s="10" t="s">
        <v>249</v>
      </c>
      <c r="M77" s="10" t="s">
        <v>250</v>
      </c>
      <c r="N77" s="10" t="s">
        <v>194</v>
      </c>
      <c r="O77" s="10"/>
      <c r="P77" s="8">
        <v>42531</v>
      </c>
      <c r="Q77" s="12" t="s">
        <v>251</v>
      </c>
    </row>
    <row r="78" spans="1:17" x14ac:dyDescent="0.2">
      <c r="A78">
        <f t="shared" si="1"/>
        <v>1606075</v>
      </c>
      <c r="B78" s="7" t="s">
        <v>252</v>
      </c>
      <c r="C78" s="8">
        <v>42541.716070023147</v>
      </c>
      <c r="D78" s="8">
        <v>42551</v>
      </c>
      <c r="E78" s="9" t="s">
        <v>39</v>
      </c>
      <c r="F78" s="10" t="s">
        <v>16</v>
      </c>
      <c r="G78" s="10" t="s">
        <v>231</v>
      </c>
      <c r="H78" s="10" t="s">
        <v>253</v>
      </c>
      <c r="I78" s="10" t="s">
        <v>254</v>
      </c>
      <c r="J78" s="11">
        <v>918182063</v>
      </c>
      <c r="K78" s="11"/>
      <c r="L78" s="10" t="s">
        <v>255</v>
      </c>
      <c r="M78" s="10" t="s">
        <v>47</v>
      </c>
      <c r="N78" s="10" t="s">
        <v>51</v>
      </c>
      <c r="O78" s="10"/>
      <c r="P78" s="8">
        <v>42498</v>
      </c>
      <c r="Q78" s="12" t="s">
        <v>256</v>
      </c>
    </row>
    <row r="79" spans="1:17" x14ac:dyDescent="0.2">
      <c r="A79">
        <f t="shared" si="1"/>
        <v>1606076</v>
      </c>
      <c r="B79" s="7" t="s">
        <v>257</v>
      </c>
      <c r="C79" s="8">
        <v>42541.720596412037</v>
      </c>
      <c r="D79" s="8">
        <v>42564</v>
      </c>
      <c r="E79" s="9" t="s">
        <v>39</v>
      </c>
      <c r="F79" s="10" t="s">
        <v>16</v>
      </c>
      <c r="G79" s="10" t="s">
        <v>207</v>
      </c>
      <c r="H79" s="10" t="s">
        <v>258</v>
      </c>
      <c r="I79" s="10"/>
      <c r="J79" s="11">
        <v>814435196</v>
      </c>
      <c r="K79" s="11"/>
      <c r="L79" s="10" t="s">
        <v>259</v>
      </c>
      <c r="M79" s="10" t="s">
        <v>47</v>
      </c>
      <c r="N79" s="10" t="s">
        <v>51</v>
      </c>
      <c r="O79" s="10">
        <v>2011</v>
      </c>
      <c r="P79" s="8">
        <v>42713</v>
      </c>
      <c r="Q79" s="12" t="s">
        <v>260</v>
      </c>
    </row>
    <row r="80" spans="1:17" x14ac:dyDescent="0.2">
      <c r="A80">
        <f t="shared" si="1"/>
        <v>1606077</v>
      </c>
      <c r="B80" s="7" t="s">
        <v>261</v>
      </c>
      <c r="C80" s="8">
        <v>42543.377801388888</v>
      </c>
      <c r="D80" s="8">
        <v>42558</v>
      </c>
      <c r="E80" s="9" t="s">
        <v>39</v>
      </c>
      <c r="F80" s="10" t="s">
        <v>16</v>
      </c>
      <c r="G80" s="10" t="s">
        <v>202</v>
      </c>
      <c r="H80" s="10" t="s">
        <v>262</v>
      </c>
      <c r="I80" s="10" t="s">
        <v>263</v>
      </c>
      <c r="J80" s="11">
        <v>814134662</v>
      </c>
      <c r="K80" s="11"/>
      <c r="L80" s="10" t="s">
        <v>264</v>
      </c>
      <c r="M80" s="10" t="s">
        <v>47</v>
      </c>
      <c r="N80" s="10" t="s">
        <v>106</v>
      </c>
      <c r="O80" s="10">
        <v>2013</v>
      </c>
      <c r="P80" s="8"/>
      <c r="Q80" s="12"/>
    </row>
    <row r="81" spans="1:17" x14ac:dyDescent="0.2">
      <c r="A81">
        <f t="shared" si="1"/>
        <v>1606078</v>
      </c>
      <c r="B81" s="7" t="s">
        <v>265</v>
      </c>
      <c r="C81" s="8">
        <v>42543.379339467596</v>
      </c>
      <c r="D81" s="8">
        <v>42549</v>
      </c>
      <c r="E81" s="9" t="s">
        <v>39</v>
      </c>
      <c r="F81" s="10" t="s">
        <v>16</v>
      </c>
      <c r="G81" s="10" t="s">
        <v>199</v>
      </c>
      <c r="H81" s="10" t="s">
        <v>266</v>
      </c>
      <c r="I81" s="10" t="s">
        <v>267</v>
      </c>
      <c r="J81" s="11">
        <v>839779926</v>
      </c>
      <c r="K81" s="11"/>
      <c r="L81" s="10" t="s">
        <v>268</v>
      </c>
      <c r="M81" s="10" t="s">
        <v>47</v>
      </c>
      <c r="N81" s="10" t="s">
        <v>48</v>
      </c>
      <c r="O81" s="10">
        <v>2010</v>
      </c>
      <c r="P81" s="8">
        <v>42781</v>
      </c>
      <c r="Q81" s="12" t="s">
        <v>229</v>
      </c>
    </row>
    <row r="82" spans="1:17" x14ac:dyDescent="0.2">
      <c r="A82">
        <f t="shared" si="1"/>
        <v>1606079</v>
      </c>
      <c r="B82" s="7" t="s">
        <v>269</v>
      </c>
      <c r="C82" s="8">
        <v>42543.381164004626</v>
      </c>
      <c r="D82" s="8">
        <v>42565</v>
      </c>
      <c r="E82" s="9" t="s">
        <v>39</v>
      </c>
      <c r="F82" s="10" t="s">
        <v>16</v>
      </c>
      <c r="G82" s="10" t="s">
        <v>225</v>
      </c>
      <c r="H82" s="10" t="s">
        <v>270</v>
      </c>
      <c r="I82" s="10" t="s">
        <v>271</v>
      </c>
      <c r="J82" s="11">
        <v>818501898</v>
      </c>
      <c r="K82" s="11"/>
      <c r="L82" s="10" t="s">
        <v>272</v>
      </c>
      <c r="M82" s="10" t="s">
        <v>58</v>
      </c>
      <c r="N82" s="10" t="s">
        <v>59</v>
      </c>
      <c r="O82" s="10">
        <v>2001</v>
      </c>
      <c r="P82" s="8">
        <v>42521</v>
      </c>
      <c r="Q82" s="12" t="s">
        <v>273</v>
      </c>
    </row>
    <row r="83" spans="1:17" x14ac:dyDescent="0.2">
      <c r="A83">
        <f t="shared" si="1"/>
        <v>1606080</v>
      </c>
      <c r="B83" s="7" t="s">
        <v>274</v>
      </c>
      <c r="C83" s="8">
        <v>42544.392234490741</v>
      </c>
      <c r="D83" s="8">
        <v>42551</v>
      </c>
      <c r="E83" s="9" t="s">
        <v>39</v>
      </c>
      <c r="F83" s="10" t="s">
        <v>16</v>
      </c>
      <c r="G83" s="10" t="s">
        <v>231</v>
      </c>
      <c r="H83" s="10" t="s">
        <v>275</v>
      </c>
      <c r="I83" s="10" t="s">
        <v>233</v>
      </c>
      <c r="J83" s="11">
        <v>988640712</v>
      </c>
      <c r="K83" s="11"/>
      <c r="L83" s="10" t="s">
        <v>276</v>
      </c>
      <c r="M83" s="10" t="s">
        <v>42</v>
      </c>
      <c r="N83" s="10" t="s">
        <v>43</v>
      </c>
      <c r="O83" s="10">
        <v>2009</v>
      </c>
      <c r="P83" s="8">
        <v>42764</v>
      </c>
      <c r="Q83" s="12" t="s">
        <v>277</v>
      </c>
    </row>
    <row r="84" spans="1:17" x14ac:dyDescent="0.2">
      <c r="A84">
        <f t="shared" si="1"/>
        <v>1606081</v>
      </c>
      <c r="B84" s="7" t="s">
        <v>278</v>
      </c>
      <c r="C84" s="8">
        <v>42544.864344907408</v>
      </c>
      <c r="D84" s="8">
        <v>42550</v>
      </c>
      <c r="E84" s="9" t="s">
        <v>39</v>
      </c>
      <c r="F84" s="10" t="s">
        <v>159</v>
      </c>
      <c r="G84" s="10" t="s">
        <v>40</v>
      </c>
      <c r="H84" s="10" t="s">
        <v>279</v>
      </c>
      <c r="I84" s="10" t="s">
        <v>280</v>
      </c>
      <c r="J84" s="11"/>
      <c r="K84" s="11"/>
      <c r="L84" s="10" t="s">
        <v>281</v>
      </c>
      <c r="M84" s="10" t="s">
        <v>282</v>
      </c>
      <c r="N84" s="10" t="s">
        <v>283</v>
      </c>
      <c r="O84" s="10"/>
      <c r="P84" s="8"/>
      <c r="Q84" s="12"/>
    </row>
    <row r="85" spans="1:17" x14ac:dyDescent="0.2">
      <c r="A85">
        <f t="shared" si="1"/>
        <v>1606082</v>
      </c>
      <c r="B85" s="7" t="s">
        <v>284</v>
      </c>
      <c r="C85" s="8">
        <v>42545.386104513891</v>
      </c>
      <c r="D85" s="8">
        <v>42564</v>
      </c>
      <c r="E85" s="9" t="s">
        <v>39</v>
      </c>
      <c r="F85" s="10" t="s">
        <v>16</v>
      </c>
      <c r="G85" s="10" t="s">
        <v>202</v>
      </c>
      <c r="H85" s="10" t="s">
        <v>285</v>
      </c>
      <c r="I85" s="10" t="s">
        <v>286</v>
      </c>
      <c r="J85" s="11">
        <v>816302955</v>
      </c>
      <c r="K85" s="11"/>
      <c r="L85" s="10" t="s">
        <v>287</v>
      </c>
      <c r="M85" s="10" t="s">
        <v>42</v>
      </c>
      <c r="N85" s="10" t="s">
        <v>84</v>
      </c>
      <c r="O85" s="10"/>
      <c r="P85" s="8">
        <v>42601</v>
      </c>
      <c r="Q85" s="12" t="s">
        <v>288</v>
      </c>
    </row>
    <row r="86" spans="1:17" x14ac:dyDescent="0.2">
      <c r="A86">
        <f t="shared" si="1"/>
        <v>1606083</v>
      </c>
      <c r="B86" s="7" t="s">
        <v>289</v>
      </c>
      <c r="C86" s="8">
        <v>42545.387949189811</v>
      </c>
      <c r="D86" s="8">
        <v>42553</v>
      </c>
      <c r="E86" s="9" t="s">
        <v>39</v>
      </c>
      <c r="F86" s="10" t="s">
        <v>16</v>
      </c>
      <c r="G86" s="10" t="s">
        <v>207</v>
      </c>
      <c r="H86" s="10" t="s">
        <v>290</v>
      </c>
      <c r="I86" s="10" t="s">
        <v>254</v>
      </c>
      <c r="J86" s="11">
        <v>892046601</v>
      </c>
      <c r="K86" s="11">
        <v>819887917</v>
      </c>
      <c r="L86" s="10" t="s">
        <v>291</v>
      </c>
      <c r="M86" s="10" t="s">
        <v>42</v>
      </c>
      <c r="N86" s="10" t="s">
        <v>84</v>
      </c>
      <c r="O86" s="10"/>
      <c r="P86" s="8">
        <v>42812</v>
      </c>
      <c r="Q86" s="12" t="s">
        <v>292</v>
      </c>
    </row>
    <row r="87" spans="1:17" x14ac:dyDescent="0.2">
      <c r="A87">
        <f t="shared" si="1"/>
        <v>1606084</v>
      </c>
      <c r="B87" s="7" t="s">
        <v>293</v>
      </c>
      <c r="C87" s="8">
        <v>42545.390923032406</v>
      </c>
      <c r="D87" s="8">
        <v>42553</v>
      </c>
      <c r="E87" s="9" t="s">
        <v>39</v>
      </c>
      <c r="F87" s="10" t="s">
        <v>16</v>
      </c>
      <c r="G87" s="10" t="s">
        <v>231</v>
      </c>
      <c r="H87" s="10" t="s">
        <v>294</v>
      </c>
      <c r="I87" s="10" t="s">
        <v>295</v>
      </c>
      <c r="J87" s="11">
        <v>917751798</v>
      </c>
      <c r="K87" s="11"/>
      <c r="L87" s="10" t="s">
        <v>296</v>
      </c>
      <c r="M87" s="10" t="s">
        <v>126</v>
      </c>
      <c r="N87" s="10" t="s">
        <v>297</v>
      </c>
      <c r="O87" s="10">
        <v>2012</v>
      </c>
      <c r="P87" s="8">
        <v>42548</v>
      </c>
      <c r="Q87" s="12" t="s">
        <v>256</v>
      </c>
    </row>
    <row r="88" spans="1:17" x14ac:dyDescent="0.2">
      <c r="A88">
        <f t="shared" si="1"/>
        <v>1606085</v>
      </c>
      <c r="B88" s="7" t="s">
        <v>298</v>
      </c>
      <c r="C88" s="8">
        <v>42545.393361111113</v>
      </c>
      <c r="D88" s="8">
        <v>42551</v>
      </c>
      <c r="E88" s="9" t="s">
        <v>39</v>
      </c>
      <c r="F88" s="10" t="s">
        <v>16</v>
      </c>
      <c r="G88" s="10" t="s">
        <v>207</v>
      </c>
      <c r="H88" s="10" t="s">
        <v>299</v>
      </c>
      <c r="I88" s="10"/>
      <c r="J88" s="11">
        <v>808126920</v>
      </c>
      <c r="K88" s="11"/>
      <c r="L88" s="10" t="s">
        <v>300</v>
      </c>
      <c r="M88" s="10" t="s">
        <v>47</v>
      </c>
      <c r="N88" s="10" t="s">
        <v>106</v>
      </c>
      <c r="O88" s="10"/>
      <c r="P88" s="8">
        <v>42797</v>
      </c>
      <c r="Q88" s="12" t="s">
        <v>301</v>
      </c>
    </row>
    <row r="89" spans="1:17" x14ac:dyDescent="0.2">
      <c r="A89">
        <f t="shared" si="1"/>
        <v>1606086</v>
      </c>
      <c r="B89" s="7" t="s">
        <v>302</v>
      </c>
      <c r="C89" s="8">
        <v>42545.395414930557</v>
      </c>
      <c r="D89" s="8">
        <v>42553</v>
      </c>
      <c r="E89" s="9" t="s">
        <v>39</v>
      </c>
      <c r="F89" s="10" t="s">
        <v>16</v>
      </c>
      <c r="G89" s="10" t="s">
        <v>303</v>
      </c>
      <c r="H89" s="10" t="s">
        <v>304</v>
      </c>
      <c r="I89" s="10" t="s">
        <v>305</v>
      </c>
      <c r="J89" s="11"/>
      <c r="K89" s="11"/>
      <c r="L89" s="10" t="s">
        <v>306</v>
      </c>
      <c r="M89" s="10" t="s">
        <v>47</v>
      </c>
      <c r="N89" s="10" t="s">
        <v>99</v>
      </c>
      <c r="O89" s="10"/>
      <c r="P89" s="8">
        <v>42766</v>
      </c>
      <c r="Q89" s="14">
        <v>2</v>
      </c>
    </row>
    <row r="90" spans="1:17" x14ac:dyDescent="0.2">
      <c r="A90">
        <f t="shared" si="1"/>
        <v>1606087</v>
      </c>
      <c r="B90" s="7" t="s">
        <v>307</v>
      </c>
      <c r="C90" s="8">
        <v>42546.914675462962</v>
      </c>
      <c r="D90" s="8">
        <v>42555</v>
      </c>
      <c r="E90" s="9" t="s">
        <v>39</v>
      </c>
      <c r="F90" s="10" t="s">
        <v>16</v>
      </c>
      <c r="G90" s="10" t="s">
        <v>207</v>
      </c>
      <c r="H90" s="10" t="s">
        <v>308</v>
      </c>
      <c r="I90" s="10"/>
      <c r="J90" s="11">
        <v>847066102</v>
      </c>
      <c r="K90" s="11"/>
      <c r="L90" s="10" t="s">
        <v>309</v>
      </c>
      <c r="M90" s="10" t="s">
        <v>47</v>
      </c>
      <c r="N90" s="10" t="s">
        <v>106</v>
      </c>
      <c r="O90" s="10">
        <v>2012</v>
      </c>
      <c r="P90" s="8">
        <v>42522</v>
      </c>
      <c r="Q90" s="12" t="s">
        <v>310</v>
      </c>
    </row>
    <row r="91" spans="1:17" x14ac:dyDescent="0.2">
      <c r="A91">
        <f t="shared" si="1"/>
        <v>1606088</v>
      </c>
      <c r="B91" s="7" t="s">
        <v>311</v>
      </c>
      <c r="C91" s="8">
        <v>42546.915860763889</v>
      </c>
      <c r="D91" s="8">
        <v>42566</v>
      </c>
      <c r="E91" s="9" t="s">
        <v>39</v>
      </c>
      <c r="F91" s="10" t="s">
        <v>16</v>
      </c>
      <c r="G91" s="10" t="s">
        <v>225</v>
      </c>
      <c r="H91" s="10" t="s">
        <v>312</v>
      </c>
      <c r="I91" s="10"/>
      <c r="J91" s="11">
        <v>875388342</v>
      </c>
      <c r="K91" s="11"/>
      <c r="L91" s="10" t="s">
        <v>313</v>
      </c>
      <c r="M91" s="10" t="s">
        <v>47</v>
      </c>
      <c r="N91" s="10" t="s">
        <v>106</v>
      </c>
      <c r="O91" s="10">
        <v>2006</v>
      </c>
      <c r="P91" s="8">
        <v>42597</v>
      </c>
      <c r="Q91" s="12" t="s">
        <v>288</v>
      </c>
    </row>
    <row r="92" spans="1:17" x14ac:dyDescent="0.2">
      <c r="A92">
        <f t="shared" si="1"/>
        <v>1606089</v>
      </c>
      <c r="B92" s="7" t="s">
        <v>314</v>
      </c>
      <c r="C92" s="8">
        <v>42546.917618055559</v>
      </c>
      <c r="D92" s="8">
        <v>42553</v>
      </c>
      <c r="E92" s="9" t="s">
        <v>39</v>
      </c>
      <c r="F92" s="10" t="s">
        <v>16</v>
      </c>
      <c r="G92" s="10" t="s">
        <v>303</v>
      </c>
      <c r="H92" s="10" t="s">
        <v>315</v>
      </c>
      <c r="I92" s="10"/>
      <c r="J92" s="11">
        <v>813168991</v>
      </c>
      <c r="K92" s="11">
        <v>870331392</v>
      </c>
      <c r="L92" s="10" t="s">
        <v>316</v>
      </c>
      <c r="M92" s="10" t="s">
        <v>47</v>
      </c>
      <c r="N92" s="10" t="s">
        <v>106</v>
      </c>
      <c r="O92" s="10"/>
      <c r="P92" s="8">
        <v>42603</v>
      </c>
      <c r="Q92" s="12" t="s">
        <v>317</v>
      </c>
    </row>
    <row r="93" spans="1:17" x14ac:dyDescent="0.2">
      <c r="A93">
        <f t="shared" si="1"/>
        <v>1606090</v>
      </c>
      <c r="B93" s="7" t="s">
        <v>318</v>
      </c>
      <c r="C93" s="8">
        <v>42546.919957060185</v>
      </c>
      <c r="D93" s="8">
        <v>42553</v>
      </c>
      <c r="E93" s="9" t="s">
        <v>39</v>
      </c>
      <c r="F93" s="10" t="s">
        <v>16</v>
      </c>
      <c r="G93" s="10" t="s">
        <v>207</v>
      </c>
      <c r="H93" s="10" t="s">
        <v>319</v>
      </c>
      <c r="I93" s="10"/>
      <c r="J93" s="11">
        <v>959275562</v>
      </c>
      <c r="K93" s="11"/>
      <c r="L93" s="10" t="s">
        <v>320</v>
      </c>
      <c r="M93" s="10" t="s">
        <v>54</v>
      </c>
      <c r="N93" s="10" t="s">
        <v>194</v>
      </c>
      <c r="O93" s="10">
        <v>2006</v>
      </c>
      <c r="P93" s="8"/>
      <c r="Q93" s="12"/>
    </row>
    <row r="94" spans="1:17" x14ac:dyDescent="0.2">
      <c r="A94">
        <f t="shared" si="1"/>
        <v>1606091</v>
      </c>
      <c r="B94" s="7" t="s">
        <v>321</v>
      </c>
      <c r="C94" s="8">
        <v>42548.883428703703</v>
      </c>
      <c r="D94" s="8">
        <v>42571</v>
      </c>
      <c r="E94" s="9" t="s">
        <v>39</v>
      </c>
      <c r="F94" s="10" t="s">
        <v>16</v>
      </c>
      <c r="G94" s="10" t="s">
        <v>196</v>
      </c>
      <c r="H94" s="10" t="s">
        <v>322</v>
      </c>
      <c r="I94" s="10" t="s">
        <v>305</v>
      </c>
      <c r="J94" s="11">
        <v>804439923</v>
      </c>
      <c r="K94" s="11"/>
      <c r="L94" s="10" t="s">
        <v>323</v>
      </c>
      <c r="M94" s="10" t="s">
        <v>87</v>
      </c>
      <c r="N94" s="10">
        <v>2</v>
      </c>
      <c r="O94" s="10">
        <v>2010</v>
      </c>
      <c r="P94" s="8"/>
      <c r="Q94" s="12" t="s">
        <v>324</v>
      </c>
    </row>
    <row r="95" spans="1:17" x14ac:dyDescent="0.2">
      <c r="A95">
        <f t="shared" si="1"/>
        <v>1606092</v>
      </c>
      <c r="B95" s="7" t="s">
        <v>325</v>
      </c>
      <c r="C95" s="8">
        <v>42548.891485532411</v>
      </c>
      <c r="D95" s="8">
        <v>42555</v>
      </c>
      <c r="E95" s="9" t="s">
        <v>39</v>
      </c>
      <c r="F95" s="10" t="s">
        <v>16</v>
      </c>
      <c r="G95" s="10" t="s">
        <v>202</v>
      </c>
      <c r="H95" s="10" t="s">
        <v>326</v>
      </c>
      <c r="I95" s="10" t="s">
        <v>263</v>
      </c>
      <c r="J95" s="11">
        <v>985659266</v>
      </c>
      <c r="K95" s="11"/>
      <c r="L95" s="10" t="s">
        <v>327</v>
      </c>
      <c r="M95" s="10" t="s">
        <v>47</v>
      </c>
      <c r="N95" s="10" t="s">
        <v>212</v>
      </c>
      <c r="O95" s="10">
        <v>2015</v>
      </c>
      <c r="P95" s="8">
        <v>42753</v>
      </c>
      <c r="Q95" s="12" t="s">
        <v>260</v>
      </c>
    </row>
    <row r="96" spans="1:17" x14ac:dyDescent="0.2">
      <c r="A96">
        <f t="shared" si="1"/>
        <v>1606093</v>
      </c>
      <c r="B96" s="7" t="s">
        <v>328</v>
      </c>
      <c r="C96" s="8">
        <v>42548.893532175927</v>
      </c>
      <c r="D96" s="8">
        <v>42564</v>
      </c>
      <c r="E96" s="9" t="s">
        <v>39</v>
      </c>
      <c r="F96" s="10" t="s">
        <v>16</v>
      </c>
      <c r="G96" s="10" t="s">
        <v>207</v>
      </c>
      <c r="H96" s="10" t="s">
        <v>329</v>
      </c>
      <c r="I96" s="10" t="s">
        <v>215</v>
      </c>
      <c r="J96" s="11">
        <v>834389977</v>
      </c>
      <c r="K96" s="11"/>
      <c r="L96" s="10" t="s">
        <v>330</v>
      </c>
      <c r="M96" s="10" t="s">
        <v>58</v>
      </c>
      <c r="N96" s="10" t="s">
        <v>59</v>
      </c>
      <c r="O96" s="10">
        <v>2005</v>
      </c>
      <c r="P96" s="8">
        <v>42514</v>
      </c>
      <c r="Q96" s="12" t="s">
        <v>331</v>
      </c>
    </row>
    <row r="97" spans="1:17" x14ac:dyDescent="0.2">
      <c r="A97">
        <f t="shared" si="1"/>
        <v>1606094</v>
      </c>
      <c r="B97" s="7" t="s">
        <v>332</v>
      </c>
      <c r="C97" s="8">
        <v>42548.895901157404</v>
      </c>
      <c r="D97" s="8">
        <v>42555</v>
      </c>
      <c r="E97" s="9" t="s">
        <v>39</v>
      </c>
      <c r="F97" s="10" t="s">
        <v>16</v>
      </c>
      <c r="G97" s="10" t="s">
        <v>202</v>
      </c>
      <c r="H97" s="10" t="s">
        <v>333</v>
      </c>
      <c r="I97" s="10"/>
      <c r="J97" s="11">
        <v>880076609</v>
      </c>
      <c r="K97" s="11"/>
      <c r="L97" s="10" t="s">
        <v>334</v>
      </c>
      <c r="M97" s="10" t="s">
        <v>250</v>
      </c>
      <c r="N97" s="10" t="s">
        <v>194</v>
      </c>
      <c r="O97" s="10">
        <v>2010</v>
      </c>
      <c r="P97" s="8">
        <v>42843</v>
      </c>
      <c r="Q97" s="12" t="s">
        <v>335</v>
      </c>
    </row>
    <row r="98" spans="1:17" x14ac:dyDescent="0.2">
      <c r="A98">
        <f t="shared" si="1"/>
        <v>1606095</v>
      </c>
      <c r="B98" s="7" t="s">
        <v>336</v>
      </c>
      <c r="C98" s="8">
        <v>42548.897263194442</v>
      </c>
      <c r="D98" s="8">
        <v>42564</v>
      </c>
      <c r="E98" s="9" t="s">
        <v>39</v>
      </c>
      <c r="F98" s="10" t="s">
        <v>16</v>
      </c>
      <c r="G98" s="10" t="s">
        <v>337</v>
      </c>
      <c r="H98" s="10" t="s">
        <v>338</v>
      </c>
      <c r="I98" s="10" t="s">
        <v>339</v>
      </c>
      <c r="J98" s="11">
        <v>894875169</v>
      </c>
      <c r="K98" s="11">
        <v>954751231</v>
      </c>
      <c r="L98" s="10" t="s">
        <v>340</v>
      </c>
      <c r="M98" s="10" t="s">
        <v>47</v>
      </c>
      <c r="N98" s="10" t="s">
        <v>106</v>
      </c>
      <c r="O98" s="10">
        <v>2011</v>
      </c>
      <c r="P98" s="8">
        <v>42811</v>
      </c>
      <c r="Q98" s="12" t="s">
        <v>341</v>
      </c>
    </row>
    <row r="99" spans="1:17" x14ac:dyDescent="0.2">
      <c r="A99">
        <f t="shared" si="1"/>
        <v>1606096</v>
      </c>
      <c r="B99" s="7" t="s">
        <v>342</v>
      </c>
      <c r="C99" s="8">
        <v>42548.899544907406</v>
      </c>
      <c r="D99" s="8"/>
      <c r="E99" s="9" t="s">
        <v>39</v>
      </c>
      <c r="F99" s="10" t="s">
        <v>16</v>
      </c>
      <c r="G99" s="10" t="s">
        <v>207</v>
      </c>
      <c r="H99" s="10" t="s">
        <v>343</v>
      </c>
      <c r="I99" s="10"/>
      <c r="J99" s="11">
        <v>952531983</v>
      </c>
      <c r="K99" s="11">
        <v>952495230</v>
      </c>
      <c r="L99" s="10" t="s">
        <v>344</v>
      </c>
      <c r="M99" s="10" t="s">
        <v>126</v>
      </c>
      <c r="N99" s="10" t="s">
        <v>345</v>
      </c>
      <c r="O99" s="10"/>
      <c r="P99" s="8">
        <v>42550</v>
      </c>
      <c r="Q99" s="12" t="s">
        <v>346</v>
      </c>
    </row>
    <row r="100" spans="1:17" x14ac:dyDescent="0.2">
      <c r="A100">
        <f t="shared" si="1"/>
        <v>1606097</v>
      </c>
      <c r="B100" s="7" t="s">
        <v>347</v>
      </c>
      <c r="C100" s="8">
        <v>42548.900406828703</v>
      </c>
      <c r="D100" s="8">
        <v>42560</v>
      </c>
      <c r="E100" s="9" t="s">
        <v>39</v>
      </c>
      <c r="F100" s="10" t="s">
        <v>16</v>
      </c>
      <c r="G100" s="10" t="s">
        <v>207</v>
      </c>
      <c r="H100" s="10" t="s">
        <v>348</v>
      </c>
      <c r="I100" s="10"/>
      <c r="J100" s="11">
        <v>851141638</v>
      </c>
      <c r="K100" s="11"/>
      <c r="L100" s="10" t="s">
        <v>349</v>
      </c>
      <c r="M100" s="10" t="s">
        <v>58</v>
      </c>
      <c r="N100" s="10" t="s">
        <v>59</v>
      </c>
      <c r="O100" s="10">
        <v>2011</v>
      </c>
      <c r="P100" s="8">
        <v>42690</v>
      </c>
      <c r="Q100" s="12" t="s">
        <v>350</v>
      </c>
    </row>
    <row r="101" spans="1:17" x14ac:dyDescent="0.2">
      <c r="A101">
        <f t="shared" si="1"/>
        <v>1606098</v>
      </c>
      <c r="B101" s="7" t="s">
        <v>351</v>
      </c>
      <c r="C101" s="8">
        <v>42549.390498379631</v>
      </c>
      <c r="D101" s="8"/>
      <c r="E101" s="9" t="s">
        <v>39</v>
      </c>
      <c r="F101" s="10" t="s">
        <v>16</v>
      </c>
      <c r="G101" s="10" t="s">
        <v>40</v>
      </c>
      <c r="H101" s="10"/>
      <c r="I101" s="10"/>
      <c r="J101" s="11"/>
      <c r="K101" s="11"/>
      <c r="L101" s="10" t="s">
        <v>352</v>
      </c>
      <c r="M101" s="10" t="s">
        <v>93</v>
      </c>
      <c r="N101" s="10" t="s">
        <v>155</v>
      </c>
      <c r="O101" s="10"/>
      <c r="P101" s="8"/>
      <c r="Q101" s="12"/>
    </row>
    <row r="102" spans="1:17" x14ac:dyDescent="0.2">
      <c r="A102">
        <f t="shared" si="1"/>
        <v>1606099</v>
      </c>
      <c r="B102" s="7" t="s">
        <v>353</v>
      </c>
      <c r="C102" s="8">
        <v>42549.39101550926</v>
      </c>
      <c r="D102" s="8"/>
      <c r="E102" s="9" t="s">
        <v>39</v>
      </c>
      <c r="F102" s="10" t="s">
        <v>16</v>
      </c>
      <c r="G102" s="10" t="s">
        <v>40</v>
      </c>
      <c r="H102" s="10"/>
      <c r="I102" s="10"/>
      <c r="J102" s="11"/>
      <c r="K102" s="11"/>
      <c r="L102" s="10" t="s">
        <v>354</v>
      </c>
      <c r="M102" s="10" t="s">
        <v>47</v>
      </c>
      <c r="N102" s="10" t="s">
        <v>48</v>
      </c>
      <c r="O102" s="10"/>
      <c r="P102" s="8"/>
      <c r="Q102" s="12"/>
    </row>
    <row r="103" spans="1:17" x14ac:dyDescent="0.2">
      <c r="A103">
        <f t="shared" si="1"/>
        <v>1606100</v>
      </c>
      <c r="B103" s="7" t="s">
        <v>355</v>
      </c>
      <c r="C103" s="8">
        <v>42549.391384374998</v>
      </c>
      <c r="D103" s="8"/>
      <c r="E103" s="9" t="s">
        <v>39</v>
      </c>
      <c r="F103" s="10" t="s">
        <v>16</v>
      </c>
      <c r="G103" s="10" t="s">
        <v>40</v>
      </c>
      <c r="H103" s="10"/>
      <c r="I103" s="10"/>
      <c r="J103" s="11"/>
      <c r="K103" s="11"/>
      <c r="L103" s="10" t="s">
        <v>356</v>
      </c>
      <c r="M103" s="10" t="s">
        <v>58</v>
      </c>
      <c r="N103" s="10" t="s">
        <v>59</v>
      </c>
      <c r="O103" s="10"/>
      <c r="P103" s="8"/>
      <c r="Q103" s="12"/>
    </row>
    <row r="104" spans="1:17" x14ac:dyDescent="0.2">
      <c r="A104">
        <f t="shared" si="1"/>
        <v>1606101</v>
      </c>
      <c r="B104" s="7" t="s">
        <v>357</v>
      </c>
      <c r="C104" s="8">
        <v>42549.391672685182</v>
      </c>
      <c r="D104" s="8"/>
      <c r="E104" s="9" t="s">
        <v>37</v>
      </c>
      <c r="F104" s="10" t="s">
        <v>16</v>
      </c>
      <c r="G104" s="10" t="s">
        <v>40</v>
      </c>
      <c r="H104" s="10"/>
      <c r="I104" s="10"/>
      <c r="J104" s="11"/>
      <c r="K104" s="11"/>
      <c r="L104" s="10" t="s">
        <v>358</v>
      </c>
      <c r="M104" s="10" t="s">
        <v>42</v>
      </c>
      <c r="N104" s="10" t="s">
        <v>43</v>
      </c>
      <c r="O104" s="10"/>
      <c r="P104" s="8"/>
      <c r="Q104" s="12"/>
    </row>
    <row r="105" spans="1:17" x14ac:dyDescent="0.2">
      <c r="A105">
        <f t="shared" si="1"/>
        <v>1606102</v>
      </c>
      <c r="B105" s="7" t="s">
        <v>359</v>
      </c>
      <c r="C105" s="8">
        <v>42550.461990856478</v>
      </c>
      <c r="D105" s="8">
        <v>42581</v>
      </c>
      <c r="E105" s="9" t="s">
        <v>39</v>
      </c>
      <c r="F105" s="10" t="s">
        <v>16</v>
      </c>
      <c r="G105" s="10" t="s">
        <v>207</v>
      </c>
      <c r="H105" s="10" t="s">
        <v>360</v>
      </c>
      <c r="I105" s="10"/>
      <c r="J105" s="11">
        <v>985526502</v>
      </c>
      <c r="K105" s="11"/>
      <c r="L105" s="10" t="s">
        <v>361</v>
      </c>
      <c r="M105" s="10" t="s">
        <v>54</v>
      </c>
      <c r="N105" s="10" t="s">
        <v>72</v>
      </c>
      <c r="O105" s="10">
        <v>2011</v>
      </c>
      <c r="P105" s="8">
        <v>42811</v>
      </c>
      <c r="Q105" s="12" t="s">
        <v>362</v>
      </c>
    </row>
    <row r="106" spans="1:17" x14ac:dyDescent="0.2">
      <c r="A106">
        <f t="shared" si="1"/>
        <v>1607001</v>
      </c>
      <c r="B106" s="7" t="s">
        <v>363</v>
      </c>
      <c r="C106" s="8">
        <v>42555.647637268521</v>
      </c>
      <c r="D106" s="8">
        <v>42558</v>
      </c>
      <c r="E106" s="9" t="s">
        <v>39</v>
      </c>
      <c r="F106" s="10" t="s">
        <v>16</v>
      </c>
      <c r="G106" s="10" t="s">
        <v>225</v>
      </c>
      <c r="H106" s="10" t="s">
        <v>364</v>
      </c>
      <c r="I106" s="10" t="s">
        <v>286</v>
      </c>
      <c r="J106" s="11">
        <v>896750111</v>
      </c>
      <c r="K106" s="11"/>
      <c r="L106" s="10" t="s">
        <v>365</v>
      </c>
      <c r="M106" s="10" t="s">
        <v>93</v>
      </c>
      <c r="N106" s="10" t="s">
        <v>155</v>
      </c>
      <c r="O106" s="10">
        <v>2013</v>
      </c>
      <c r="P106" s="8">
        <v>42445</v>
      </c>
      <c r="Q106" s="12" t="s">
        <v>366</v>
      </c>
    </row>
    <row r="107" spans="1:17" x14ac:dyDescent="0.2">
      <c r="A107">
        <f t="shared" si="1"/>
        <v>1607002</v>
      </c>
      <c r="B107" s="7" t="s">
        <v>367</v>
      </c>
      <c r="C107" s="8">
        <v>42555.650586805554</v>
      </c>
      <c r="D107" s="8"/>
      <c r="E107" s="9" t="s">
        <v>39</v>
      </c>
      <c r="F107" s="10" t="s">
        <v>159</v>
      </c>
      <c r="G107" s="10" t="s">
        <v>40</v>
      </c>
      <c r="H107" s="10" t="s">
        <v>368</v>
      </c>
      <c r="I107" s="10" t="s">
        <v>222</v>
      </c>
      <c r="J107" s="11">
        <v>944844746</v>
      </c>
      <c r="K107" s="11">
        <v>8409119369</v>
      </c>
      <c r="L107" s="10" t="s">
        <v>369</v>
      </c>
      <c r="M107" s="10" t="s">
        <v>47</v>
      </c>
      <c r="N107" s="10" t="s">
        <v>370</v>
      </c>
      <c r="O107" s="10"/>
      <c r="P107" s="8"/>
      <c r="Q107" s="12"/>
    </row>
    <row r="108" spans="1:17" x14ac:dyDescent="0.2">
      <c r="A108">
        <f t="shared" si="1"/>
        <v>1607003</v>
      </c>
      <c r="B108" s="7" t="s">
        <v>371</v>
      </c>
      <c r="C108" s="8">
        <v>42555.893712037039</v>
      </c>
      <c r="D108" s="8">
        <v>42577</v>
      </c>
      <c r="E108" s="9" t="s">
        <v>39</v>
      </c>
      <c r="F108" s="10" t="s">
        <v>16</v>
      </c>
      <c r="G108" s="10" t="s">
        <v>225</v>
      </c>
      <c r="H108" s="10" t="s">
        <v>372</v>
      </c>
      <c r="I108" s="10"/>
      <c r="J108" s="11">
        <v>818173764</v>
      </c>
      <c r="K108" s="11"/>
      <c r="L108" s="10" t="s">
        <v>373</v>
      </c>
      <c r="M108" s="10" t="s">
        <v>58</v>
      </c>
      <c r="N108" s="10" t="s">
        <v>59</v>
      </c>
      <c r="O108" s="10">
        <v>2012</v>
      </c>
      <c r="P108" s="8">
        <v>42785</v>
      </c>
      <c r="Q108" s="12" t="s">
        <v>374</v>
      </c>
    </row>
    <row r="109" spans="1:17" x14ac:dyDescent="0.2">
      <c r="A109">
        <f t="shared" si="1"/>
        <v>1607004</v>
      </c>
      <c r="B109" s="7" t="s">
        <v>375</v>
      </c>
      <c r="C109" s="8">
        <v>42555.895387847224</v>
      </c>
      <c r="D109" s="8">
        <v>42576</v>
      </c>
      <c r="E109" s="9" t="s">
        <v>39</v>
      </c>
      <c r="F109" s="10" t="s">
        <v>16</v>
      </c>
      <c r="G109" s="10" t="s">
        <v>225</v>
      </c>
      <c r="H109" s="10" t="s">
        <v>376</v>
      </c>
      <c r="I109" s="10"/>
      <c r="J109" s="11">
        <v>929694465</v>
      </c>
      <c r="K109" s="11"/>
      <c r="L109" s="10" t="s">
        <v>377</v>
      </c>
      <c r="M109" s="10" t="s">
        <v>42</v>
      </c>
      <c r="N109" s="10" t="s">
        <v>84</v>
      </c>
      <c r="O109" s="10">
        <v>2010</v>
      </c>
      <c r="P109" s="8">
        <v>42653</v>
      </c>
      <c r="Q109" s="12">
        <v>1</v>
      </c>
    </row>
    <row r="110" spans="1:17" x14ac:dyDescent="0.2">
      <c r="A110">
        <f t="shared" si="1"/>
        <v>1607005</v>
      </c>
      <c r="B110" s="7" t="s">
        <v>378</v>
      </c>
      <c r="C110" s="8">
        <v>42555.899067824073</v>
      </c>
      <c r="D110" s="8">
        <v>42576</v>
      </c>
      <c r="E110" s="9" t="s">
        <v>39</v>
      </c>
      <c r="F110" s="10" t="s">
        <v>16</v>
      </c>
      <c r="G110" s="10" t="s">
        <v>207</v>
      </c>
      <c r="H110" s="10" t="s">
        <v>379</v>
      </c>
      <c r="I110" s="10"/>
      <c r="J110" s="11">
        <v>926299903</v>
      </c>
      <c r="K110" s="11"/>
      <c r="L110" s="10" t="s">
        <v>380</v>
      </c>
      <c r="M110" s="10" t="s">
        <v>109</v>
      </c>
      <c r="N110" s="10" t="s">
        <v>381</v>
      </c>
      <c r="O110" s="10"/>
      <c r="P110" s="8">
        <v>42479</v>
      </c>
      <c r="Q110" s="12" t="s">
        <v>382</v>
      </c>
    </row>
    <row r="111" spans="1:17" x14ac:dyDescent="0.2">
      <c r="A111">
        <f t="shared" si="1"/>
        <v>1607006</v>
      </c>
      <c r="B111" s="7" t="s">
        <v>383</v>
      </c>
      <c r="C111" s="8">
        <v>42555.900298726854</v>
      </c>
      <c r="D111" s="8"/>
      <c r="E111" s="9" t="s">
        <v>39</v>
      </c>
      <c r="F111" s="10" t="s">
        <v>16</v>
      </c>
      <c r="G111" s="10" t="s">
        <v>207</v>
      </c>
      <c r="H111" s="10" t="s">
        <v>384</v>
      </c>
      <c r="I111" s="10" t="s">
        <v>286</v>
      </c>
      <c r="J111" s="11">
        <v>818324024</v>
      </c>
      <c r="K111" s="11">
        <v>843602697</v>
      </c>
      <c r="L111" s="10" t="s">
        <v>385</v>
      </c>
      <c r="M111" s="10" t="s">
        <v>87</v>
      </c>
      <c r="N111" s="10">
        <v>2</v>
      </c>
      <c r="O111" s="10">
        <v>2011</v>
      </c>
      <c r="P111" s="8" t="s">
        <v>44</v>
      </c>
      <c r="Q111" s="12" t="s">
        <v>44</v>
      </c>
    </row>
    <row r="112" spans="1:17" x14ac:dyDescent="0.2">
      <c r="A112">
        <f t="shared" si="1"/>
        <v>1607007</v>
      </c>
      <c r="B112" s="7" t="s">
        <v>386</v>
      </c>
      <c r="C112" s="8">
        <v>42555.902361805558</v>
      </c>
      <c r="D112" s="8"/>
      <c r="E112" s="9" t="s">
        <v>39</v>
      </c>
      <c r="F112" s="10" t="s">
        <v>16</v>
      </c>
      <c r="G112" s="10" t="s">
        <v>337</v>
      </c>
      <c r="H112" s="10" t="s">
        <v>387</v>
      </c>
      <c r="I112" s="10"/>
      <c r="J112" s="11">
        <v>983051168</v>
      </c>
      <c r="K112" s="11"/>
      <c r="L112" s="10" t="s">
        <v>388</v>
      </c>
      <c r="M112" s="10" t="s">
        <v>58</v>
      </c>
      <c r="N112" s="10" t="s">
        <v>59</v>
      </c>
      <c r="O112" s="10">
        <v>2015</v>
      </c>
      <c r="P112" s="8">
        <v>42793</v>
      </c>
      <c r="Q112" s="12" t="s">
        <v>389</v>
      </c>
    </row>
    <row r="113" spans="1:17" x14ac:dyDescent="0.2">
      <c r="A113">
        <f t="shared" si="1"/>
        <v>1607008</v>
      </c>
      <c r="B113" s="7" t="s">
        <v>390</v>
      </c>
      <c r="C113" s="8">
        <v>42560.725271296295</v>
      </c>
      <c r="D113" s="8">
        <v>42565</v>
      </c>
      <c r="E113" s="9" t="s">
        <v>39</v>
      </c>
      <c r="F113" s="10" t="s">
        <v>16</v>
      </c>
      <c r="G113" s="10" t="s">
        <v>231</v>
      </c>
      <c r="H113" s="10" t="s">
        <v>391</v>
      </c>
      <c r="I113" s="10" t="s">
        <v>243</v>
      </c>
      <c r="J113" s="11">
        <v>924939974</v>
      </c>
      <c r="K113" s="11"/>
      <c r="L113" s="10" t="s">
        <v>392</v>
      </c>
      <c r="M113" s="10" t="s">
        <v>58</v>
      </c>
      <c r="N113" s="10" t="s">
        <v>59</v>
      </c>
      <c r="O113" s="10">
        <v>2011</v>
      </c>
      <c r="P113" s="8">
        <v>42657</v>
      </c>
      <c r="Q113" s="12" t="s">
        <v>335</v>
      </c>
    </row>
    <row r="114" spans="1:17" x14ac:dyDescent="0.2">
      <c r="A114">
        <f t="shared" si="1"/>
        <v>1607009</v>
      </c>
      <c r="B114" s="7" t="s">
        <v>393</v>
      </c>
      <c r="C114" s="8">
        <v>42560.727594212964</v>
      </c>
      <c r="D114" s="8">
        <v>42565</v>
      </c>
      <c r="E114" s="9" t="s">
        <v>39</v>
      </c>
      <c r="F114" s="10" t="s">
        <v>16</v>
      </c>
      <c r="G114" s="10" t="s">
        <v>40</v>
      </c>
      <c r="H114" s="10" t="s">
        <v>394</v>
      </c>
      <c r="I114" s="10" t="s">
        <v>233</v>
      </c>
      <c r="J114" s="11">
        <v>971489581</v>
      </c>
      <c r="K114" s="11"/>
      <c r="L114" s="10" t="s">
        <v>395</v>
      </c>
      <c r="M114" s="10" t="s">
        <v>87</v>
      </c>
      <c r="N114" s="10">
        <v>3</v>
      </c>
      <c r="O114" s="10">
        <v>2008</v>
      </c>
      <c r="P114" s="8"/>
      <c r="Q114" s="12"/>
    </row>
    <row r="115" spans="1:17" x14ac:dyDescent="0.2">
      <c r="A115">
        <f t="shared" si="1"/>
        <v>1607010</v>
      </c>
      <c r="B115" s="7" t="s">
        <v>396</v>
      </c>
      <c r="C115" s="8">
        <v>42562.490332291665</v>
      </c>
      <c r="D115" s="8">
        <v>42566</v>
      </c>
      <c r="E115" s="9" t="s">
        <v>39</v>
      </c>
      <c r="F115" s="10" t="s">
        <v>16</v>
      </c>
      <c r="G115" s="10" t="s">
        <v>337</v>
      </c>
      <c r="H115" s="10" t="s">
        <v>397</v>
      </c>
      <c r="I115" s="10" t="s">
        <v>263</v>
      </c>
      <c r="J115" s="11" t="s">
        <v>398</v>
      </c>
      <c r="K115" s="11"/>
      <c r="L115" s="10" t="s">
        <v>399</v>
      </c>
      <c r="M115" s="10" t="s">
        <v>109</v>
      </c>
      <c r="N115" s="10" t="s">
        <v>400</v>
      </c>
      <c r="O115" s="10">
        <v>2014</v>
      </c>
      <c r="P115" s="8">
        <v>42635</v>
      </c>
      <c r="Q115" s="12" t="s">
        <v>401</v>
      </c>
    </row>
    <row r="116" spans="1:17" x14ac:dyDescent="0.2">
      <c r="A116">
        <f t="shared" si="1"/>
        <v>1607011</v>
      </c>
      <c r="B116" s="7" t="s">
        <v>402</v>
      </c>
      <c r="C116" s="8">
        <v>42562.494744444448</v>
      </c>
      <c r="D116" s="8">
        <v>42567</v>
      </c>
      <c r="E116" s="9" t="s">
        <v>39</v>
      </c>
      <c r="F116" s="10" t="s">
        <v>16</v>
      </c>
      <c r="G116" s="10" t="s">
        <v>225</v>
      </c>
      <c r="H116" s="10" t="s">
        <v>403</v>
      </c>
      <c r="I116" s="10" t="s">
        <v>233</v>
      </c>
      <c r="J116" s="11">
        <v>841136424</v>
      </c>
      <c r="K116" s="11"/>
      <c r="L116" s="10" t="s">
        <v>404</v>
      </c>
      <c r="M116" s="10" t="s">
        <v>54</v>
      </c>
      <c r="N116" s="10" t="s">
        <v>134</v>
      </c>
      <c r="O116" s="10">
        <v>2011</v>
      </c>
      <c r="P116" s="8">
        <v>42810</v>
      </c>
      <c r="Q116" s="12" t="s">
        <v>405</v>
      </c>
    </row>
    <row r="117" spans="1:17" x14ac:dyDescent="0.2">
      <c r="A117">
        <f t="shared" si="1"/>
        <v>1607012</v>
      </c>
      <c r="B117" s="7" t="s">
        <v>406</v>
      </c>
      <c r="C117" s="8">
        <v>42562.503609143518</v>
      </c>
      <c r="D117" s="8"/>
      <c r="E117" s="9" t="s">
        <v>39</v>
      </c>
      <c r="F117" s="10" t="s">
        <v>16</v>
      </c>
      <c r="G117" s="10" t="s">
        <v>207</v>
      </c>
      <c r="H117" s="10" t="s">
        <v>407</v>
      </c>
      <c r="I117" s="10" t="s">
        <v>408</v>
      </c>
      <c r="J117" s="11">
        <v>937523204</v>
      </c>
      <c r="K117" s="11"/>
      <c r="L117" s="10" t="s">
        <v>409</v>
      </c>
      <c r="M117" s="10" t="s">
        <v>126</v>
      </c>
      <c r="N117" s="10" t="s">
        <v>410</v>
      </c>
      <c r="O117" s="10"/>
      <c r="P117" s="8"/>
      <c r="Q117" s="12"/>
    </row>
    <row r="118" spans="1:17" x14ac:dyDescent="0.2">
      <c r="A118">
        <f t="shared" si="1"/>
        <v>1607013</v>
      </c>
      <c r="B118" s="7" t="s">
        <v>411</v>
      </c>
      <c r="C118" s="8">
        <v>42562.591731250002</v>
      </c>
      <c r="D118" s="8">
        <v>42569</v>
      </c>
      <c r="E118" s="9" t="s">
        <v>39</v>
      </c>
      <c r="F118" s="10" t="s">
        <v>16</v>
      </c>
      <c r="G118" s="10" t="s">
        <v>202</v>
      </c>
      <c r="H118" s="10" t="s">
        <v>412</v>
      </c>
      <c r="I118" s="10" t="s">
        <v>286</v>
      </c>
      <c r="J118" s="11">
        <v>870003083</v>
      </c>
      <c r="K118" s="11"/>
      <c r="L118" s="10" t="s">
        <v>413</v>
      </c>
      <c r="M118" s="10" t="s">
        <v>58</v>
      </c>
      <c r="N118" s="10" t="s">
        <v>414</v>
      </c>
      <c r="O118" s="10">
        <v>2006</v>
      </c>
      <c r="P118" s="8">
        <v>42389</v>
      </c>
      <c r="Q118" s="12" t="s">
        <v>415</v>
      </c>
    </row>
    <row r="119" spans="1:17" x14ac:dyDescent="0.2">
      <c r="A119">
        <f t="shared" si="1"/>
        <v>1607014</v>
      </c>
      <c r="B119" s="7" t="s">
        <v>416</v>
      </c>
      <c r="C119" s="8">
        <v>42566.730873842593</v>
      </c>
      <c r="D119" s="8">
        <v>42588</v>
      </c>
      <c r="E119" s="9">
        <v>-39.862461689815973</v>
      </c>
      <c r="F119" s="10" t="s">
        <v>16</v>
      </c>
      <c r="G119" s="10" t="s">
        <v>40</v>
      </c>
      <c r="H119" s="10" t="s">
        <v>417</v>
      </c>
      <c r="I119" s="10" t="s">
        <v>233</v>
      </c>
      <c r="J119" s="11">
        <v>831116551</v>
      </c>
      <c r="K119" s="11">
        <v>869965548</v>
      </c>
      <c r="L119" s="10" t="s">
        <v>418</v>
      </c>
      <c r="M119" s="10" t="s">
        <v>47</v>
      </c>
      <c r="N119" s="10" t="s">
        <v>209</v>
      </c>
      <c r="O119" s="10">
        <v>2005</v>
      </c>
      <c r="P119" s="8">
        <v>42721</v>
      </c>
      <c r="Q119" s="12" t="s">
        <v>419</v>
      </c>
    </row>
    <row r="120" spans="1:17" x14ac:dyDescent="0.2">
      <c r="A120">
        <f t="shared" si="1"/>
        <v>1607015</v>
      </c>
      <c r="B120" s="7" t="s">
        <v>420</v>
      </c>
      <c r="C120" s="8">
        <v>42567.362733564813</v>
      </c>
      <c r="D120" s="8">
        <v>42593</v>
      </c>
      <c r="E120" s="9" t="s">
        <v>39</v>
      </c>
      <c r="F120" s="10" t="s">
        <v>16</v>
      </c>
      <c r="G120" s="10" t="s">
        <v>196</v>
      </c>
      <c r="H120" s="10" t="s">
        <v>421</v>
      </c>
      <c r="I120" s="10" t="s">
        <v>422</v>
      </c>
      <c r="J120" s="11">
        <v>829933808</v>
      </c>
      <c r="K120" s="11"/>
      <c r="L120" s="10" t="s">
        <v>423</v>
      </c>
      <c r="M120" s="10" t="s">
        <v>54</v>
      </c>
      <c r="N120" s="10" t="s">
        <v>134</v>
      </c>
      <c r="O120" s="10">
        <v>2012</v>
      </c>
      <c r="P120" s="8">
        <v>42589</v>
      </c>
      <c r="Q120" s="12" t="s">
        <v>256</v>
      </c>
    </row>
    <row r="121" spans="1:17" x14ac:dyDescent="0.2">
      <c r="A121">
        <f t="shared" si="1"/>
        <v>1607016</v>
      </c>
      <c r="B121" s="7" t="s">
        <v>424</v>
      </c>
      <c r="C121" s="8">
        <v>42567.373429861109</v>
      </c>
      <c r="D121" s="8">
        <v>42570</v>
      </c>
      <c r="E121" s="9" t="s">
        <v>39</v>
      </c>
      <c r="F121" s="10" t="s">
        <v>16</v>
      </c>
      <c r="G121" s="10" t="s">
        <v>225</v>
      </c>
      <c r="H121" s="10" t="s">
        <v>425</v>
      </c>
      <c r="I121" s="10" t="s">
        <v>339</v>
      </c>
      <c r="J121" s="11">
        <v>957491103</v>
      </c>
      <c r="K121" s="11"/>
      <c r="L121" s="10" t="s">
        <v>426</v>
      </c>
      <c r="M121" s="10" t="s">
        <v>126</v>
      </c>
      <c r="N121" s="10" t="s">
        <v>235</v>
      </c>
      <c r="O121" s="10">
        <v>2011</v>
      </c>
      <c r="P121" s="8">
        <v>42436</v>
      </c>
      <c r="Q121" s="12" t="s">
        <v>256</v>
      </c>
    </row>
    <row r="122" spans="1:17" x14ac:dyDescent="0.2">
      <c r="A122">
        <f t="shared" si="1"/>
        <v>1607017</v>
      </c>
      <c r="B122" s="7" t="s">
        <v>427</v>
      </c>
      <c r="C122" s="8">
        <v>42567.472805324076</v>
      </c>
      <c r="D122" s="8">
        <v>42581</v>
      </c>
      <c r="E122" s="9" t="s">
        <v>39</v>
      </c>
      <c r="F122" s="10" t="s">
        <v>16</v>
      </c>
      <c r="G122" s="10" t="s">
        <v>225</v>
      </c>
      <c r="H122" s="10" t="s">
        <v>428</v>
      </c>
      <c r="I122" s="10" t="s">
        <v>429</v>
      </c>
      <c r="J122" s="11">
        <v>816666047</v>
      </c>
      <c r="K122" s="11"/>
      <c r="L122" s="10" t="s">
        <v>430</v>
      </c>
      <c r="M122" s="10" t="s">
        <v>42</v>
      </c>
      <c r="N122" s="10" t="s">
        <v>43</v>
      </c>
      <c r="O122" s="10">
        <v>2008</v>
      </c>
      <c r="P122" s="8">
        <v>42692</v>
      </c>
      <c r="Q122" s="12" t="s">
        <v>288</v>
      </c>
    </row>
    <row r="123" spans="1:17" x14ac:dyDescent="0.2">
      <c r="A123">
        <f t="shared" si="1"/>
        <v>1607018</v>
      </c>
      <c r="B123" s="7" t="s">
        <v>431</v>
      </c>
      <c r="C123" s="8">
        <v>42569.59233472222</v>
      </c>
      <c r="D123" s="8">
        <v>42573</v>
      </c>
      <c r="E123" s="9" t="s">
        <v>39</v>
      </c>
      <c r="F123" s="10" t="s">
        <v>16</v>
      </c>
      <c r="G123" s="10" t="s">
        <v>207</v>
      </c>
      <c r="H123" s="10" t="s">
        <v>432</v>
      </c>
      <c r="I123" s="10" t="s">
        <v>433</v>
      </c>
      <c r="J123" s="11">
        <v>871051315</v>
      </c>
      <c r="K123" s="11">
        <v>631782721</v>
      </c>
      <c r="L123" s="10" t="s">
        <v>434</v>
      </c>
      <c r="M123" s="10" t="s">
        <v>58</v>
      </c>
      <c r="N123" s="10" t="s">
        <v>435</v>
      </c>
      <c r="O123" s="10">
        <v>2013</v>
      </c>
      <c r="P123" s="8">
        <v>42763</v>
      </c>
      <c r="Q123" s="12" t="s">
        <v>436</v>
      </c>
    </row>
    <row r="124" spans="1:17" x14ac:dyDescent="0.2">
      <c r="A124">
        <f t="shared" si="1"/>
        <v>1607019</v>
      </c>
      <c r="B124" s="7" t="s">
        <v>437</v>
      </c>
      <c r="C124" s="8">
        <v>42569.597585995369</v>
      </c>
      <c r="D124" s="8">
        <v>42576</v>
      </c>
      <c r="E124" s="9" t="s">
        <v>39</v>
      </c>
      <c r="F124" s="10" t="s">
        <v>219</v>
      </c>
      <c r="G124" s="10" t="s">
        <v>207</v>
      </c>
      <c r="H124" s="10" t="s">
        <v>438</v>
      </c>
      <c r="I124" s="10" t="s">
        <v>439</v>
      </c>
      <c r="J124" s="11">
        <v>894984186</v>
      </c>
      <c r="K124" s="11"/>
      <c r="L124" s="10" t="s">
        <v>440</v>
      </c>
      <c r="M124" s="10" t="s">
        <v>47</v>
      </c>
      <c r="N124" s="10" t="s">
        <v>48</v>
      </c>
      <c r="O124" s="10">
        <v>2003</v>
      </c>
      <c r="P124" s="8">
        <v>42551</v>
      </c>
      <c r="Q124" s="12" t="s">
        <v>317</v>
      </c>
    </row>
    <row r="125" spans="1:17" x14ac:dyDescent="0.2">
      <c r="A125">
        <f t="shared" si="1"/>
        <v>1607020</v>
      </c>
      <c r="B125" s="7" t="s">
        <v>441</v>
      </c>
      <c r="C125" s="8">
        <v>42569.617412847219</v>
      </c>
      <c r="D125" s="8">
        <v>42592</v>
      </c>
      <c r="E125" s="9" t="s">
        <v>39</v>
      </c>
      <c r="F125" s="10" t="s">
        <v>16</v>
      </c>
      <c r="G125" s="10" t="s">
        <v>202</v>
      </c>
      <c r="H125" s="10" t="s">
        <v>442</v>
      </c>
      <c r="I125" s="10" t="s">
        <v>254</v>
      </c>
      <c r="J125" s="11">
        <v>894893380</v>
      </c>
      <c r="K125" s="11"/>
      <c r="L125" s="10" t="s">
        <v>443</v>
      </c>
      <c r="M125" s="10" t="s">
        <v>47</v>
      </c>
      <c r="N125" s="10" t="s">
        <v>106</v>
      </c>
      <c r="O125" s="10">
        <v>2010</v>
      </c>
      <c r="P125" s="8">
        <v>42771</v>
      </c>
      <c r="Q125" s="12" t="s">
        <v>260</v>
      </c>
    </row>
    <row r="126" spans="1:17" x14ac:dyDescent="0.2">
      <c r="A126">
        <f t="shared" si="1"/>
        <v>1607021</v>
      </c>
      <c r="B126" s="7" t="s">
        <v>444</v>
      </c>
      <c r="C126" s="8">
        <v>42569.624697800929</v>
      </c>
      <c r="D126" s="8">
        <v>42574</v>
      </c>
      <c r="E126" s="9" t="s">
        <v>39</v>
      </c>
      <c r="F126" s="10" t="s">
        <v>16</v>
      </c>
      <c r="G126" s="10" t="s">
        <v>207</v>
      </c>
      <c r="H126" s="10" t="s">
        <v>445</v>
      </c>
      <c r="I126" s="10" t="s">
        <v>286</v>
      </c>
      <c r="J126" s="11">
        <v>805960499</v>
      </c>
      <c r="K126" s="11"/>
      <c r="L126" s="10" t="s">
        <v>446</v>
      </c>
      <c r="M126" s="10" t="s">
        <v>126</v>
      </c>
      <c r="N126" s="10" t="s">
        <v>297</v>
      </c>
      <c r="O126" s="10">
        <v>2012</v>
      </c>
      <c r="P126" s="8">
        <v>42835</v>
      </c>
      <c r="Q126" s="12" t="s">
        <v>217</v>
      </c>
    </row>
    <row r="127" spans="1:17" x14ac:dyDescent="0.2">
      <c r="A127">
        <f t="shared" si="1"/>
        <v>1607022</v>
      </c>
      <c r="B127" s="7" t="s">
        <v>447</v>
      </c>
      <c r="C127" s="8">
        <v>42569.647765856484</v>
      </c>
      <c r="D127" s="8">
        <v>42588</v>
      </c>
      <c r="E127" s="9" t="s">
        <v>39</v>
      </c>
      <c r="F127" s="10" t="s">
        <v>16</v>
      </c>
      <c r="G127" s="10" t="s">
        <v>207</v>
      </c>
      <c r="H127" s="10" t="s">
        <v>448</v>
      </c>
      <c r="I127" s="10" t="s">
        <v>233</v>
      </c>
      <c r="J127" s="11">
        <v>974583616</v>
      </c>
      <c r="K127" s="11"/>
      <c r="L127" s="10" t="s">
        <v>449</v>
      </c>
      <c r="M127" s="10" t="s">
        <v>58</v>
      </c>
      <c r="N127" s="10" t="s">
        <v>414</v>
      </c>
      <c r="O127" s="10">
        <v>2006</v>
      </c>
      <c r="P127" s="8">
        <v>42565</v>
      </c>
      <c r="Q127" s="12"/>
    </row>
    <row r="128" spans="1:17" x14ac:dyDescent="0.2">
      <c r="A128">
        <f t="shared" si="1"/>
        <v>1607023</v>
      </c>
      <c r="B128" s="7" t="s">
        <v>450</v>
      </c>
      <c r="C128" s="8">
        <v>42569.655297453704</v>
      </c>
      <c r="D128" s="8">
        <v>42573</v>
      </c>
      <c r="E128" s="9" t="s">
        <v>39</v>
      </c>
      <c r="F128" s="10" t="s">
        <v>16</v>
      </c>
      <c r="G128" s="10" t="s">
        <v>225</v>
      </c>
      <c r="H128" s="10" t="s">
        <v>451</v>
      </c>
      <c r="I128" s="10" t="s">
        <v>452</v>
      </c>
      <c r="J128" s="11">
        <v>813734326</v>
      </c>
      <c r="K128" s="11">
        <v>891516514</v>
      </c>
      <c r="L128" s="10" t="s">
        <v>453</v>
      </c>
      <c r="M128" s="10" t="s">
        <v>47</v>
      </c>
      <c r="N128" s="10" t="s">
        <v>209</v>
      </c>
      <c r="O128" s="10">
        <v>2009</v>
      </c>
      <c r="P128" s="8">
        <v>42642</v>
      </c>
      <c r="Q128" s="12" t="s">
        <v>454</v>
      </c>
    </row>
    <row r="129" spans="1:17" x14ac:dyDescent="0.2">
      <c r="A129">
        <f t="shared" si="1"/>
        <v>1607024</v>
      </c>
      <c r="B129" s="7" t="s">
        <v>455</v>
      </c>
      <c r="C129" s="8">
        <v>42572.357642013892</v>
      </c>
      <c r="D129" s="8">
        <v>42576</v>
      </c>
      <c r="E129" s="9" t="s">
        <v>39</v>
      </c>
      <c r="F129" s="10" t="s">
        <v>16</v>
      </c>
      <c r="G129" s="10" t="s">
        <v>231</v>
      </c>
      <c r="H129" s="10" t="s">
        <v>456</v>
      </c>
      <c r="I129" s="10" t="s">
        <v>457</v>
      </c>
      <c r="J129" s="11">
        <v>817115919</v>
      </c>
      <c r="K129" s="11"/>
      <c r="L129" s="10" t="s">
        <v>458</v>
      </c>
      <c r="M129" s="10" t="s">
        <v>42</v>
      </c>
      <c r="N129" s="10" t="s">
        <v>43</v>
      </c>
      <c r="O129" s="10">
        <v>2011</v>
      </c>
      <c r="P129" s="8">
        <v>42333</v>
      </c>
      <c r="Q129" s="12"/>
    </row>
    <row r="130" spans="1:17" x14ac:dyDescent="0.2">
      <c r="A130">
        <f t="shared" si="1"/>
        <v>1607025</v>
      </c>
      <c r="B130" s="7" t="s">
        <v>459</v>
      </c>
      <c r="C130" s="8">
        <v>42572.598746412034</v>
      </c>
      <c r="D130" s="8">
        <v>42580</v>
      </c>
      <c r="E130" s="9" t="s">
        <v>39</v>
      </c>
      <c r="F130" s="10" t="s">
        <v>16</v>
      </c>
      <c r="G130" s="10" t="s">
        <v>225</v>
      </c>
      <c r="H130" s="10" t="s">
        <v>460</v>
      </c>
      <c r="I130" s="10" t="s">
        <v>286</v>
      </c>
      <c r="J130" s="11">
        <v>863132031</v>
      </c>
      <c r="K130" s="11" t="s">
        <v>461</v>
      </c>
      <c r="L130" s="10" t="s">
        <v>462</v>
      </c>
      <c r="M130" s="10" t="s">
        <v>47</v>
      </c>
      <c r="N130" s="10" t="s">
        <v>106</v>
      </c>
      <c r="O130" s="10">
        <v>2012</v>
      </c>
      <c r="P130" s="8">
        <v>42694</v>
      </c>
      <c r="Q130" s="12" t="s">
        <v>374</v>
      </c>
    </row>
    <row r="131" spans="1:17" x14ac:dyDescent="0.2">
      <c r="A131">
        <f t="shared" si="1"/>
        <v>1607026</v>
      </c>
      <c r="B131" s="7" t="s">
        <v>463</v>
      </c>
      <c r="C131" s="8">
        <v>42573.449826851851</v>
      </c>
      <c r="D131" s="8">
        <v>42581</v>
      </c>
      <c r="E131" s="9" t="s">
        <v>39</v>
      </c>
      <c r="F131" s="10" t="s">
        <v>16</v>
      </c>
      <c r="G131" s="10" t="s">
        <v>207</v>
      </c>
      <c r="H131" s="10" t="s">
        <v>464</v>
      </c>
      <c r="I131" s="10" t="s">
        <v>233</v>
      </c>
      <c r="J131" s="11">
        <v>814129735</v>
      </c>
      <c r="K131" s="11"/>
      <c r="L131" s="10" t="s">
        <v>465</v>
      </c>
      <c r="M131" s="10" t="s">
        <v>47</v>
      </c>
      <c r="N131" s="10" t="s">
        <v>106</v>
      </c>
      <c r="O131" s="10">
        <v>2012</v>
      </c>
      <c r="P131" s="8">
        <v>42835</v>
      </c>
      <c r="Q131" s="12" t="s">
        <v>466</v>
      </c>
    </row>
    <row r="132" spans="1:17" x14ac:dyDescent="0.2">
      <c r="A132">
        <f t="shared" ref="A132:A195" si="2">VALUE(B132)</f>
        <v>1607027</v>
      </c>
      <c r="B132" s="7" t="s">
        <v>467</v>
      </c>
      <c r="C132" s="8">
        <v>42573.490649074076</v>
      </c>
      <c r="D132" s="8">
        <v>42599</v>
      </c>
      <c r="E132" s="9" t="s">
        <v>39</v>
      </c>
      <c r="F132" s="10" t="s">
        <v>16</v>
      </c>
      <c r="G132" s="10" t="s">
        <v>207</v>
      </c>
      <c r="H132" s="10" t="s">
        <v>468</v>
      </c>
      <c r="I132" s="10" t="s">
        <v>305</v>
      </c>
      <c r="J132" s="11">
        <v>846687606</v>
      </c>
      <c r="K132" s="11"/>
      <c r="L132" s="10" t="s">
        <v>469</v>
      </c>
      <c r="M132" s="10" t="s">
        <v>47</v>
      </c>
      <c r="N132" s="10" t="s">
        <v>78</v>
      </c>
      <c r="O132" s="10">
        <v>2013</v>
      </c>
      <c r="P132" s="8">
        <v>42683</v>
      </c>
      <c r="Q132" s="12" t="s">
        <v>470</v>
      </c>
    </row>
    <row r="133" spans="1:17" x14ac:dyDescent="0.2">
      <c r="A133">
        <f t="shared" si="2"/>
        <v>1607028</v>
      </c>
      <c r="B133" s="7" t="s">
        <v>471</v>
      </c>
      <c r="C133" s="8">
        <v>42573.722390509261</v>
      </c>
      <c r="D133" s="8">
        <v>42561</v>
      </c>
      <c r="E133" s="9" t="s">
        <v>39</v>
      </c>
      <c r="F133" s="10" t="s">
        <v>16</v>
      </c>
      <c r="G133" s="10" t="s">
        <v>202</v>
      </c>
      <c r="H133" s="10" t="s">
        <v>472</v>
      </c>
      <c r="I133" s="10" t="s">
        <v>243</v>
      </c>
      <c r="J133" s="11">
        <v>816574019</v>
      </c>
      <c r="K133" s="11"/>
      <c r="L133" s="10" t="s">
        <v>473</v>
      </c>
      <c r="M133" s="10" t="s">
        <v>47</v>
      </c>
      <c r="N133" s="10" t="s">
        <v>106</v>
      </c>
      <c r="O133" s="10">
        <v>2012</v>
      </c>
      <c r="P133" s="8">
        <v>42736</v>
      </c>
      <c r="Q133" s="12" t="s">
        <v>419</v>
      </c>
    </row>
    <row r="134" spans="1:17" x14ac:dyDescent="0.2">
      <c r="A134">
        <f t="shared" si="2"/>
        <v>1607029</v>
      </c>
      <c r="B134" s="7" t="s">
        <v>474</v>
      </c>
      <c r="C134" s="8">
        <v>42573.726807291663</v>
      </c>
      <c r="D134" s="8">
        <v>42588</v>
      </c>
      <c r="E134" s="9" t="s">
        <v>39</v>
      </c>
      <c r="F134" s="10" t="s">
        <v>16</v>
      </c>
      <c r="G134" s="10" t="s">
        <v>202</v>
      </c>
      <c r="H134" s="10" t="s">
        <v>475</v>
      </c>
      <c r="I134" s="10" t="s">
        <v>305</v>
      </c>
      <c r="J134" s="11">
        <v>859952735</v>
      </c>
      <c r="K134" s="11"/>
      <c r="L134" s="10" t="s">
        <v>476</v>
      </c>
      <c r="M134" s="10" t="s">
        <v>47</v>
      </c>
      <c r="N134" s="10" t="s">
        <v>48</v>
      </c>
      <c r="O134" s="10">
        <v>2005</v>
      </c>
      <c r="P134" s="8">
        <v>42636</v>
      </c>
      <c r="Q134" s="12" t="s">
        <v>477</v>
      </c>
    </row>
    <row r="135" spans="1:17" x14ac:dyDescent="0.2">
      <c r="A135">
        <f t="shared" si="2"/>
        <v>1607030</v>
      </c>
      <c r="B135" s="7" t="s">
        <v>478</v>
      </c>
      <c r="C135" s="8">
        <v>42574.72316736111</v>
      </c>
      <c r="D135" s="8">
        <v>42581</v>
      </c>
      <c r="E135" s="9" t="s">
        <v>39</v>
      </c>
      <c r="F135" s="10" t="s">
        <v>16</v>
      </c>
      <c r="G135" s="10" t="s">
        <v>231</v>
      </c>
      <c r="H135" s="10" t="s">
        <v>479</v>
      </c>
      <c r="I135" s="10" t="s">
        <v>480</v>
      </c>
      <c r="J135" s="11">
        <v>860910482</v>
      </c>
      <c r="K135" s="11"/>
      <c r="L135" s="10" t="s">
        <v>481</v>
      </c>
      <c r="M135" s="10" t="s">
        <v>93</v>
      </c>
      <c r="N135" s="10" t="s">
        <v>94</v>
      </c>
      <c r="O135" s="10">
        <v>2013</v>
      </c>
      <c r="P135" s="8">
        <v>42601</v>
      </c>
      <c r="Q135" s="12" t="s">
        <v>256</v>
      </c>
    </row>
    <row r="136" spans="1:17" x14ac:dyDescent="0.2">
      <c r="A136">
        <f t="shared" si="2"/>
        <v>1607031</v>
      </c>
      <c r="B136" s="7" t="s">
        <v>482</v>
      </c>
      <c r="C136" s="8">
        <v>42574.727950347224</v>
      </c>
      <c r="D136" s="8">
        <v>42579</v>
      </c>
      <c r="E136" s="9" t="s">
        <v>39</v>
      </c>
      <c r="F136" s="10" t="s">
        <v>16</v>
      </c>
      <c r="G136" s="10" t="s">
        <v>202</v>
      </c>
      <c r="H136" s="10" t="s">
        <v>483</v>
      </c>
      <c r="I136" s="10" t="s">
        <v>286</v>
      </c>
      <c r="J136" s="11">
        <v>817130247</v>
      </c>
      <c r="K136" s="11"/>
      <c r="L136" s="10" t="s">
        <v>484</v>
      </c>
      <c r="M136" s="10" t="s">
        <v>47</v>
      </c>
      <c r="N136" s="10" t="s">
        <v>48</v>
      </c>
      <c r="O136" s="10">
        <v>2009</v>
      </c>
      <c r="P136" s="8">
        <v>42680</v>
      </c>
      <c r="Q136" s="12" t="s">
        <v>335</v>
      </c>
    </row>
    <row r="137" spans="1:17" x14ac:dyDescent="0.2">
      <c r="A137">
        <f t="shared" si="2"/>
        <v>1607032</v>
      </c>
      <c r="B137" s="7" t="s">
        <v>485</v>
      </c>
      <c r="C137" s="8">
        <v>42574.736413773149</v>
      </c>
      <c r="D137" s="8">
        <v>42586</v>
      </c>
      <c r="E137" s="9" t="s">
        <v>39</v>
      </c>
      <c r="F137" s="10" t="s">
        <v>16</v>
      </c>
      <c r="G137" s="10" t="s">
        <v>337</v>
      </c>
      <c r="H137" s="10" t="s">
        <v>486</v>
      </c>
      <c r="I137" s="10" t="s">
        <v>263</v>
      </c>
      <c r="J137" s="11">
        <v>904159554</v>
      </c>
      <c r="K137" s="11"/>
      <c r="L137" s="10" t="s">
        <v>487</v>
      </c>
      <c r="M137" s="10" t="s">
        <v>58</v>
      </c>
      <c r="N137" s="10" t="s">
        <v>488</v>
      </c>
      <c r="O137" s="10">
        <v>2014</v>
      </c>
      <c r="P137" s="8">
        <v>42589</v>
      </c>
      <c r="Q137" s="12" t="s">
        <v>489</v>
      </c>
    </row>
    <row r="138" spans="1:17" x14ac:dyDescent="0.2">
      <c r="A138">
        <f t="shared" si="2"/>
        <v>1607033</v>
      </c>
      <c r="B138" s="7" t="s">
        <v>490</v>
      </c>
      <c r="C138" s="8">
        <v>42574.74251423611</v>
      </c>
      <c r="D138" s="8">
        <v>42588</v>
      </c>
      <c r="E138" s="9" t="s">
        <v>39</v>
      </c>
      <c r="F138" s="10" t="s">
        <v>16</v>
      </c>
      <c r="G138" s="10" t="s">
        <v>202</v>
      </c>
      <c r="H138" s="10" t="s">
        <v>491</v>
      </c>
      <c r="I138" s="10" t="s">
        <v>492</v>
      </c>
      <c r="J138" s="11">
        <v>618590303</v>
      </c>
      <c r="K138" s="11"/>
      <c r="L138" s="10" t="s">
        <v>493</v>
      </c>
      <c r="M138" s="10" t="s">
        <v>42</v>
      </c>
      <c r="N138" s="10" t="s">
        <v>494</v>
      </c>
      <c r="O138" s="10">
        <v>2013</v>
      </c>
      <c r="P138" s="8">
        <v>42782</v>
      </c>
      <c r="Q138" s="12" t="s">
        <v>288</v>
      </c>
    </row>
    <row r="139" spans="1:17" x14ac:dyDescent="0.2">
      <c r="A139">
        <f t="shared" si="2"/>
        <v>1607034</v>
      </c>
      <c r="B139" s="7" t="s">
        <v>495</v>
      </c>
      <c r="C139" s="8">
        <v>42576.593170949076</v>
      </c>
      <c r="D139" s="8">
        <v>42587</v>
      </c>
      <c r="E139" s="9" t="s">
        <v>39</v>
      </c>
      <c r="F139" s="10" t="s">
        <v>16</v>
      </c>
      <c r="G139" s="10" t="s">
        <v>337</v>
      </c>
      <c r="H139" s="10" t="s">
        <v>496</v>
      </c>
      <c r="I139" s="10" t="s">
        <v>263</v>
      </c>
      <c r="J139" s="11">
        <v>830424956</v>
      </c>
      <c r="K139" s="11"/>
      <c r="L139" s="10" t="s">
        <v>497</v>
      </c>
      <c r="M139" s="10" t="s">
        <v>87</v>
      </c>
      <c r="N139" s="10" t="s">
        <v>498</v>
      </c>
      <c r="O139" s="10">
        <v>2012</v>
      </c>
      <c r="P139" s="8">
        <v>42707</v>
      </c>
      <c r="Q139" s="12" t="s">
        <v>499</v>
      </c>
    </row>
    <row r="140" spans="1:17" x14ac:dyDescent="0.2">
      <c r="A140">
        <f t="shared" si="2"/>
        <v>1607035</v>
      </c>
      <c r="B140" s="7" t="s">
        <v>500</v>
      </c>
      <c r="C140" s="8">
        <v>42576.621370370369</v>
      </c>
      <c r="D140" s="8">
        <v>42583</v>
      </c>
      <c r="E140" s="9" t="s">
        <v>39</v>
      </c>
      <c r="F140" s="10" t="s">
        <v>16</v>
      </c>
      <c r="G140" s="10" t="s">
        <v>207</v>
      </c>
      <c r="H140" s="10" t="s">
        <v>501</v>
      </c>
      <c r="I140" s="10" t="s">
        <v>286</v>
      </c>
      <c r="J140" s="11">
        <v>923986918</v>
      </c>
      <c r="K140" s="11"/>
      <c r="L140" s="10" t="s">
        <v>502</v>
      </c>
      <c r="M140" s="10" t="s">
        <v>54</v>
      </c>
      <c r="N140" s="10" t="s">
        <v>72</v>
      </c>
      <c r="O140" s="10">
        <v>2012</v>
      </c>
      <c r="P140" s="8">
        <v>42886</v>
      </c>
      <c r="Q140" s="12" t="s">
        <v>503</v>
      </c>
    </row>
    <row r="141" spans="1:17" x14ac:dyDescent="0.2">
      <c r="A141">
        <f t="shared" si="2"/>
        <v>1607036</v>
      </c>
      <c r="B141" s="7" t="s">
        <v>504</v>
      </c>
      <c r="C141" s="8">
        <v>42576.632138310182</v>
      </c>
      <c r="D141" s="8">
        <v>42586</v>
      </c>
      <c r="E141" s="9" t="s">
        <v>39</v>
      </c>
      <c r="F141" s="10" t="s">
        <v>16</v>
      </c>
      <c r="G141" s="10" t="s">
        <v>202</v>
      </c>
      <c r="H141" s="10" t="s">
        <v>505</v>
      </c>
      <c r="I141" s="10" t="s">
        <v>506</v>
      </c>
      <c r="J141" s="11">
        <v>892160029</v>
      </c>
      <c r="K141" s="11">
        <v>864539185</v>
      </c>
      <c r="L141" s="10" t="s">
        <v>507</v>
      </c>
      <c r="M141" s="10" t="s">
        <v>54</v>
      </c>
      <c r="N141" s="10" t="s">
        <v>508</v>
      </c>
      <c r="O141" s="10">
        <v>2013</v>
      </c>
      <c r="P141" s="8">
        <v>42757</v>
      </c>
      <c r="Q141" s="12" t="s">
        <v>256</v>
      </c>
    </row>
    <row r="142" spans="1:17" x14ac:dyDescent="0.2">
      <c r="A142">
        <f t="shared" si="2"/>
        <v>1607037</v>
      </c>
      <c r="B142" s="7" t="s">
        <v>509</v>
      </c>
      <c r="C142" s="8">
        <v>42576.653246643516</v>
      </c>
      <c r="D142" s="8">
        <v>42583</v>
      </c>
      <c r="E142" s="9" t="s">
        <v>39</v>
      </c>
      <c r="F142" s="10" t="s">
        <v>16</v>
      </c>
      <c r="G142" s="10" t="s">
        <v>207</v>
      </c>
      <c r="H142" s="10" t="s">
        <v>510</v>
      </c>
      <c r="I142" s="10" t="s">
        <v>305</v>
      </c>
      <c r="J142" s="11">
        <v>844212234</v>
      </c>
      <c r="K142" s="11">
        <v>867816782</v>
      </c>
      <c r="L142" s="10" t="s">
        <v>511</v>
      </c>
      <c r="M142" s="10" t="s">
        <v>512</v>
      </c>
      <c r="N142" s="10" t="s">
        <v>513</v>
      </c>
      <c r="O142" s="10">
        <v>1998</v>
      </c>
      <c r="P142" s="8">
        <v>42551</v>
      </c>
      <c r="Q142" s="12" t="s">
        <v>217</v>
      </c>
    </row>
    <row r="143" spans="1:17" x14ac:dyDescent="0.2">
      <c r="A143">
        <f t="shared" si="2"/>
        <v>1607038</v>
      </c>
      <c r="B143" s="7" t="s">
        <v>514</v>
      </c>
      <c r="C143" s="8">
        <v>42576.676185532408</v>
      </c>
      <c r="D143" s="8">
        <v>42584</v>
      </c>
      <c r="E143" s="9" t="s">
        <v>39</v>
      </c>
      <c r="F143" s="10" t="s">
        <v>16</v>
      </c>
      <c r="G143" s="10" t="s">
        <v>196</v>
      </c>
      <c r="H143" s="10" t="s">
        <v>515</v>
      </c>
      <c r="I143" s="10" t="s">
        <v>305</v>
      </c>
      <c r="J143" s="11">
        <v>890455614</v>
      </c>
      <c r="K143" s="11"/>
      <c r="L143" s="10" t="s">
        <v>516</v>
      </c>
      <c r="M143" s="10" t="s">
        <v>42</v>
      </c>
      <c r="N143" s="10" t="s">
        <v>43</v>
      </c>
      <c r="O143" s="10">
        <v>2005</v>
      </c>
      <c r="P143" s="8">
        <v>42832</v>
      </c>
      <c r="Q143" s="12" t="s">
        <v>301</v>
      </c>
    </row>
    <row r="144" spans="1:17" x14ac:dyDescent="0.2">
      <c r="A144">
        <f t="shared" si="2"/>
        <v>1607039</v>
      </c>
      <c r="B144" s="7" t="s">
        <v>517</v>
      </c>
      <c r="C144" s="8">
        <v>42576.678100115743</v>
      </c>
      <c r="D144" s="8">
        <v>42581</v>
      </c>
      <c r="E144" s="9" t="s">
        <v>39</v>
      </c>
      <c r="F144" s="10" t="s">
        <v>16</v>
      </c>
      <c r="G144" s="10" t="s">
        <v>225</v>
      </c>
      <c r="H144" s="10" t="s">
        <v>518</v>
      </c>
      <c r="I144" s="10" t="s">
        <v>263</v>
      </c>
      <c r="J144" s="11">
        <v>991234434</v>
      </c>
      <c r="K144" s="11"/>
      <c r="L144" s="10" t="s">
        <v>519</v>
      </c>
      <c r="M144" s="10" t="s">
        <v>47</v>
      </c>
      <c r="N144" s="10" t="s">
        <v>209</v>
      </c>
      <c r="O144" s="10">
        <v>2003</v>
      </c>
      <c r="P144" s="8">
        <v>42674</v>
      </c>
      <c r="Q144" s="12" t="s">
        <v>520</v>
      </c>
    </row>
    <row r="145" spans="1:17" x14ac:dyDescent="0.2">
      <c r="A145">
        <f t="shared" si="2"/>
        <v>1607040</v>
      </c>
      <c r="B145" s="7" t="s">
        <v>521</v>
      </c>
      <c r="C145" s="8">
        <v>42576.682299074077</v>
      </c>
      <c r="D145" s="8">
        <v>42580</v>
      </c>
      <c r="E145" s="9" t="s">
        <v>39</v>
      </c>
      <c r="F145" s="10" t="s">
        <v>16</v>
      </c>
      <c r="G145" s="10" t="s">
        <v>337</v>
      </c>
      <c r="H145" s="10" t="s">
        <v>522</v>
      </c>
      <c r="I145" s="10" t="s">
        <v>263</v>
      </c>
      <c r="J145" s="11">
        <v>899644367</v>
      </c>
      <c r="K145" s="11"/>
      <c r="L145" s="10" t="s">
        <v>399</v>
      </c>
      <c r="M145" s="10" t="s">
        <v>109</v>
      </c>
      <c r="N145" s="10" t="s">
        <v>523</v>
      </c>
      <c r="O145" s="10">
        <v>2014</v>
      </c>
      <c r="P145" s="8">
        <v>42635</v>
      </c>
      <c r="Q145" s="12" t="s">
        <v>524</v>
      </c>
    </row>
    <row r="146" spans="1:17" x14ac:dyDescent="0.2">
      <c r="A146">
        <f t="shared" si="2"/>
        <v>1607041</v>
      </c>
      <c r="B146" s="7" t="s">
        <v>525</v>
      </c>
      <c r="C146" s="8">
        <v>42576.741129050926</v>
      </c>
      <c r="D146" s="8">
        <v>42583</v>
      </c>
      <c r="E146" s="9" t="s">
        <v>39</v>
      </c>
      <c r="F146" s="10" t="s">
        <v>16</v>
      </c>
      <c r="G146" s="10" t="s">
        <v>207</v>
      </c>
      <c r="H146" s="10" t="s">
        <v>526</v>
      </c>
      <c r="I146" s="10" t="s">
        <v>286</v>
      </c>
      <c r="J146" s="11">
        <v>810699357</v>
      </c>
      <c r="K146" s="11"/>
      <c r="L146" s="10" t="s">
        <v>527</v>
      </c>
      <c r="M146" s="10" t="s">
        <v>47</v>
      </c>
      <c r="N146" s="10" t="s">
        <v>106</v>
      </c>
      <c r="O146" s="10">
        <v>2008</v>
      </c>
      <c r="P146" s="8">
        <v>42400</v>
      </c>
      <c r="Q146" s="12" t="s">
        <v>503</v>
      </c>
    </row>
    <row r="147" spans="1:17" x14ac:dyDescent="0.2">
      <c r="A147">
        <f t="shared" si="2"/>
        <v>1607042</v>
      </c>
      <c r="B147" s="7" t="s">
        <v>528</v>
      </c>
      <c r="C147" s="8">
        <v>42576.763587037036</v>
      </c>
      <c r="D147" s="8">
        <v>42593</v>
      </c>
      <c r="E147" s="9" t="s">
        <v>39</v>
      </c>
      <c r="F147" s="10" t="s">
        <v>16</v>
      </c>
      <c r="G147" s="10" t="s">
        <v>225</v>
      </c>
      <c r="H147" s="10" t="s">
        <v>529</v>
      </c>
      <c r="I147" s="10" t="s">
        <v>263</v>
      </c>
      <c r="J147" s="11">
        <v>840153275</v>
      </c>
      <c r="K147" s="11">
        <v>957780685</v>
      </c>
      <c r="L147" s="10" t="s">
        <v>530</v>
      </c>
      <c r="M147" s="10" t="s">
        <v>126</v>
      </c>
      <c r="N147" s="10" t="s">
        <v>235</v>
      </c>
      <c r="O147" s="10">
        <v>2011</v>
      </c>
      <c r="P147" s="8">
        <v>42759</v>
      </c>
      <c r="Q147" s="12" t="s">
        <v>531</v>
      </c>
    </row>
    <row r="148" spans="1:17" x14ac:dyDescent="0.2">
      <c r="A148">
        <f t="shared" si="2"/>
        <v>1607043</v>
      </c>
      <c r="B148" s="7" t="s">
        <v>532</v>
      </c>
      <c r="C148" s="8">
        <v>42576.771400694444</v>
      </c>
      <c r="D148" s="8">
        <v>42593</v>
      </c>
      <c r="E148" s="9" t="s">
        <v>39</v>
      </c>
      <c r="F148" s="10" t="s">
        <v>16</v>
      </c>
      <c r="G148" s="10" t="s">
        <v>207</v>
      </c>
      <c r="H148" s="10" t="s">
        <v>533</v>
      </c>
      <c r="I148" s="10" t="s">
        <v>429</v>
      </c>
      <c r="J148" s="11">
        <v>938855849</v>
      </c>
      <c r="K148" s="11"/>
      <c r="L148" s="10" t="s">
        <v>534</v>
      </c>
      <c r="M148" s="10" t="s">
        <v>47</v>
      </c>
      <c r="N148" s="10" t="s">
        <v>106</v>
      </c>
      <c r="O148" s="10">
        <v>2006</v>
      </c>
      <c r="P148" s="8"/>
      <c r="Q148" s="12"/>
    </row>
    <row r="149" spans="1:17" x14ac:dyDescent="0.2">
      <c r="A149">
        <f t="shared" si="2"/>
        <v>1607044</v>
      </c>
      <c r="B149" s="7" t="s">
        <v>535</v>
      </c>
      <c r="C149" s="8">
        <v>42577.44496458333</v>
      </c>
      <c r="D149" s="8">
        <v>42592</v>
      </c>
      <c r="E149" s="9" t="s">
        <v>39</v>
      </c>
      <c r="F149" s="10" t="s">
        <v>16</v>
      </c>
      <c r="G149" s="10" t="s">
        <v>207</v>
      </c>
      <c r="H149" s="10" t="s">
        <v>536</v>
      </c>
      <c r="I149" s="10" t="s">
        <v>254</v>
      </c>
      <c r="J149" s="11">
        <v>890085110</v>
      </c>
      <c r="K149" s="11"/>
      <c r="L149" s="10" t="s">
        <v>537</v>
      </c>
      <c r="M149" s="10" t="s">
        <v>538</v>
      </c>
      <c r="N149" s="10" t="s">
        <v>539</v>
      </c>
      <c r="O149" s="10">
        <v>2012</v>
      </c>
      <c r="P149" s="8">
        <v>42794</v>
      </c>
      <c r="Q149" s="12" t="s">
        <v>540</v>
      </c>
    </row>
    <row r="150" spans="1:17" x14ac:dyDescent="0.2">
      <c r="A150">
        <f t="shared" si="2"/>
        <v>1607045</v>
      </c>
      <c r="B150" s="7" t="s">
        <v>541</v>
      </c>
      <c r="C150" s="8">
        <v>42578.390542592591</v>
      </c>
      <c r="D150" s="8">
        <v>42602</v>
      </c>
      <c r="E150" s="9" t="s">
        <v>39</v>
      </c>
      <c r="F150" s="10" t="s">
        <v>16</v>
      </c>
      <c r="G150" s="10" t="s">
        <v>225</v>
      </c>
      <c r="H150" s="10" t="s">
        <v>542</v>
      </c>
      <c r="I150" s="10" t="s">
        <v>233</v>
      </c>
      <c r="J150" s="11">
        <v>866770101</v>
      </c>
      <c r="K150" s="11"/>
      <c r="L150" s="10" t="s">
        <v>543</v>
      </c>
      <c r="M150" s="10" t="s">
        <v>126</v>
      </c>
      <c r="N150" s="10" t="s">
        <v>172</v>
      </c>
      <c r="O150" s="10">
        <v>2011</v>
      </c>
      <c r="P150" s="8">
        <v>42594</v>
      </c>
      <c r="Q150" s="12">
        <v>400000</v>
      </c>
    </row>
    <row r="151" spans="1:17" x14ac:dyDescent="0.2">
      <c r="A151">
        <f t="shared" si="2"/>
        <v>1607046</v>
      </c>
      <c r="B151" s="7" t="s">
        <v>544</v>
      </c>
      <c r="C151" s="8">
        <v>42578.648307523152</v>
      </c>
      <c r="D151" s="8">
        <v>42584</v>
      </c>
      <c r="E151" s="9" t="s">
        <v>39</v>
      </c>
      <c r="F151" s="10" t="s">
        <v>159</v>
      </c>
      <c r="G151" s="10" t="s">
        <v>40</v>
      </c>
      <c r="H151" s="10" t="s">
        <v>545</v>
      </c>
      <c r="I151" s="10" t="s">
        <v>233</v>
      </c>
      <c r="J151" s="11"/>
      <c r="K151" s="11"/>
      <c r="L151" s="10" t="s">
        <v>546</v>
      </c>
      <c r="M151" s="10" t="s">
        <v>282</v>
      </c>
      <c r="N151" s="10" t="s">
        <v>283</v>
      </c>
      <c r="O151" s="10">
        <v>2014</v>
      </c>
      <c r="P151" s="8"/>
      <c r="Q151" s="12"/>
    </row>
    <row r="152" spans="1:17" x14ac:dyDescent="0.2">
      <c r="A152">
        <f t="shared" si="2"/>
        <v>1607047</v>
      </c>
      <c r="B152" s="7" t="s">
        <v>547</v>
      </c>
      <c r="C152" s="8">
        <v>42578.667513078704</v>
      </c>
      <c r="D152" s="8">
        <v>42585</v>
      </c>
      <c r="E152" s="9" t="s">
        <v>39</v>
      </c>
      <c r="F152" s="10" t="s">
        <v>16</v>
      </c>
      <c r="G152" s="10" t="s">
        <v>231</v>
      </c>
      <c r="H152" s="10" t="s">
        <v>548</v>
      </c>
      <c r="I152" s="10" t="s">
        <v>243</v>
      </c>
      <c r="J152" s="11">
        <v>820529968</v>
      </c>
      <c r="K152" s="11"/>
      <c r="L152" s="10" t="s">
        <v>549</v>
      </c>
      <c r="M152" s="10" t="s">
        <v>42</v>
      </c>
      <c r="N152" s="10" t="s">
        <v>84</v>
      </c>
      <c r="O152" s="10">
        <v>2011</v>
      </c>
      <c r="P152" s="8"/>
      <c r="Q152" s="12"/>
    </row>
    <row r="153" spans="1:17" x14ac:dyDescent="0.2">
      <c r="A153">
        <f t="shared" si="2"/>
        <v>1607048</v>
      </c>
      <c r="B153" s="7" t="s">
        <v>550</v>
      </c>
      <c r="C153" s="8">
        <v>42579.405256134261</v>
      </c>
      <c r="D153" s="8"/>
      <c r="E153" s="9" t="s">
        <v>39</v>
      </c>
      <c r="F153" s="10" t="s">
        <v>16</v>
      </c>
      <c r="G153" s="10" t="s">
        <v>225</v>
      </c>
      <c r="H153" s="10" t="s">
        <v>551</v>
      </c>
      <c r="I153" s="10" t="s">
        <v>267</v>
      </c>
      <c r="J153" s="11"/>
      <c r="K153" s="11"/>
      <c r="L153" s="10" t="s">
        <v>552</v>
      </c>
      <c r="M153" s="10" t="s">
        <v>126</v>
      </c>
      <c r="N153" s="10" t="s">
        <v>553</v>
      </c>
      <c r="O153" s="10">
        <v>2008</v>
      </c>
      <c r="P153" s="8">
        <v>42824</v>
      </c>
      <c r="Q153" s="12" t="s">
        <v>301</v>
      </c>
    </row>
    <row r="154" spans="1:17" x14ac:dyDescent="0.2">
      <c r="A154">
        <f t="shared" si="2"/>
        <v>1607049</v>
      </c>
      <c r="B154" s="7" t="s">
        <v>554</v>
      </c>
      <c r="C154" s="8">
        <v>42580.495296412038</v>
      </c>
      <c r="D154" s="8"/>
      <c r="E154" s="9" t="s">
        <v>37</v>
      </c>
      <c r="F154" s="10" t="s">
        <v>16</v>
      </c>
      <c r="G154" s="10" t="s">
        <v>202</v>
      </c>
      <c r="H154" s="10" t="s">
        <v>555</v>
      </c>
      <c r="I154" s="10" t="s">
        <v>263</v>
      </c>
      <c r="J154" s="11">
        <v>871047806</v>
      </c>
      <c r="K154" s="11"/>
      <c r="L154" s="10" t="s">
        <v>556</v>
      </c>
      <c r="M154" s="10" t="s">
        <v>512</v>
      </c>
      <c r="N154" s="10">
        <v>960</v>
      </c>
      <c r="O154" s="10"/>
      <c r="P154" s="8"/>
      <c r="Q154" s="12" t="s">
        <v>557</v>
      </c>
    </row>
    <row r="155" spans="1:17" x14ac:dyDescent="0.2">
      <c r="A155">
        <f t="shared" si="2"/>
        <v>1607050</v>
      </c>
      <c r="B155" s="7" t="s">
        <v>558</v>
      </c>
      <c r="C155" s="8">
        <v>42580.720533912034</v>
      </c>
      <c r="D155" s="8"/>
      <c r="E155" s="9" t="s">
        <v>39</v>
      </c>
      <c r="F155" s="10" t="s">
        <v>16</v>
      </c>
      <c r="G155" s="10" t="s">
        <v>202</v>
      </c>
      <c r="H155" s="10" t="s">
        <v>559</v>
      </c>
      <c r="I155" s="10" t="s">
        <v>305</v>
      </c>
      <c r="J155" s="11">
        <v>839277648</v>
      </c>
      <c r="K155" s="11"/>
      <c r="L155" s="10" t="s">
        <v>560</v>
      </c>
      <c r="M155" s="10" t="s">
        <v>58</v>
      </c>
      <c r="N155" s="10" t="s">
        <v>414</v>
      </c>
      <c r="O155" s="10">
        <v>2011</v>
      </c>
      <c r="P155" s="8">
        <v>42681</v>
      </c>
      <c r="Q155" s="12" t="s">
        <v>341</v>
      </c>
    </row>
    <row r="156" spans="1:17" x14ac:dyDescent="0.2">
      <c r="A156">
        <f t="shared" si="2"/>
        <v>1607051</v>
      </c>
      <c r="B156" s="7" t="s">
        <v>561</v>
      </c>
      <c r="C156" s="8">
        <v>42581.49333784722</v>
      </c>
      <c r="D156" s="8">
        <v>42593</v>
      </c>
      <c r="E156" s="9" t="s">
        <v>39</v>
      </c>
      <c r="F156" s="10" t="s">
        <v>16</v>
      </c>
      <c r="G156" s="10" t="s">
        <v>202</v>
      </c>
      <c r="H156" s="10" t="s">
        <v>562</v>
      </c>
      <c r="I156" s="10" t="s">
        <v>305</v>
      </c>
      <c r="J156" s="11">
        <v>814420076</v>
      </c>
      <c r="K156" s="11"/>
      <c r="L156" s="10" t="s">
        <v>563</v>
      </c>
      <c r="M156" s="10" t="s">
        <v>54</v>
      </c>
      <c r="N156" s="10" t="s">
        <v>72</v>
      </c>
      <c r="O156" s="10">
        <v>2013</v>
      </c>
      <c r="P156" s="8">
        <v>42471</v>
      </c>
      <c r="Q156" s="12" t="s">
        <v>564</v>
      </c>
    </row>
    <row r="157" spans="1:17" x14ac:dyDescent="0.2">
      <c r="A157">
        <f t="shared" si="2"/>
        <v>1607052</v>
      </c>
      <c r="B157" s="7" t="s">
        <v>565</v>
      </c>
      <c r="C157" s="8">
        <v>42581.77824363426</v>
      </c>
      <c r="D157" s="8">
        <v>42607</v>
      </c>
      <c r="E157" s="9" t="s">
        <v>39</v>
      </c>
      <c r="F157" s="10" t="s">
        <v>16</v>
      </c>
      <c r="G157" s="10" t="s">
        <v>337</v>
      </c>
      <c r="H157" s="10" t="s">
        <v>566</v>
      </c>
      <c r="I157" s="10" t="s">
        <v>243</v>
      </c>
      <c r="J157" s="11">
        <v>822120284</v>
      </c>
      <c r="K157" s="11">
        <v>865115948</v>
      </c>
      <c r="L157" s="10" t="s">
        <v>567</v>
      </c>
      <c r="M157" s="10" t="s">
        <v>58</v>
      </c>
      <c r="N157" s="10" t="s">
        <v>414</v>
      </c>
      <c r="O157" s="10">
        <v>2013</v>
      </c>
      <c r="P157" s="8">
        <v>42698</v>
      </c>
      <c r="Q157" s="12" t="s">
        <v>260</v>
      </c>
    </row>
    <row r="158" spans="1:17" x14ac:dyDescent="0.2">
      <c r="A158">
        <f t="shared" si="2"/>
        <v>1607053</v>
      </c>
      <c r="B158" s="7" t="s">
        <v>568</v>
      </c>
      <c r="C158" s="8">
        <v>42581.781937384258</v>
      </c>
      <c r="D158" s="8">
        <v>42607</v>
      </c>
      <c r="E158" s="9" t="s">
        <v>39</v>
      </c>
      <c r="F158" s="10" t="s">
        <v>16</v>
      </c>
      <c r="G158" s="10" t="s">
        <v>40</v>
      </c>
      <c r="H158" s="10" t="s">
        <v>569</v>
      </c>
      <c r="I158" s="10" t="s">
        <v>243</v>
      </c>
      <c r="J158" s="11">
        <v>918565351</v>
      </c>
      <c r="K158" s="11"/>
      <c r="L158" s="10" t="s">
        <v>570</v>
      </c>
      <c r="M158" s="10" t="s">
        <v>58</v>
      </c>
      <c r="N158" s="10" t="s">
        <v>414</v>
      </c>
      <c r="O158" s="10"/>
      <c r="P158" s="8"/>
      <c r="Q158" s="12" t="s">
        <v>571</v>
      </c>
    </row>
    <row r="159" spans="1:17" x14ac:dyDescent="0.2">
      <c r="A159">
        <f t="shared" si="2"/>
        <v>1608001</v>
      </c>
      <c r="B159" s="7" t="s">
        <v>572</v>
      </c>
      <c r="C159" s="8">
        <v>42583.433753124998</v>
      </c>
      <c r="D159" s="8">
        <v>42593</v>
      </c>
      <c r="E159" s="9" t="s">
        <v>39</v>
      </c>
      <c r="F159" s="10" t="s">
        <v>16</v>
      </c>
      <c r="G159" s="10" t="s">
        <v>202</v>
      </c>
      <c r="H159" s="10" t="s">
        <v>573</v>
      </c>
      <c r="I159" s="10" t="s">
        <v>305</v>
      </c>
      <c r="J159" s="11">
        <v>855546161</v>
      </c>
      <c r="K159" s="11"/>
      <c r="L159" s="10" t="s">
        <v>574</v>
      </c>
      <c r="M159" s="10" t="s">
        <v>47</v>
      </c>
      <c r="N159" s="10" t="s">
        <v>106</v>
      </c>
      <c r="O159" s="10">
        <v>2010</v>
      </c>
      <c r="P159" s="8">
        <v>42768</v>
      </c>
      <c r="Q159" s="12" t="s">
        <v>288</v>
      </c>
    </row>
    <row r="160" spans="1:17" x14ac:dyDescent="0.2">
      <c r="A160">
        <f t="shared" si="2"/>
        <v>1608002</v>
      </c>
      <c r="B160" s="7" t="s">
        <v>575</v>
      </c>
      <c r="C160" s="8">
        <v>42583.436921643515</v>
      </c>
      <c r="D160" s="8">
        <v>42586</v>
      </c>
      <c r="E160" s="9" t="s">
        <v>39</v>
      </c>
      <c r="F160" s="10" t="s">
        <v>16</v>
      </c>
      <c r="G160" s="10" t="s">
        <v>225</v>
      </c>
      <c r="H160" s="10" t="s">
        <v>576</v>
      </c>
      <c r="I160" s="10" t="s">
        <v>577</v>
      </c>
      <c r="J160" s="11">
        <v>611692782</v>
      </c>
      <c r="K160" s="11"/>
      <c r="L160" s="10" t="s">
        <v>578</v>
      </c>
      <c r="M160" s="10" t="s">
        <v>54</v>
      </c>
      <c r="N160" s="10" t="s">
        <v>194</v>
      </c>
      <c r="O160" s="10">
        <v>2006</v>
      </c>
      <c r="P160" s="8">
        <v>42658</v>
      </c>
      <c r="Q160" s="12" t="s">
        <v>217</v>
      </c>
    </row>
    <row r="161" spans="1:17" x14ac:dyDescent="0.2">
      <c r="A161">
        <f t="shared" si="2"/>
        <v>1608003</v>
      </c>
      <c r="B161" s="7" t="s">
        <v>579</v>
      </c>
      <c r="C161" s="8">
        <v>42583.441083333331</v>
      </c>
      <c r="D161" s="8">
        <v>42586</v>
      </c>
      <c r="E161" s="9" t="s">
        <v>39</v>
      </c>
      <c r="F161" s="10" t="s">
        <v>16</v>
      </c>
      <c r="G161" s="10" t="s">
        <v>580</v>
      </c>
      <c r="H161" s="10" t="s">
        <v>581</v>
      </c>
      <c r="I161" s="10" t="s">
        <v>222</v>
      </c>
      <c r="J161" s="11">
        <v>818172197</v>
      </c>
      <c r="K161" s="11">
        <v>813225442</v>
      </c>
      <c r="L161" s="10" t="s">
        <v>582</v>
      </c>
      <c r="M161" s="10" t="s">
        <v>47</v>
      </c>
      <c r="N161" s="10" t="s">
        <v>51</v>
      </c>
      <c r="O161" s="10">
        <v>2003</v>
      </c>
      <c r="P161" s="8">
        <v>42938</v>
      </c>
      <c r="Q161" s="12" t="s">
        <v>331</v>
      </c>
    </row>
    <row r="162" spans="1:17" x14ac:dyDescent="0.2">
      <c r="A162">
        <f t="shared" si="2"/>
        <v>1608004</v>
      </c>
      <c r="B162" s="7" t="s">
        <v>583</v>
      </c>
      <c r="C162" s="8">
        <v>42583.445742361109</v>
      </c>
      <c r="D162" s="8">
        <v>42586</v>
      </c>
      <c r="E162" s="9" t="s">
        <v>39</v>
      </c>
      <c r="F162" s="10" t="s">
        <v>16</v>
      </c>
      <c r="G162" s="10" t="s">
        <v>584</v>
      </c>
      <c r="H162" s="10" t="s">
        <v>585</v>
      </c>
      <c r="I162" s="10" t="s">
        <v>586</v>
      </c>
      <c r="J162" s="11">
        <v>887692362</v>
      </c>
      <c r="K162" s="11">
        <v>960205140</v>
      </c>
      <c r="L162" s="10" t="s">
        <v>587</v>
      </c>
      <c r="M162" s="10" t="s">
        <v>282</v>
      </c>
      <c r="N162" s="10" t="s">
        <v>588</v>
      </c>
      <c r="O162" s="10">
        <v>2015</v>
      </c>
      <c r="P162" s="8">
        <v>42814</v>
      </c>
      <c r="Q162" s="12" t="s">
        <v>499</v>
      </c>
    </row>
    <row r="163" spans="1:17" x14ac:dyDescent="0.2">
      <c r="A163">
        <f t="shared" si="2"/>
        <v>1608005</v>
      </c>
      <c r="B163" s="7" t="s">
        <v>589</v>
      </c>
      <c r="C163" s="8">
        <v>42583.447991319445</v>
      </c>
      <c r="D163" s="8">
        <v>42587</v>
      </c>
      <c r="E163" s="9" t="s">
        <v>39</v>
      </c>
      <c r="F163" s="10" t="s">
        <v>16</v>
      </c>
      <c r="G163" s="10" t="s">
        <v>231</v>
      </c>
      <c r="H163" s="10" t="s">
        <v>590</v>
      </c>
      <c r="I163" s="10" t="s">
        <v>243</v>
      </c>
      <c r="J163" s="11">
        <v>964706951</v>
      </c>
      <c r="K163" s="11"/>
      <c r="L163" s="10" t="s">
        <v>591</v>
      </c>
      <c r="M163" s="10" t="s">
        <v>42</v>
      </c>
      <c r="N163" s="10" t="s">
        <v>75</v>
      </c>
      <c r="O163" s="10">
        <v>1997</v>
      </c>
      <c r="P163" s="8">
        <v>42620</v>
      </c>
      <c r="Q163" s="12" t="s">
        <v>592</v>
      </c>
    </row>
    <row r="164" spans="1:17" x14ac:dyDescent="0.2">
      <c r="A164">
        <f t="shared" si="2"/>
        <v>1608006</v>
      </c>
      <c r="B164" s="7" t="s">
        <v>593</v>
      </c>
      <c r="C164" s="8">
        <v>42583.450936458335</v>
      </c>
      <c r="D164" s="8">
        <v>42591</v>
      </c>
      <c r="E164" s="9" t="s">
        <v>39</v>
      </c>
      <c r="F164" s="10" t="s">
        <v>16</v>
      </c>
      <c r="G164" s="10" t="s">
        <v>196</v>
      </c>
      <c r="H164" s="10" t="s">
        <v>594</v>
      </c>
      <c r="I164" s="10" t="s">
        <v>243</v>
      </c>
      <c r="J164" s="11">
        <v>887378592</v>
      </c>
      <c r="K164" s="11"/>
      <c r="L164" s="10" t="s">
        <v>595</v>
      </c>
      <c r="M164" s="10" t="s">
        <v>47</v>
      </c>
      <c r="N164" s="10" t="s">
        <v>106</v>
      </c>
      <c r="O164" s="10">
        <v>2005</v>
      </c>
      <c r="P164" s="8" t="s">
        <v>596</v>
      </c>
      <c r="Q164" s="12"/>
    </row>
    <row r="165" spans="1:17" x14ac:dyDescent="0.2">
      <c r="A165">
        <f t="shared" si="2"/>
        <v>1608007</v>
      </c>
      <c r="B165" s="7" t="s">
        <v>597</v>
      </c>
      <c r="C165" s="8">
        <v>42583.453837152774</v>
      </c>
      <c r="D165" s="8"/>
      <c r="E165" s="9" t="s">
        <v>39</v>
      </c>
      <c r="F165" s="10" t="s">
        <v>16</v>
      </c>
      <c r="G165" s="10" t="s">
        <v>196</v>
      </c>
      <c r="H165" s="10" t="s">
        <v>598</v>
      </c>
      <c r="I165" s="10" t="s">
        <v>599</v>
      </c>
      <c r="J165" s="11">
        <v>879743726</v>
      </c>
      <c r="K165" s="11"/>
      <c r="L165" s="10" t="s">
        <v>600</v>
      </c>
      <c r="M165" s="10" t="s">
        <v>58</v>
      </c>
      <c r="N165" s="10" t="s">
        <v>59</v>
      </c>
      <c r="O165" s="10">
        <v>2004</v>
      </c>
      <c r="P165" s="8"/>
      <c r="Q165" s="12"/>
    </row>
    <row r="166" spans="1:17" x14ac:dyDescent="0.2">
      <c r="A166">
        <f t="shared" si="2"/>
        <v>1608008</v>
      </c>
      <c r="B166" s="7" t="s">
        <v>601</v>
      </c>
      <c r="C166" s="8">
        <v>42583.45746539352</v>
      </c>
      <c r="D166" s="8"/>
      <c r="E166" s="9" t="s">
        <v>39</v>
      </c>
      <c r="F166" s="10" t="s">
        <v>16</v>
      </c>
      <c r="G166" s="10" t="s">
        <v>207</v>
      </c>
      <c r="H166" s="10" t="s">
        <v>602</v>
      </c>
      <c r="I166" s="10" t="s">
        <v>233</v>
      </c>
      <c r="J166" s="11">
        <v>939237224</v>
      </c>
      <c r="K166" s="11">
        <v>955127709</v>
      </c>
      <c r="L166" s="10" t="s">
        <v>603</v>
      </c>
      <c r="M166" s="10" t="s">
        <v>47</v>
      </c>
      <c r="N166" s="10" t="s">
        <v>51</v>
      </c>
      <c r="O166" s="10">
        <v>2011</v>
      </c>
      <c r="P166" s="8" t="s">
        <v>604</v>
      </c>
      <c r="Q166" s="12"/>
    </row>
    <row r="167" spans="1:17" x14ac:dyDescent="0.2">
      <c r="A167">
        <f t="shared" si="2"/>
        <v>1608009</v>
      </c>
      <c r="B167" s="7" t="s">
        <v>605</v>
      </c>
      <c r="C167" s="8">
        <v>42583.46110601852</v>
      </c>
      <c r="D167" s="8">
        <v>42588</v>
      </c>
      <c r="E167" s="9" t="s">
        <v>39</v>
      </c>
      <c r="F167" s="10" t="s">
        <v>16</v>
      </c>
      <c r="G167" s="10" t="s">
        <v>207</v>
      </c>
      <c r="H167" s="10" t="s">
        <v>606</v>
      </c>
      <c r="I167" s="10" t="s">
        <v>286</v>
      </c>
      <c r="J167" s="11">
        <v>998183925</v>
      </c>
      <c r="K167" s="11">
        <v>982600157</v>
      </c>
      <c r="L167" s="10" t="s">
        <v>607</v>
      </c>
      <c r="M167" s="10" t="s">
        <v>58</v>
      </c>
      <c r="N167" s="10" t="s">
        <v>59</v>
      </c>
      <c r="O167" s="10">
        <v>2015</v>
      </c>
      <c r="P167" s="8">
        <v>42673</v>
      </c>
      <c r="Q167" s="12" t="s">
        <v>564</v>
      </c>
    </row>
    <row r="168" spans="1:17" x14ac:dyDescent="0.2">
      <c r="A168">
        <f t="shared" si="2"/>
        <v>1608010</v>
      </c>
      <c r="B168" s="7" t="s">
        <v>608</v>
      </c>
      <c r="C168" s="8">
        <v>42583.462961921294</v>
      </c>
      <c r="D168" s="8"/>
      <c r="E168" s="9" t="s">
        <v>39</v>
      </c>
      <c r="F168" s="10" t="s">
        <v>16</v>
      </c>
      <c r="G168" s="10" t="s">
        <v>207</v>
      </c>
      <c r="H168" s="10" t="s">
        <v>609</v>
      </c>
      <c r="I168" s="10" t="s">
        <v>263</v>
      </c>
      <c r="J168" s="11">
        <v>949465099</v>
      </c>
      <c r="K168" s="11"/>
      <c r="L168" s="10" t="s">
        <v>610</v>
      </c>
      <c r="M168" s="10" t="s">
        <v>47</v>
      </c>
      <c r="N168" s="10" t="s">
        <v>81</v>
      </c>
      <c r="O168" s="10">
        <v>2008</v>
      </c>
      <c r="P168" s="8">
        <v>42925</v>
      </c>
      <c r="Q168" s="12" t="s">
        <v>611</v>
      </c>
    </row>
    <row r="169" spans="1:17" x14ac:dyDescent="0.2">
      <c r="A169">
        <f t="shared" si="2"/>
        <v>1608011</v>
      </c>
      <c r="B169" s="7" t="s">
        <v>612</v>
      </c>
      <c r="C169" s="8">
        <v>42583.464207175923</v>
      </c>
      <c r="D169" s="8"/>
      <c r="E169" s="9" t="s">
        <v>37</v>
      </c>
      <c r="F169" s="10" t="s">
        <v>16</v>
      </c>
      <c r="G169" s="10" t="s">
        <v>207</v>
      </c>
      <c r="H169" s="10" t="s">
        <v>613</v>
      </c>
      <c r="I169" s="10"/>
      <c r="J169" s="11">
        <v>921173248</v>
      </c>
      <c r="K169" s="11"/>
      <c r="L169" s="10" t="s">
        <v>614</v>
      </c>
      <c r="M169" s="10" t="s">
        <v>615</v>
      </c>
      <c r="N169" s="10" t="s">
        <v>94</v>
      </c>
      <c r="O169" s="10"/>
      <c r="P169" s="8" t="s">
        <v>616</v>
      </c>
      <c r="Q169" s="12" t="s">
        <v>616</v>
      </c>
    </row>
    <row r="170" spans="1:17" x14ac:dyDescent="0.2">
      <c r="A170">
        <f t="shared" si="2"/>
        <v>1608012</v>
      </c>
      <c r="B170" s="7" t="s">
        <v>617</v>
      </c>
      <c r="C170" s="8">
        <v>42583.615892013891</v>
      </c>
      <c r="D170" s="8">
        <v>42593</v>
      </c>
      <c r="E170" s="9" t="s">
        <v>39</v>
      </c>
      <c r="F170" s="10" t="s">
        <v>16</v>
      </c>
      <c r="G170" s="10" t="s">
        <v>202</v>
      </c>
      <c r="H170" s="10" t="s">
        <v>618</v>
      </c>
      <c r="I170" s="10" t="s">
        <v>254</v>
      </c>
      <c r="J170" s="11">
        <v>870292203</v>
      </c>
      <c r="K170" s="11"/>
      <c r="L170" s="10" t="s">
        <v>619</v>
      </c>
      <c r="M170" s="10" t="s">
        <v>47</v>
      </c>
      <c r="N170" s="10" t="s">
        <v>48</v>
      </c>
      <c r="O170" s="10">
        <v>2008</v>
      </c>
      <c r="P170" s="8">
        <v>42864</v>
      </c>
      <c r="Q170" s="12" t="s">
        <v>477</v>
      </c>
    </row>
    <row r="171" spans="1:17" x14ac:dyDescent="0.2">
      <c r="A171">
        <f t="shared" si="2"/>
        <v>1608013</v>
      </c>
      <c r="B171" s="7" t="s">
        <v>620</v>
      </c>
      <c r="C171" s="8">
        <v>42583.62678564815</v>
      </c>
      <c r="D171" s="8">
        <v>42590</v>
      </c>
      <c r="E171" s="9" t="s">
        <v>39</v>
      </c>
      <c r="F171" s="10" t="s">
        <v>16</v>
      </c>
      <c r="G171" s="10" t="s">
        <v>207</v>
      </c>
      <c r="H171" s="10" t="s">
        <v>621</v>
      </c>
      <c r="I171" s="10" t="s">
        <v>254</v>
      </c>
      <c r="J171" s="11">
        <v>852598439</v>
      </c>
      <c r="K171" s="11"/>
      <c r="L171" s="10" t="s">
        <v>622</v>
      </c>
      <c r="M171" s="10" t="s">
        <v>47</v>
      </c>
      <c r="N171" s="10" t="s">
        <v>106</v>
      </c>
      <c r="O171" s="10">
        <v>2009</v>
      </c>
      <c r="P171" s="8">
        <v>42642</v>
      </c>
      <c r="Q171" s="12" t="s">
        <v>256</v>
      </c>
    </row>
    <row r="172" spans="1:17" x14ac:dyDescent="0.2">
      <c r="A172">
        <f t="shared" si="2"/>
        <v>1608014</v>
      </c>
      <c r="B172" s="7" t="s">
        <v>623</v>
      </c>
      <c r="C172" s="8">
        <v>42583.630617129631</v>
      </c>
      <c r="D172" s="8">
        <v>42591</v>
      </c>
      <c r="E172" s="9" t="s">
        <v>39</v>
      </c>
      <c r="F172" s="10" t="s">
        <v>16</v>
      </c>
      <c r="G172" s="10" t="s">
        <v>207</v>
      </c>
      <c r="H172" s="10" t="s">
        <v>624</v>
      </c>
      <c r="I172" s="10" t="s">
        <v>625</v>
      </c>
      <c r="J172" s="11">
        <v>894919239</v>
      </c>
      <c r="K172" s="11"/>
      <c r="L172" s="10" t="s">
        <v>626</v>
      </c>
      <c r="M172" s="10" t="s">
        <v>42</v>
      </c>
      <c r="N172" s="10" t="s">
        <v>84</v>
      </c>
      <c r="O172" s="10">
        <v>2008</v>
      </c>
      <c r="P172" s="8">
        <v>42696</v>
      </c>
      <c r="Q172" s="12" t="s">
        <v>341</v>
      </c>
    </row>
    <row r="173" spans="1:17" x14ac:dyDescent="0.2">
      <c r="A173">
        <f t="shared" si="2"/>
        <v>1608015</v>
      </c>
      <c r="B173" s="7" t="s">
        <v>627</v>
      </c>
      <c r="C173" s="8">
        <v>42583.637272685184</v>
      </c>
      <c r="D173" s="8">
        <v>42588</v>
      </c>
      <c r="E173" s="9" t="s">
        <v>39</v>
      </c>
      <c r="F173" s="10" t="s">
        <v>16</v>
      </c>
      <c r="G173" s="10" t="s">
        <v>196</v>
      </c>
      <c r="H173" s="10" t="s">
        <v>628</v>
      </c>
      <c r="I173" s="10" t="s">
        <v>233</v>
      </c>
      <c r="J173" s="11">
        <v>890455614</v>
      </c>
      <c r="K173" s="11"/>
      <c r="L173" s="10" t="s">
        <v>629</v>
      </c>
      <c r="M173" s="10" t="s">
        <v>47</v>
      </c>
      <c r="N173" s="10" t="s">
        <v>630</v>
      </c>
      <c r="O173" s="10"/>
      <c r="P173" s="8"/>
      <c r="Q173" s="12" t="s">
        <v>571</v>
      </c>
    </row>
    <row r="174" spans="1:17" x14ac:dyDescent="0.2">
      <c r="A174">
        <f t="shared" si="2"/>
        <v>1608016</v>
      </c>
      <c r="B174" s="7" t="s">
        <v>631</v>
      </c>
      <c r="C174" s="8">
        <v>42583.740753240738</v>
      </c>
      <c r="D174" s="8">
        <v>42597</v>
      </c>
      <c r="E174" s="9" t="s">
        <v>39</v>
      </c>
      <c r="F174" s="10" t="s">
        <v>16</v>
      </c>
      <c r="G174" s="10" t="s">
        <v>202</v>
      </c>
      <c r="H174" s="10" t="s">
        <v>632</v>
      </c>
      <c r="I174" s="10" t="s">
        <v>215</v>
      </c>
      <c r="J174" s="11">
        <v>823278703</v>
      </c>
      <c r="K174" s="11"/>
      <c r="L174" s="10" t="s">
        <v>633</v>
      </c>
      <c r="M174" s="10" t="s">
        <v>47</v>
      </c>
      <c r="N174" s="10" t="s">
        <v>106</v>
      </c>
      <c r="O174" s="10">
        <v>2013</v>
      </c>
      <c r="P174" s="8">
        <v>42727</v>
      </c>
      <c r="Q174" s="12" t="s">
        <v>634</v>
      </c>
    </row>
    <row r="175" spans="1:17" x14ac:dyDescent="0.2">
      <c r="A175">
        <f t="shared" si="2"/>
        <v>1608017</v>
      </c>
      <c r="B175" s="7" t="s">
        <v>635</v>
      </c>
      <c r="C175" s="8">
        <v>42583.744836689817</v>
      </c>
      <c r="D175" s="8"/>
      <c r="E175" s="9" t="s">
        <v>39</v>
      </c>
      <c r="F175" s="10" t="s">
        <v>16</v>
      </c>
      <c r="G175" s="10" t="s">
        <v>225</v>
      </c>
      <c r="H175" s="10" t="s">
        <v>636</v>
      </c>
      <c r="I175" s="10" t="s">
        <v>637</v>
      </c>
      <c r="J175" s="11">
        <v>855651004</v>
      </c>
      <c r="K175" s="11"/>
      <c r="L175" s="10" t="s">
        <v>638</v>
      </c>
      <c r="M175" s="10" t="s">
        <v>58</v>
      </c>
      <c r="N175" s="10" t="s">
        <v>639</v>
      </c>
      <c r="O175" s="10">
        <v>2012</v>
      </c>
      <c r="P175" s="8">
        <v>42628</v>
      </c>
      <c r="Q175" s="12" t="s">
        <v>640</v>
      </c>
    </row>
    <row r="176" spans="1:17" x14ac:dyDescent="0.2">
      <c r="A176">
        <f t="shared" si="2"/>
        <v>1608018</v>
      </c>
      <c r="B176" s="7" t="s">
        <v>641</v>
      </c>
      <c r="C176" s="8">
        <v>42584.689987384256</v>
      </c>
      <c r="D176" s="8">
        <v>42605</v>
      </c>
      <c r="E176" s="9" t="s">
        <v>39</v>
      </c>
      <c r="F176" s="10" t="s">
        <v>16</v>
      </c>
      <c r="G176" s="10" t="s">
        <v>202</v>
      </c>
      <c r="H176" s="10" t="s">
        <v>642</v>
      </c>
      <c r="I176" s="10" t="s">
        <v>625</v>
      </c>
      <c r="J176" s="11">
        <v>928877280</v>
      </c>
      <c r="K176" s="11"/>
      <c r="L176" s="10" t="s">
        <v>643</v>
      </c>
      <c r="M176" s="10" t="s">
        <v>47</v>
      </c>
      <c r="N176" s="10" t="s">
        <v>106</v>
      </c>
      <c r="O176" s="10">
        <v>2006</v>
      </c>
      <c r="P176" s="8">
        <v>42593</v>
      </c>
      <c r="Q176" s="12">
        <v>170000</v>
      </c>
    </row>
    <row r="177" spans="1:17" x14ac:dyDescent="0.2">
      <c r="A177">
        <f t="shared" si="2"/>
        <v>1608019</v>
      </c>
      <c r="B177" s="7" t="s">
        <v>644</v>
      </c>
      <c r="C177" s="8">
        <v>42585.498114120368</v>
      </c>
      <c r="D177" s="8">
        <v>42587</v>
      </c>
      <c r="E177" s="9" t="s">
        <v>39</v>
      </c>
      <c r="F177" s="10" t="s">
        <v>16</v>
      </c>
      <c r="G177" s="10" t="s">
        <v>207</v>
      </c>
      <c r="H177" s="10" t="s">
        <v>645</v>
      </c>
      <c r="I177" s="10" t="s">
        <v>263</v>
      </c>
      <c r="J177" s="11">
        <v>802781889</v>
      </c>
      <c r="K177" s="11"/>
      <c r="L177" s="10" t="s">
        <v>646</v>
      </c>
      <c r="M177" s="10" t="s">
        <v>58</v>
      </c>
      <c r="N177" s="10" t="s">
        <v>647</v>
      </c>
      <c r="O177" s="10">
        <v>2015</v>
      </c>
      <c r="P177" s="8">
        <v>42589</v>
      </c>
      <c r="Q177" s="12" t="s">
        <v>648</v>
      </c>
    </row>
    <row r="178" spans="1:17" x14ac:dyDescent="0.2">
      <c r="A178">
        <f t="shared" si="2"/>
        <v>1608020</v>
      </c>
      <c r="B178" s="7" t="s">
        <v>649</v>
      </c>
      <c r="C178" s="8">
        <v>42585.700357407404</v>
      </c>
      <c r="D178" s="8">
        <v>42590</v>
      </c>
      <c r="E178" s="9" t="s">
        <v>39</v>
      </c>
      <c r="F178" s="10" t="s">
        <v>16</v>
      </c>
      <c r="G178" s="10" t="s">
        <v>202</v>
      </c>
      <c r="H178" s="10" t="s">
        <v>650</v>
      </c>
      <c r="I178" s="10" t="s">
        <v>305</v>
      </c>
      <c r="J178" s="11">
        <v>859203336</v>
      </c>
      <c r="K178" s="11">
        <v>891353642</v>
      </c>
      <c r="L178" s="10" t="s">
        <v>651</v>
      </c>
      <c r="M178" s="10" t="s">
        <v>47</v>
      </c>
      <c r="N178" s="10" t="s">
        <v>81</v>
      </c>
      <c r="O178" s="10">
        <v>2010</v>
      </c>
      <c r="P178" s="8">
        <v>42384</v>
      </c>
      <c r="Q178" s="12">
        <v>600000</v>
      </c>
    </row>
    <row r="179" spans="1:17" x14ac:dyDescent="0.2">
      <c r="A179">
        <f t="shared" si="2"/>
        <v>1608021</v>
      </c>
      <c r="B179" s="7" t="s">
        <v>652</v>
      </c>
      <c r="C179" s="8">
        <v>42586.391259143522</v>
      </c>
      <c r="D179" s="8">
        <v>42611</v>
      </c>
      <c r="E179" s="9" t="s">
        <v>39</v>
      </c>
      <c r="F179" s="10" t="s">
        <v>16</v>
      </c>
      <c r="G179" s="10" t="s">
        <v>220</v>
      </c>
      <c r="H179" s="10" t="s">
        <v>653</v>
      </c>
      <c r="I179" s="10" t="s">
        <v>654</v>
      </c>
      <c r="J179" s="11">
        <v>815638323</v>
      </c>
      <c r="K179" s="11"/>
      <c r="L179" s="10" t="s">
        <v>655</v>
      </c>
      <c r="M179" s="10" t="s">
        <v>93</v>
      </c>
      <c r="N179" s="10" t="s">
        <v>155</v>
      </c>
      <c r="O179" s="10">
        <v>2013</v>
      </c>
      <c r="P179" s="8">
        <v>42859</v>
      </c>
      <c r="Q179" s="12" t="s">
        <v>656</v>
      </c>
    </row>
    <row r="180" spans="1:17" x14ac:dyDescent="0.2">
      <c r="A180">
        <f t="shared" si="2"/>
        <v>1608022</v>
      </c>
      <c r="B180" s="7" t="s">
        <v>657</v>
      </c>
      <c r="C180" s="8">
        <v>42587.679269907407</v>
      </c>
      <c r="D180" s="8">
        <v>42613</v>
      </c>
      <c r="E180" s="9" t="s">
        <v>39</v>
      </c>
      <c r="F180" s="10" t="s">
        <v>16</v>
      </c>
      <c r="G180" s="10" t="s">
        <v>337</v>
      </c>
      <c r="H180" s="10" t="s">
        <v>658</v>
      </c>
      <c r="I180" s="10" t="s">
        <v>305</v>
      </c>
      <c r="J180" s="11">
        <v>876992977</v>
      </c>
      <c r="K180" s="11">
        <v>925536039</v>
      </c>
      <c r="L180" s="10" t="s">
        <v>659</v>
      </c>
      <c r="M180" s="10" t="s">
        <v>58</v>
      </c>
      <c r="N180" s="10" t="s">
        <v>414</v>
      </c>
      <c r="O180" s="10">
        <v>2005</v>
      </c>
      <c r="P180" s="8">
        <v>42589</v>
      </c>
      <c r="Q180" s="12" t="s">
        <v>660</v>
      </c>
    </row>
    <row r="181" spans="1:17" x14ac:dyDescent="0.2">
      <c r="A181">
        <f t="shared" si="2"/>
        <v>1608023</v>
      </c>
      <c r="B181" s="7" t="s">
        <v>661</v>
      </c>
      <c r="C181" s="8">
        <v>42588.396543634262</v>
      </c>
      <c r="D181" s="8">
        <v>42614</v>
      </c>
      <c r="E181" s="9" t="s">
        <v>39</v>
      </c>
      <c r="F181" s="10" t="s">
        <v>16</v>
      </c>
      <c r="G181" s="10" t="s">
        <v>202</v>
      </c>
      <c r="H181" s="10" t="s">
        <v>662</v>
      </c>
      <c r="I181" s="10" t="s">
        <v>625</v>
      </c>
      <c r="J181" s="11">
        <v>841454233</v>
      </c>
      <c r="K181" s="11">
        <v>899216211</v>
      </c>
      <c r="L181" s="10" t="s">
        <v>663</v>
      </c>
      <c r="M181" s="10" t="s">
        <v>47</v>
      </c>
      <c r="N181" s="10" t="s">
        <v>51</v>
      </c>
      <c r="O181" s="10">
        <v>2005</v>
      </c>
      <c r="P181" s="8">
        <v>42574</v>
      </c>
      <c r="Q181" s="12" t="s">
        <v>664</v>
      </c>
    </row>
    <row r="182" spans="1:17" x14ac:dyDescent="0.2">
      <c r="A182">
        <f t="shared" si="2"/>
        <v>1608024</v>
      </c>
      <c r="B182" s="7" t="s">
        <v>665</v>
      </c>
      <c r="C182" s="8">
        <v>42588.476075115737</v>
      </c>
      <c r="D182" s="8">
        <v>42597</v>
      </c>
      <c r="E182" s="9" t="s">
        <v>39</v>
      </c>
      <c r="F182" s="10" t="s">
        <v>16</v>
      </c>
      <c r="G182" s="10" t="s">
        <v>225</v>
      </c>
      <c r="H182" s="10" t="s">
        <v>666</v>
      </c>
      <c r="I182" s="10" t="s">
        <v>254</v>
      </c>
      <c r="J182" s="11">
        <v>819174009</v>
      </c>
      <c r="K182" s="11"/>
      <c r="L182" s="10" t="s">
        <v>667</v>
      </c>
      <c r="M182" s="10" t="s">
        <v>93</v>
      </c>
      <c r="N182" s="10" t="s">
        <v>155</v>
      </c>
      <c r="O182" s="10">
        <v>2014</v>
      </c>
      <c r="P182" s="8">
        <v>42714</v>
      </c>
      <c r="Q182" s="12" t="s">
        <v>668</v>
      </c>
    </row>
    <row r="183" spans="1:17" x14ac:dyDescent="0.2">
      <c r="A183">
        <f t="shared" si="2"/>
        <v>1608025</v>
      </c>
      <c r="B183" s="7" t="s">
        <v>669</v>
      </c>
      <c r="C183" s="8">
        <v>42588.591354861113</v>
      </c>
      <c r="D183" s="8">
        <v>42623</v>
      </c>
      <c r="E183" s="9" t="s">
        <v>39</v>
      </c>
      <c r="F183" s="10" t="s">
        <v>16</v>
      </c>
      <c r="G183" s="10" t="s">
        <v>207</v>
      </c>
      <c r="H183" s="10" t="s">
        <v>670</v>
      </c>
      <c r="I183" s="10"/>
      <c r="J183" s="11">
        <v>626634229</v>
      </c>
      <c r="K183" s="11"/>
      <c r="L183" s="10" t="s">
        <v>671</v>
      </c>
      <c r="M183" s="10" t="s">
        <v>109</v>
      </c>
      <c r="N183" s="10" t="s">
        <v>672</v>
      </c>
      <c r="O183" s="10"/>
      <c r="P183" s="8"/>
      <c r="Q183" s="12"/>
    </row>
    <row r="184" spans="1:17" x14ac:dyDescent="0.2">
      <c r="A184">
        <f t="shared" si="2"/>
        <v>1608026</v>
      </c>
      <c r="B184" s="7" t="s">
        <v>673</v>
      </c>
      <c r="C184" s="8">
        <v>42590.697171874999</v>
      </c>
      <c r="D184" s="8">
        <v>42615</v>
      </c>
      <c r="E184" s="9" t="s">
        <v>39</v>
      </c>
      <c r="F184" s="10" t="s">
        <v>16</v>
      </c>
      <c r="G184" s="10" t="s">
        <v>303</v>
      </c>
      <c r="H184" s="10" t="s">
        <v>674</v>
      </c>
      <c r="I184" s="10" t="s">
        <v>243</v>
      </c>
      <c r="J184" s="11">
        <v>815678312</v>
      </c>
      <c r="K184" s="11"/>
      <c r="L184" s="10" t="s">
        <v>675</v>
      </c>
      <c r="M184" s="10" t="s">
        <v>54</v>
      </c>
      <c r="N184" s="10" t="s">
        <v>676</v>
      </c>
      <c r="O184" s="10">
        <v>2010</v>
      </c>
      <c r="P184" s="8">
        <v>42879</v>
      </c>
      <c r="Q184" s="12" t="s">
        <v>677</v>
      </c>
    </row>
    <row r="185" spans="1:17" x14ac:dyDescent="0.2">
      <c r="A185">
        <f t="shared" si="2"/>
        <v>1608027</v>
      </c>
      <c r="B185" s="7" t="s">
        <v>678</v>
      </c>
      <c r="C185" s="8">
        <v>42595.553460763891</v>
      </c>
      <c r="D185" s="8">
        <v>42597</v>
      </c>
      <c r="E185" s="9">
        <v>1.4465392361089471</v>
      </c>
      <c r="F185" s="10" t="s">
        <v>159</v>
      </c>
      <c r="G185" s="10" t="s">
        <v>40</v>
      </c>
      <c r="H185" s="10" t="s">
        <v>679</v>
      </c>
      <c r="I185" s="10" t="s">
        <v>680</v>
      </c>
      <c r="J185" s="11"/>
      <c r="K185" s="11"/>
      <c r="L185" s="10" t="s">
        <v>681</v>
      </c>
      <c r="M185" s="10" t="s">
        <v>47</v>
      </c>
      <c r="N185" s="10" t="s">
        <v>48</v>
      </c>
      <c r="O185" s="10"/>
      <c r="P185" s="8"/>
      <c r="Q185" s="12"/>
    </row>
    <row r="186" spans="1:17" x14ac:dyDescent="0.2">
      <c r="A186">
        <f t="shared" si="2"/>
        <v>1608028</v>
      </c>
      <c r="B186" s="7" t="s">
        <v>682</v>
      </c>
      <c r="C186" s="8">
        <v>42596.881744791666</v>
      </c>
      <c r="D186" s="8"/>
      <c r="E186" s="9" t="s">
        <v>37</v>
      </c>
      <c r="F186" s="10" t="s">
        <v>159</v>
      </c>
      <c r="G186" s="10" t="s">
        <v>225</v>
      </c>
      <c r="H186" s="10" t="s">
        <v>683</v>
      </c>
      <c r="I186" s="10" t="s">
        <v>452</v>
      </c>
      <c r="J186" s="11">
        <v>92271659</v>
      </c>
      <c r="K186" s="11"/>
      <c r="L186" s="10" t="s">
        <v>684</v>
      </c>
      <c r="M186" s="10" t="s">
        <v>47</v>
      </c>
      <c r="N186" s="10" t="s">
        <v>78</v>
      </c>
      <c r="O186" s="10">
        <v>2008</v>
      </c>
      <c r="P186" s="8">
        <v>21564</v>
      </c>
      <c r="Q186" s="12" t="s">
        <v>685</v>
      </c>
    </row>
    <row r="187" spans="1:17" x14ac:dyDescent="0.2">
      <c r="A187">
        <f t="shared" si="2"/>
        <v>1608029</v>
      </c>
      <c r="B187" s="7" t="s">
        <v>686</v>
      </c>
      <c r="C187" s="8">
        <v>42596.88989189815</v>
      </c>
      <c r="D187" s="8"/>
      <c r="E187" s="9" t="s">
        <v>39</v>
      </c>
      <c r="F187" s="10" t="s">
        <v>16</v>
      </c>
      <c r="G187" s="10" t="s">
        <v>207</v>
      </c>
      <c r="H187" s="10" t="s">
        <v>687</v>
      </c>
      <c r="I187" s="10" t="s">
        <v>625</v>
      </c>
      <c r="J187" s="11">
        <v>952895644</v>
      </c>
      <c r="K187" s="11"/>
      <c r="L187" s="10" t="s">
        <v>688</v>
      </c>
      <c r="M187" s="10" t="s">
        <v>58</v>
      </c>
      <c r="N187" s="10" t="s">
        <v>59</v>
      </c>
      <c r="O187" s="10">
        <v>2006</v>
      </c>
      <c r="P187" s="8">
        <v>42639</v>
      </c>
      <c r="Q187" s="12" t="s">
        <v>229</v>
      </c>
    </row>
    <row r="188" spans="1:17" x14ac:dyDescent="0.2">
      <c r="A188">
        <f t="shared" si="2"/>
        <v>1608030</v>
      </c>
      <c r="B188" s="7" t="s">
        <v>689</v>
      </c>
      <c r="C188" s="8">
        <v>42596.891839583332</v>
      </c>
      <c r="D188" s="8"/>
      <c r="E188" s="9" t="s">
        <v>39</v>
      </c>
      <c r="F188" s="10" t="s">
        <v>16</v>
      </c>
      <c r="G188" s="10" t="s">
        <v>196</v>
      </c>
      <c r="H188" s="10" t="s">
        <v>690</v>
      </c>
      <c r="I188" s="10"/>
      <c r="J188" s="11">
        <v>913632025</v>
      </c>
      <c r="K188" s="11"/>
      <c r="L188" s="10" t="s">
        <v>691</v>
      </c>
      <c r="M188" s="10" t="s">
        <v>47</v>
      </c>
      <c r="N188" s="10" t="s">
        <v>106</v>
      </c>
      <c r="O188" s="10">
        <v>2015</v>
      </c>
      <c r="P188" s="8" t="s">
        <v>596</v>
      </c>
      <c r="Q188" s="12" t="s">
        <v>596</v>
      </c>
    </row>
    <row r="189" spans="1:17" x14ac:dyDescent="0.2">
      <c r="A189">
        <f t="shared" si="2"/>
        <v>1608031</v>
      </c>
      <c r="B189" s="7" t="s">
        <v>692</v>
      </c>
      <c r="C189" s="8">
        <v>42596.893285879632</v>
      </c>
      <c r="D189" s="8"/>
      <c r="E189" s="9" t="s">
        <v>37</v>
      </c>
      <c r="F189" s="10" t="s">
        <v>16</v>
      </c>
      <c r="G189" s="10" t="s">
        <v>207</v>
      </c>
      <c r="H189" s="10" t="s">
        <v>693</v>
      </c>
      <c r="I189" s="10" t="s">
        <v>305</v>
      </c>
      <c r="J189" s="11">
        <v>985075145</v>
      </c>
      <c r="K189" s="11">
        <v>816949521</v>
      </c>
      <c r="L189" s="10" t="s">
        <v>694</v>
      </c>
      <c r="M189" s="10" t="s">
        <v>47</v>
      </c>
      <c r="N189" s="10" t="s">
        <v>99</v>
      </c>
      <c r="O189" s="10">
        <v>2004</v>
      </c>
      <c r="P189" s="8">
        <v>42724</v>
      </c>
      <c r="Q189" s="12" t="s">
        <v>217</v>
      </c>
    </row>
    <row r="190" spans="1:17" x14ac:dyDescent="0.2">
      <c r="A190">
        <f t="shared" si="2"/>
        <v>1608032</v>
      </c>
      <c r="B190" s="7" t="s">
        <v>695</v>
      </c>
      <c r="C190" s="8">
        <v>42596.894545717594</v>
      </c>
      <c r="D190" s="8"/>
      <c r="E190" s="9" t="s">
        <v>39</v>
      </c>
      <c r="F190" s="10" t="s">
        <v>16</v>
      </c>
      <c r="G190" s="10" t="s">
        <v>337</v>
      </c>
      <c r="H190" s="10" t="s">
        <v>696</v>
      </c>
      <c r="I190" s="10"/>
      <c r="J190" s="11">
        <v>927401528</v>
      </c>
      <c r="K190" s="11"/>
      <c r="L190" s="10" t="s">
        <v>697</v>
      </c>
      <c r="M190" s="10" t="s">
        <v>54</v>
      </c>
      <c r="N190" s="10" t="s">
        <v>194</v>
      </c>
      <c r="O190" s="10">
        <v>2013</v>
      </c>
      <c r="P190" s="8">
        <v>42572</v>
      </c>
      <c r="Q190" s="12" t="s">
        <v>677</v>
      </c>
    </row>
    <row r="191" spans="1:17" x14ac:dyDescent="0.2">
      <c r="A191">
        <f t="shared" si="2"/>
        <v>1608033</v>
      </c>
      <c r="B191" s="7" t="s">
        <v>698</v>
      </c>
      <c r="C191" s="8">
        <v>42596.896400925929</v>
      </c>
      <c r="D191" s="8"/>
      <c r="E191" s="9" t="s">
        <v>39</v>
      </c>
      <c r="F191" s="10" t="s">
        <v>16</v>
      </c>
      <c r="G191" s="10" t="s">
        <v>207</v>
      </c>
      <c r="H191" s="10" t="s">
        <v>699</v>
      </c>
      <c r="I191" s="10" t="s">
        <v>700</v>
      </c>
      <c r="J191" s="11">
        <v>897760464</v>
      </c>
      <c r="K191" s="11"/>
      <c r="L191" s="10" t="s">
        <v>701</v>
      </c>
      <c r="M191" s="10" t="s">
        <v>42</v>
      </c>
      <c r="N191" s="10" t="s">
        <v>75</v>
      </c>
      <c r="O191" s="10"/>
      <c r="P191" s="8" t="s">
        <v>596</v>
      </c>
      <c r="Q191" s="12" t="s">
        <v>596</v>
      </c>
    </row>
    <row r="192" spans="1:17" x14ac:dyDescent="0.2">
      <c r="A192">
        <f t="shared" si="2"/>
        <v>1608034</v>
      </c>
      <c r="B192" s="7" t="s">
        <v>702</v>
      </c>
      <c r="C192" s="8">
        <v>42596.905212152778</v>
      </c>
      <c r="D192" s="8"/>
      <c r="E192" s="9" t="s">
        <v>39</v>
      </c>
      <c r="F192" s="10" t="s">
        <v>16</v>
      </c>
      <c r="G192" s="10" t="s">
        <v>202</v>
      </c>
      <c r="H192" s="10" t="s">
        <v>703</v>
      </c>
      <c r="I192" s="10" t="s">
        <v>295</v>
      </c>
      <c r="J192" s="11">
        <v>870281941</v>
      </c>
      <c r="K192" s="11"/>
      <c r="L192" s="10" t="s">
        <v>704</v>
      </c>
      <c r="M192" s="10" t="s">
        <v>47</v>
      </c>
      <c r="N192" s="10" t="s">
        <v>48</v>
      </c>
      <c r="O192" s="10">
        <v>2008</v>
      </c>
      <c r="P192" s="8">
        <v>42837</v>
      </c>
      <c r="Q192" s="12" t="s">
        <v>331</v>
      </c>
    </row>
    <row r="193" spans="1:17" x14ac:dyDescent="0.2">
      <c r="A193">
        <f t="shared" si="2"/>
        <v>1608035</v>
      </c>
      <c r="B193" s="7" t="s">
        <v>705</v>
      </c>
      <c r="C193" s="8">
        <v>42597.481769907405</v>
      </c>
      <c r="D193" s="8">
        <v>42604</v>
      </c>
      <c r="E193" s="9" t="s">
        <v>39</v>
      </c>
      <c r="F193" s="10" t="s">
        <v>16</v>
      </c>
      <c r="G193" s="10" t="s">
        <v>337</v>
      </c>
      <c r="H193" s="10" t="s">
        <v>706</v>
      </c>
      <c r="I193" s="10" t="s">
        <v>233</v>
      </c>
      <c r="J193" s="11">
        <v>894940027</v>
      </c>
      <c r="K193" s="11"/>
      <c r="L193" s="10" t="s">
        <v>707</v>
      </c>
      <c r="M193" s="10" t="s">
        <v>47</v>
      </c>
      <c r="N193" s="10" t="s">
        <v>106</v>
      </c>
      <c r="O193" s="10">
        <v>2013</v>
      </c>
      <c r="P193" s="8">
        <v>42788</v>
      </c>
      <c r="Q193" s="12" t="s">
        <v>499</v>
      </c>
    </row>
    <row r="194" spans="1:17" x14ac:dyDescent="0.2">
      <c r="A194">
        <f t="shared" si="2"/>
        <v>1608036</v>
      </c>
      <c r="B194" s="7" t="s">
        <v>708</v>
      </c>
      <c r="C194" s="8">
        <v>42597.635466898151</v>
      </c>
      <c r="D194" s="8">
        <v>42604</v>
      </c>
      <c r="E194" s="9" t="s">
        <v>39</v>
      </c>
      <c r="F194" s="10" t="s">
        <v>16</v>
      </c>
      <c r="G194" s="10" t="s">
        <v>337</v>
      </c>
      <c r="H194" s="10" t="s">
        <v>709</v>
      </c>
      <c r="I194" s="10" t="s">
        <v>233</v>
      </c>
      <c r="J194" s="11">
        <v>965965945</v>
      </c>
      <c r="K194" s="11"/>
      <c r="L194" s="10" t="s">
        <v>710</v>
      </c>
      <c r="M194" s="10" t="s">
        <v>47</v>
      </c>
      <c r="N194" s="10" t="s">
        <v>51</v>
      </c>
      <c r="O194" s="10">
        <v>2010</v>
      </c>
      <c r="P194" s="8">
        <v>42615</v>
      </c>
      <c r="Q194" s="12">
        <v>340000</v>
      </c>
    </row>
    <row r="195" spans="1:17" x14ac:dyDescent="0.2">
      <c r="A195">
        <f t="shared" si="2"/>
        <v>1608037</v>
      </c>
      <c r="B195" s="7" t="s">
        <v>711</v>
      </c>
      <c r="C195" s="8">
        <v>42597.638406018516</v>
      </c>
      <c r="D195" s="8">
        <v>42606</v>
      </c>
      <c r="E195" s="9" t="s">
        <v>39</v>
      </c>
      <c r="F195" s="10" t="s">
        <v>16</v>
      </c>
      <c r="G195" s="10" t="s">
        <v>337</v>
      </c>
      <c r="H195" s="10" t="s">
        <v>712</v>
      </c>
      <c r="I195" s="10" t="s">
        <v>233</v>
      </c>
      <c r="J195" s="11">
        <v>809997853</v>
      </c>
      <c r="K195" s="11"/>
      <c r="L195" s="10" t="s">
        <v>713</v>
      </c>
      <c r="M195" s="10" t="s">
        <v>87</v>
      </c>
      <c r="N195" s="10">
        <v>2</v>
      </c>
      <c r="O195" s="10">
        <v>2012</v>
      </c>
      <c r="P195" s="8">
        <v>42720</v>
      </c>
      <c r="Q195" s="12">
        <v>430000</v>
      </c>
    </row>
    <row r="196" spans="1:17" x14ac:dyDescent="0.2">
      <c r="A196">
        <f t="shared" ref="A196:A259" si="3">VALUE(B196)</f>
        <v>1608038</v>
      </c>
      <c r="B196" s="7" t="s">
        <v>714</v>
      </c>
      <c r="C196" s="8">
        <v>42597.644748842591</v>
      </c>
      <c r="D196" s="8">
        <v>42597</v>
      </c>
      <c r="E196" s="9">
        <v>14.355251157408929</v>
      </c>
      <c r="F196" s="10" t="s">
        <v>16</v>
      </c>
      <c r="G196" s="10" t="s">
        <v>207</v>
      </c>
      <c r="H196" s="10" t="s">
        <v>715</v>
      </c>
      <c r="I196" s="10" t="s">
        <v>339</v>
      </c>
      <c r="J196" s="11">
        <v>887756703</v>
      </c>
      <c r="K196" s="11"/>
      <c r="L196" s="10" t="s">
        <v>716</v>
      </c>
      <c r="M196" s="10" t="s">
        <v>58</v>
      </c>
      <c r="N196" s="10" t="s">
        <v>717</v>
      </c>
      <c r="O196" s="10">
        <v>2012</v>
      </c>
      <c r="P196" s="8">
        <v>42598</v>
      </c>
      <c r="Q196" s="12" t="s">
        <v>656</v>
      </c>
    </row>
    <row r="197" spans="1:17" x14ac:dyDescent="0.2">
      <c r="A197">
        <f t="shared" si="3"/>
        <v>1608039</v>
      </c>
      <c r="B197" s="7" t="s">
        <v>718</v>
      </c>
      <c r="C197" s="8">
        <v>42597.649737037034</v>
      </c>
      <c r="D197" s="8">
        <v>42606</v>
      </c>
      <c r="E197" s="9" t="s">
        <v>39</v>
      </c>
      <c r="F197" s="10" t="s">
        <v>16</v>
      </c>
      <c r="G197" s="10" t="s">
        <v>207</v>
      </c>
      <c r="H197" s="10" t="s">
        <v>719</v>
      </c>
      <c r="I197" s="10" t="s">
        <v>243</v>
      </c>
      <c r="J197" s="11">
        <v>930219487</v>
      </c>
      <c r="K197" s="11">
        <v>915101789</v>
      </c>
      <c r="L197" s="10" t="s">
        <v>720</v>
      </c>
      <c r="M197" s="10" t="s">
        <v>109</v>
      </c>
      <c r="N197" s="10" t="s">
        <v>240</v>
      </c>
      <c r="O197" s="10">
        <v>2015</v>
      </c>
      <c r="P197" s="8">
        <v>42792</v>
      </c>
      <c r="Q197" s="12" t="s">
        <v>217</v>
      </c>
    </row>
    <row r="198" spans="1:17" x14ac:dyDescent="0.2">
      <c r="A198">
        <f t="shared" si="3"/>
        <v>1608040</v>
      </c>
      <c r="B198" s="7" t="s">
        <v>721</v>
      </c>
      <c r="C198" s="8">
        <v>42597.737116898148</v>
      </c>
      <c r="D198" s="8">
        <v>42602</v>
      </c>
      <c r="E198" s="9" t="s">
        <v>39</v>
      </c>
      <c r="F198" s="10" t="s">
        <v>16</v>
      </c>
      <c r="G198" s="10" t="s">
        <v>207</v>
      </c>
      <c r="H198" s="10" t="s">
        <v>722</v>
      </c>
      <c r="I198" s="10" t="s">
        <v>263</v>
      </c>
      <c r="J198" s="11">
        <v>817066398</v>
      </c>
      <c r="K198" s="11"/>
      <c r="L198" s="10" t="s">
        <v>723</v>
      </c>
      <c r="M198" s="10" t="s">
        <v>58</v>
      </c>
      <c r="N198" s="10" t="s">
        <v>414</v>
      </c>
      <c r="O198" s="10">
        <v>2011</v>
      </c>
      <c r="P198" s="8">
        <v>42826</v>
      </c>
      <c r="Q198" s="12" t="s">
        <v>335</v>
      </c>
    </row>
    <row r="199" spans="1:17" x14ac:dyDescent="0.2">
      <c r="A199">
        <f t="shared" si="3"/>
        <v>1608041</v>
      </c>
      <c r="B199" s="7" t="s">
        <v>724</v>
      </c>
      <c r="C199" s="8">
        <v>42597.741276967594</v>
      </c>
      <c r="D199" s="8">
        <v>42623</v>
      </c>
      <c r="E199" s="9" t="s">
        <v>39</v>
      </c>
      <c r="F199" s="10" t="s">
        <v>16</v>
      </c>
      <c r="G199" s="10" t="s">
        <v>580</v>
      </c>
      <c r="H199" s="10" t="s">
        <v>725</v>
      </c>
      <c r="I199" s="10" t="s">
        <v>492</v>
      </c>
      <c r="J199" s="11">
        <v>813739447</v>
      </c>
      <c r="K199" s="11"/>
      <c r="L199" s="10" t="s">
        <v>726</v>
      </c>
      <c r="M199" s="10" t="s">
        <v>47</v>
      </c>
      <c r="N199" s="10" t="s">
        <v>78</v>
      </c>
      <c r="O199" s="10">
        <v>2010</v>
      </c>
      <c r="P199" s="8">
        <v>42842</v>
      </c>
      <c r="Q199" s="12" t="s">
        <v>489</v>
      </c>
    </row>
    <row r="200" spans="1:17" x14ac:dyDescent="0.2">
      <c r="A200">
        <f t="shared" si="3"/>
        <v>1608042</v>
      </c>
      <c r="B200" s="7" t="s">
        <v>727</v>
      </c>
      <c r="C200" s="8">
        <v>42598.669365046298</v>
      </c>
      <c r="D200" s="8">
        <v>42601</v>
      </c>
      <c r="E200" s="9" t="s">
        <v>39</v>
      </c>
      <c r="F200" s="10" t="s">
        <v>16</v>
      </c>
      <c r="G200" s="10" t="s">
        <v>207</v>
      </c>
      <c r="H200" s="10" t="s">
        <v>728</v>
      </c>
      <c r="I200" s="10" t="s">
        <v>305</v>
      </c>
      <c r="J200" s="11">
        <v>816368557</v>
      </c>
      <c r="K200" s="11"/>
      <c r="L200" s="10" t="s">
        <v>729</v>
      </c>
      <c r="M200" s="10" t="s">
        <v>109</v>
      </c>
      <c r="N200" s="10" t="s">
        <v>730</v>
      </c>
      <c r="O200" s="10">
        <v>2012</v>
      </c>
      <c r="P200" s="8">
        <v>42718</v>
      </c>
      <c r="Q200" s="12" t="s">
        <v>731</v>
      </c>
    </row>
    <row r="201" spans="1:17" x14ac:dyDescent="0.2">
      <c r="A201">
        <f t="shared" si="3"/>
        <v>1608043</v>
      </c>
      <c r="B201" s="7" t="s">
        <v>732</v>
      </c>
      <c r="C201" s="8">
        <v>42598.677498263889</v>
      </c>
      <c r="D201" s="8">
        <v>42604</v>
      </c>
      <c r="E201" s="9">
        <v>5.3225017361110076</v>
      </c>
      <c r="F201" s="10" t="s">
        <v>16</v>
      </c>
      <c r="G201" s="10" t="s">
        <v>337</v>
      </c>
      <c r="H201" s="10" t="s">
        <v>733</v>
      </c>
      <c r="I201" s="10" t="s">
        <v>233</v>
      </c>
      <c r="J201" s="11">
        <v>831314525</v>
      </c>
      <c r="K201" s="11"/>
      <c r="L201" s="10" t="s">
        <v>734</v>
      </c>
      <c r="M201" s="10" t="s">
        <v>47</v>
      </c>
      <c r="N201" s="10" t="s">
        <v>51</v>
      </c>
      <c r="O201" s="10">
        <v>2011</v>
      </c>
      <c r="P201" s="8">
        <v>42569</v>
      </c>
      <c r="Q201" s="12">
        <v>320000</v>
      </c>
    </row>
    <row r="202" spans="1:17" x14ac:dyDescent="0.2">
      <c r="A202">
        <f t="shared" si="3"/>
        <v>1608044</v>
      </c>
      <c r="B202" s="7" t="s">
        <v>735</v>
      </c>
      <c r="C202" s="8">
        <v>42599.627784027776</v>
      </c>
      <c r="D202" s="8">
        <v>42607</v>
      </c>
      <c r="E202" s="9" t="s">
        <v>39</v>
      </c>
      <c r="F202" s="10" t="s">
        <v>16</v>
      </c>
      <c r="G202" s="10" t="s">
        <v>231</v>
      </c>
      <c r="H202" s="10" t="s">
        <v>736</v>
      </c>
      <c r="I202" s="10" t="s">
        <v>286</v>
      </c>
      <c r="J202" s="11">
        <v>631782721</v>
      </c>
      <c r="K202" s="11"/>
      <c r="L202" s="10" t="s">
        <v>737</v>
      </c>
      <c r="M202" s="10" t="s">
        <v>58</v>
      </c>
      <c r="N202" s="10" t="s">
        <v>414</v>
      </c>
      <c r="O202" s="10">
        <v>2014</v>
      </c>
      <c r="P202" s="8">
        <v>42610</v>
      </c>
      <c r="Q202" s="12">
        <v>450000</v>
      </c>
    </row>
    <row r="203" spans="1:17" x14ac:dyDescent="0.2">
      <c r="A203">
        <f t="shared" si="3"/>
        <v>1608045</v>
      </c>
      <c r="B203" s="7" t="s">
        <v>738</v>
      </c>
      <c r="C203" s="8">
        <v>42600.384447222219</v>
      </c>
      <c r="D203" s="8">
        <v>42608</v>
      </c>
      <c r="E203" s="9" t="s">
        <v>39</v>
      </c>
      <c r="F203" s="10" t="s">
        <v>16</v>
      </c>
      <c r="G203" s="10" t="s">
        <v>207</v>
      </c>
      <c r="H203" s="10" t="s">
        <v>739</v>
      </c>
      <c r="I203" s="10" t="s">
        <v>263</v>
      </c>
      <c r="J203" s="11">
        <v>811861284</v>
      </c>
      <c r="K203" s="11"/>
      <c r="L203" s="10" t="s">
        <v>740</v>
      </c>
      <c r="M203" s="10" t="s">
        <v>47</v>
      </c>
      <c r="N203" s="10" t="s">
        <v>51</v>
      </c>
      <c r="O203" s="10">
        <v>2007</v>
      </c>
      <c r="P203" s="8">
        <v>42721</v>
      </c>
      <c r="Q203" s="12" t="s">
        <v>229</v>
      </c>
    </row>
    <row r="204" spans="1:17" x14ac:dyDescent="0.2">
      <c r="A204">
        <f t="shared" si="3"/>
        <v>1608046</v>
      </c>
      <c r="B204" s="7" t="s">
        <v>741</v>
      </c>
      <c r="C204" s="8">
        <v>42600.397356365742</v>
      </c>
      <c r="D204" s="8">
        <v>42602</v>
      </c>
      <c r="E204" s="9" t="s">
        <v>39</v>
      </c>
      <c r="F204" s="10" t="s">
        <v>16</v>
      </c>
      <c r="G204" s="10" t="s">
        <v>207</v>
      </c>
      <c r="H204" s="10" t="s">
        <v>742</v>
      </c>
      <c r="I204" s="10" t="s">
        <v>305</v>
      </c>
      <c r="J204" s="11">
        <v>870647164</v>
      </c>
      <c r="K204" s="11">
        <v>847249772</v>
      </c>
      <c r="L204" s="10" t="s">
        <v>743</v>
      </c>
      <c r="M204" s="10" t="s">
        <v>58</v>
      </c>
      <c r="N204" s="10" t="s">
        <v>59</v>
      </c>
      <c r="O204" s="10">
        <v>2012</v>
      </c>
      <c r="P204" s="8">
        <v>42621</v>
      </c>
      <c r="Q204" s="12" t="s">
        <v>656</v>
      </c>
    </row>
    <row r="205" spans="1:17" x14ac:dyDescent="0.2">
      <c r="A205">
        <f t="shared" si="3"/>
        <v>1608047</v>
      </c>
      <c r="B205" s="7" t="s">
        <v>744</v>
      </c>
      <c r="C205" s="8">
        <v>42600.652163541665</v>
      </c>
      <c r="D205" s="8"/>
      <c r="E205" s="9" t="s">
        <v>39</v>
      </c>
      <c r="F205" s="10" t="s">
        <v>16</v>
      </c>
      <c r="G205" s="10" t="s">
        <v>231</v>
      </c>
      <c r="H205" s="10" t="s">
        <v>745</v>
      </c>
      <c r="I205" s="10" t="s">
        <v>625</v>
      </c>
      <c r="J205" s="11">
        <v>863394551</v>
      </c>
      <c r="K205" s="11"/>
      <c r="L205" s="10" t="s">
        <v>746</v>
      </c>
      <c r="M205" s="10" t="s">
        <v>58</v>
      </c>
      <c r="N205" s="10" t="s">
        <v>59</v>
      </c>
      <c r="O205" s="10">
        <v>2003</v>
      </c>
      <c r="P205" s="8" t="s">
        <v>596</v>
      </c>
      <c r="Q205" s="12" t="s">
        <v>596</v>
      </c>
    </row>
    <row r="206" spans="1:17" x14ac:dyDescent="0.2">
      <c r="A206">
        <f t="shared" si="3"/>
        <v>1608048</v>
      </c>
      <c r="B206" s="7" t="s">
        <v>747</v>
      </c>
      <c r="C206" s="8">
        <v>42601.676410185188</v>
      </c>
      <c r="D206" s="8">
        <v>42607</v>
      </c>
      <c r="E206" s="9" t="s">
        <v>39</v>
      </c>
      <c r="F206" s="10" t="s">
        <v>16</v>
      </c>
      <c r="G206" s="10" t="s">
        <v>225</v>
      </c>
      <c r="H206" s="10" t="s">
        <v>748</v>
      </c>
      <c r="I206" s="10" t="s">
        <v>233</v>
      </c>
      <c r="J206" s="11">
        <v>617158242</v>
      </c>
      <c r="K206" s="11"/>
      <c r="L206" s="10" t="s">
        <v>749</v>
      </c>
      <c r="M206" s="10" t="s">
        <v>42</v>
      </c>
      <c r="N206" s="10" t="s">
        <v>43</v>
      </c>
      <c r="O206" s="10">
        <v>2013</v>
      </c>
      <c r="P206" s="8">
        <v>42695</v>
      </c>
      <c r="Q206" s="12" t="s">
        <v>260</v>
      </c>
    </row>
    <row r="207" spans="1:17" x14ac:dyDescent="0.2">
      <c r="A207">
        <f t="shared" si="3"/>
        <v>1608049</v>
      </c>
      <c r="B207" s="7" t="s">
        <v>750</v>
      </c>
      <c r="C207" s="8">
        <v>42601.68144641204</v>
      </c>
      <c r="D207" s="8">
        <v>42608</v>
      </c>
      <c r="E207" s="9" t="s">
        <v>39</v>
      </c>
      <c r="F207" s="10" t="s">
        <v>16</v>
      </c>
      <c r="G207" s="10" t="s">
        <v>207</v>
      </c>
      <c r="H207" s="10" t="s">
        <v>606</v>
      </c>
      <c r="I207" s="10" t="s">
        <v>286</v>
      </c>
      <c r="J207" s="11">
        <v>958183925</v>
      </c>
      <c r="K207" s="11">
        <v>982600157</v>
      </c>
      <c r="L207" s="10" t="s">
        <v>607</v>
      </c>
      <c r="M207" s="10" t="s">
        <v>58</v>
      </c>
      <c r="N207" s="10" t="s">
        <v>414</v>
      </c>
      <c r="O207" s="10">
        <v>2015</v>
      </c>
      <c r="P207" s="8">
        <v>42673</v>
      </c>
      <c r="Q207" s="12" t="s">
        <v>564</v>
      </c>
    </row>
    <row r="208" spans="1:17" x14ac:dyDescent="0.2">
      <c r="A208">
        <f t="shared" si="3"/>
        <v>1608050</v>
      </c>
      <c r="B208" s="7" t="s">
        <v>751</v>
      </c>
      <c r="C208" s="8">
        <v>42602.439024768515</v>
      </c>
      <c r="D208" s="8">
        <v>42602</v>
      </c>
      <c r="E208" s="9" t="s">
        <v>39</v>
      </c>
      <c r="F208" s="10" t="s">
        <v>16</v>
      </c>
      <c r="G208" s="10" t="s">
        <v>337</v>
      </c>
      <c r="H208" s="10" t="s">
        <v>752</v>
      </c>
      <c r="I208" s="10" t="s">
        <v>452</v>
      </c>
      <c r="J208" s="11">
        <v>890222423</v>
      </c>
      <c r="K208" s="11"/>
      <c r="L208" s="10" t="s">
        <v>753</v>
      </c>
      <c r="M208" s="10" t="s">
        <v>42</v>
      </c>
      <c r="N208" s="10" t="s">
        <v>75</v>
      </c>
      <c r="O208" s="10">
        <v>2010</v>
      </c>
      <c r="P208" s="8">
        <v>42816</v>
      </c>
      <c r="Q208" s="12" t="s">
        <v>256</v>
      </c>
    </row>
    <row r="209" spans="1:17" x14ac:dyDescent="0.2">
      <c r="A209">
        <f t="shared" si="3"/>
        <v>1608051</v>
      </c>
      <c r="B209" s="7" t="s">
        <v>754</v>
      </c>
      <c r="C209" s="8">
        <v>42602.44539270833</v>
      </c>
      <c r="D209" s="8">
        <v>42609</v>
      </c>
      <c r="E209" s="9" t="s">
        <v>39</v>
      </c>
      <c r="F209" s="10" t="s">
        <v>16</v>
      </c>
      <c r="G209" s="10" t="s">
        <v>225</v>
      </c>
      <c r="H209" s="10" t="s">
        <v>755</v>
      </c>
      <c r="I209" s="10" t="s">
        <v>263</v>
      </c>
      <c r="J209" s="11">
        <v>891222680</v>
      </c>
      <c r="K209" s="11"/>
      <c r="L209" s="10" t="s">
        <v>756</v>
      </c>
      <c r="M209" s="10" t="s">
        <v>87</v>
      </c>
      <c r="N209" s="10">
        <v>3</v>
      </c>
      <c r="O209" s="10">
        <v>2013</v>
      </c>
      <c r="P209" s="8">
        <v>42766</v>
      </c>
      <c r="Q209" s="12" t="s">
        <v>668</v>
      </c>
    </row>
    <row r="210" spans="1:17" x14ac:dyDescent="0.2">
      <c r="A210">
        <f t="shared" si="3"/>
        <v>1608052</v>
      </c>
      <c r="B210" s="7" t="s">
        <v>757</v>
      </c>
      <c r="C210" s="8">
        <v>42602.637982754626</v>
      </c>
      <c r="D210" s="8">
        <v>42628</v>
      </c>
      <c r="E210" s="9" t="s">
        <v>39</v>
      </c>
      <c r="F210" s="10" t="s">
        <v>16</v>
      </c>
      <c r="G210" s="10" t="s">
        <v>303</v>
      </c>
      <c r="H210" s="10" t="s">
        <v>758</v>
      </c>
      <c r="I210" s="10" t="s">
        <v>215</v>
      </c>
      <c r="J210" s="11">
        <v>870991692</v>
      </c>
      <c r="K210" s="11">
        <v>613839489</v>
      </c>
      <c r="L210" s="10" t="s">
        <v>759</v>
      </c>
      <c r="M210" s="10" t="s">
        <v>47</v>
      </c>
      <c r="N210" s="10" t="s">
        <v>48</v>
      </c>
      <c r="O210" s="10">
        <v>2014</v>
      </c>
      <c r="P210" s="8">
        <v>42606</v>
      </c>
      <c r="Q210" s="12" t="s">
        <v>685</v>
      </c>
    </row>
    <row r="211" spans="1:17" x14ac:dyDescent="0.2">
      <c r="A211">
        <f t="shared" si="3"/>
        <v>1608053</v>
      </c>
      <c r="B211" s="7" t="s">
        <v>760</v>
      </c>
      <c r="C211" s="8">
        <v>42604.385365277776</v>
      </c>
      <c r="D211" s="8"/>
      <c r="E211" s="9" t="s">
        <v>37</v>
      </c>
      <c r="F211" s="10" t="s">
        <v>16</v>
      </c>
      <c r="G211" s="10" t="s">
        <v>207</v>
      </c>
      <c r="H211" s="10" t="s">
        <v>761</v>
      </c>
      <c r="I211" s="10" t="s">
        <v>222</v>
      </c>
      <c r="J211" s="11"/>
      <c r="K211" s="11"/>
      <c r="L211" s="10" t="s">
        <v>762</v>
      </c>
      <c r="M211" s="10" t="s">
        <v>42</v>
      </c>
      <c r="N211" s="10" t="s">
        <v>75</v>
      </c>
      <c r="O211" s="10">
        <v>2008</v>
      </c>
      <c r="P211" s="8">
        <v>42807</v>
      </c>
      <c r="Q211" s="12" t="s">
        <v>763</v>
      </c>
    </row>
    <row r="212" spans="1:17" x14ac:dyDescent="0.2">
      <c r="A212">
        <f t="shared" si="3"/>
        <v>1608054</v>
      </c>
      <c r="B212" s="7" t="s">
        <v>764</v>
      </c>
      <c r="C212" s="8">
        <v>42604.403928240739</v>
      </c>
      <c r="D212" s="8"/>
      <c r="E212" s="9" t="s">
        <v>37</v>
      </c>
      <c r="F212" s="10" t="s">
        <v>16</v>
      </c>
      <c r="G212" s="10" t="s">
        <v>207</v>
      </c>
      <c r="H212" s="10" t="s">
        <v>765</v>
      </c>
      <c r="I212" s="10" t="s">
        <v>286</v>
      </c>
      <c r="J212" s="11">
        <v>884981219</v>
      </c>
      <c r="K212" s="11"/>
      <c r="L212" s="10" t="s">
        <v>766</v>
      </c>
      <c r="M212" s="10" t="s">
        <v>54</v>
      </c>
      <c r="N212" s="10" t="s">
        <v>72</v>
      </c>
      <c r="O212" s="10">
        <v>2005</v>
      </c>
      <c r="P212" s="8"/>
      <c r="Q212" s="12"/>
    </row>
    <row r="213" spans="1:17" x14ac:dyDescent="0.2">
      <c r="A213">
        <f t="shared" si="3"/>
        <v>1608055</v>
      </c>
      <c r="B213" s="7" t="s">
        <v>767</v>
      </c>
      <c r="C213" s="8">
        <v>42604.410433449077</v>
      </c>
      <c r="D213" s="8">
        <v>42609</v>
      </c>
      <c r="E213" s="9" t="s">
        <v>39</v>
      </c>
      <c r="F213" s="10" t="s">
        <v>16</v>
      </c>
      <c r="G213" s="10" t="s">
        <v>207</v>
      </c>
      <c r="H213" s="10" t="s">
        <v>768</v>
      </c>
      <c r="I213" s="10" t="s">
        <v>433</v>
      </c>
      <c r="J213" s="11">
        <v>889833702</v>
      </c>
      <c r="K213" s="11"/>
      <c r="L213" s="10" t="s">
        <v>769</v>
      </c>
      <c r="M213" s="10" t="s">
        <v>58</v>
      </c>
      <c r="N213" s="10" t="s">
        <v>717</v>
      </c>
      <c r="O213" s="10">
        <v>2004</v>
      </c>
      <c r="P213" s="8">
        <v>42789</v>
      </c>
      <c r="Q213" s="12" t="s">
        <v>770</v>
      </c>
    </row>
    <row r="214" spans="1:17" x14ac:dyDescent="0.2">
      <c r="A214">
        <f t="shared" si="3"/>
        <v>1608056</v>
      </c>
      <c r="B214" s="7" t="s">
        <v>771</v>
      </c>
      <c r="C214" s="8">
        <v>42604.499799189813</v>
      </c>
      <c r="D214" s="8">
        <v>42615</v>
      </c>
      <c r="E214" s="9" t="s">
        <v>39</v>
      </c>
      <c r="F214" s="10" t="s">
        <v>159</v>
      </c>
      <c r="G214" s="10" t="s">
        <v>303</v>
      </c>
      <c r="H214" s="10" t="s">
        <v>772</v>
      </c>
      <c r="I214" s="10" t="s">
        <v>233</v>
      </c>
      <c r="J214" s="11">
        <v>613989680</v>
      </c>
      <c r="K214" s="11"/>
      <c r="L214" s="10" t="s">
        <v>773</v>
      </c>
      <c r="M214" s="10" t="s">
        <v>282</v>
      </c>
      <c r="N214" s="10" t="s">
        <v>283</v>
      </c>
      <c r="O214" s="10">
        <v>2014</v>
      </c>
      <c r="P214" s="8">
        <v>42647</v>
      </c>
      <c r="Q214" s="12" t="s">
        <v>774</v>
      </c>
    </row>
    <row r="215" spans="1:17" x14ac:dyDescent="0.2">
      <c r="A215">
        <f t="shared" si="3"/>
        <v>1608057</v>
      </c>
      <c r="B215" s="7" t="s">
        <v>775</v>
      </c>
      <c r="C215" s="8">
        <v>42604.610809606478</v>
      </c>
      <c r="D215" s="8">
        <v>42608</v>
      </c>
      <c r="E215" s="9" t="s">
        <v>39</v>
      </c>
      <c r="F215" s="10" t="s">
        <v>16</v>
      </c>
      <c r="G215" s="10" t="s">
        <v>225</v>
      </c>
      <c r="H215" s="10" t="s">
        <v>776</v>
      </c>
      <c r="I215" s="10" t="s">
        <v>215</v>
      </c>
      <c r="J215" s="11">
        <v>890021575</v>
      </c>
      <c r="K215" s="11"/>
      <c r="L215" s="10" t="s">
        <v>777</v>
      </c>
      <c r="M215" s="10" t="s">
        <v>42</v>
      </c>
      <c r="N215" s="10" t="s">
        <v>778</v>
      </c>
      <c r="O215" s="10">
        <v>2009</v>
      </c>
      <c r="P215" s="8">
        <v>42594</v>
      </c>
      <c r="Q215" s="12" t="s">
        <v>779</v>
      </c>
    </row>
    <row r="216" spans="1:17" x14ac:dyDescent="0.2">
      <c r="A216">
        <f t="shared" si="3"/>
        <v>1608058</v>
      </c>
      <c r="B216" s="7" t="s">
        <v>780</v>
      </c>
      <c r="C216" s="8">
        <v>42604.617115393521</v>
      </c>
      <c r="D216" s="8">
        <v>42613</v>
      </c>
      <c r="E216" s="9" t="s">
        <v>39</v>
      </c>
      <c r="F216" s="10" t="s">
        <v>16</v>
      </c>
      <c r="G216" s="10" t="s">
        <v>337</v>
      </c>
      <c r="H216" s="10" t="s">
        <v>781</v>
      </c>
      <c r="I216" s="10" t="s">
        <v>263</v>
      </c>
      <c r="J216" s="11">
        <v>813707501</v>
      </c>
      <c r="K216" s="11"/>
      <c r="L216" s="10" t="s">
        <v>782</v>
      </c>
      <c r="M216" s="10" t="s">
        <v>87</v>
      </c>
      <c r="N216" s="10">
        <v>3</v>
      </c>
      <c r="O216" s="10">
        <v>2009</v>
      </c>
      <c r="P216" s="8">
        <v>42645</v>
      </c>
      <c r="Q216" s="12" t="s">
        <v>341</v>
      </c>
    </row>
    <row r="217" spans="1:17" x14ac:dyDescent="0.2">
      <c r="A217">
        <f t="shared" si="3"/>
        <v>1608059</v>
      </c>
      <c r="B217" s="7" t="s">
        <v>783</v>
      </c>
      <c r="C217" s="8">
        <v>42604.746521875</v>
      </c>
      <c r="D217" s="8">
        <v>42612</v>
      </c>
      <c r="E217" s="9" t="s">
        <v>39</v>
      </c>
      <c r="F217" s="10" t="s">
        <v>159</v>
      </c>
      <c r="G217" s="10" t="s">
        <v>40</v>
      </c>
      <c r="H217" s="10" t="s">
        <v>784</v>
      </c>
      <c r="I217" s="10" t="s">
        <v>233</v>
      </c>
      <c r="J217" s="11">
        <v>849111276</v>
      </c>
      <c r="K217" s="11"/>
      <c r="L217" s="10" t="s">
        <v>785</v>
      </c>
      <c r="M217" s="10" t="s">
        <v>58</v>
      </c>
      <c r="N217" s="10" t="s">
        <v>414</v>
      </c>
      <c r="O217" s="10"/>
      <c r="P217" s="8"/>
      <c r="Q217" s="12"/>
    </row>
    <row r="218" spans="1:17" x14ac:dyDescent="0.2">
      <c r="A218">
        <f t="shared" si="3"/>
        <v>1608060</v>
      </c>
      <c r="B218" s="7" t="s">
        <v>786</v>
      </c>
      <c r="C218" s="8">
        <v>42605.46496759259</v>
      </c>
      <c r="D218" s="8">
        <v>42628</v>
      </c>
      <c r="E218" s="9" t="s">
        <v>39</v>
      </c>
      <c r="F218" s="10" t="s">
        <v>16</v>
      </c>
      <c r="G218" s="10" t="s">
        <v>207</v>
      </c>
      <c r="H218" s="10" t="s">
        <v>787</v>
      </c>
      <c r="I218" s="10" t="s">
        <v>263</v>
      </c>
      <c r="J218" s="11">
        <v>819229709</v>
      </c>
      <c r="K218" s="11"/>
      <c r="L218" s="10" t="s">
        <v>788</v>
      </c>
      <c r="M218" s="10" t="s">
        <v>47</v>
      </c>
      <c r="N218" s="10" t="s">
        <v>78</v>
      </c>
      <c r="O218" s="10">
        <v>2013</v>
      </c>
      <c r="P218" s="8">
        <v>42786</v>
      </c>
      <c r="Q218" s="12" t="s">
        <v>789</v>
      </c>
    </row>
    <row r="219" spans="1:17" x14ac:dyDescent="0.2">
      <c r="A219">
        <f t="shared" si="3"/>
        <v>1608061</v>
      </c>
      <c r="B219" s="7" t="s">
        <v>790</v>
      </c>
      <c r="C219" s="8">
        <v>42605.582611574071</v>
      </c>
      <c r="D219" s="8">
        <v>42613</v>
      </c>
      <c r="E219" s="9" t="s">
        <v>39</v>
      </c>
      <c r="F219" s="10" t="s">
        <v>16</v>
      </c>
      <c r="G219" s="10" t="s">
        <v>225</v>
      </c>
      <c r="H219" s="10" t="s">
        <v>791</v>
      </c>
      <c r="I219" s="10" t="s">
        <v>792</v>
      </c>
      <c r="J219" s="11">
        <v>922567041</v>
      </c>
      <c r="K219" s="11"/>
      <c r="L219" s="10" t="s">
        <v>793</v>
      </c>
      <c r="M219" s="10" t="s">
        <v>42</v>
      </c>
      <c r="N219" s="10" t="s">
        <v>43</v>
      </c>
      <c r="O219" s="10">
        <v>2004</v>
      </c>
      <c r="P219" s="8">
        <v>42819</v>
      </c>
      <c r="Q219" s="12" t="s">
        <v>229</v>
      </c>
    </row>
    <row r="220" spans="1:17" x14ac:dyDescent="0.2">
      <c r="A220">
        <f t="shared" si="3"/>
        <v>1608062</v>
      </c>
      <c r="B220" s="7" t="s">
        <v>794</v>
      </c>
      <c r="C220" s="8">
        <v>42605.622188541667</v>
      </c>
      <c r="D220" s="8">
        <v>42626</v>
      </c>
      <c r="E220" s="9" t="s">
        <v>39</v>
      </c>
      <c r="F220" s="10" t="s">
        <v>16</v>
      </c>
      <c r="G220" s="10" t="s">
        <v>202</v>
      </c>
      <c r="H220" s="10" t="s">
        <v>795</v>
      </c>
      <c r="I220" s="10" t="s">
        <v>243</v>
      </c>
      <c r="J220" s="11">
        <v>870528634</v>
      </c>
      <c r="K220" s="11"/>
      <c r="L220" s="10" t="s">
        <v>796</v>
      </c>
      <c r="M220" s="10" t="s">
        <v>58</v>
      </c>
      <c r="N220" s="10" t="s">
        <v>414</v>
      </c>
      <c r="O220" s="10">
        <v>2008</v>
      </c>
      <c r="P220" s="8">
        <v>42649</v>
      </c>
      <c r="Q220" s="12" t="s">
        <v>797</v>
      </c>
    </row>
    <row r="221" spans="1:17" x14ac:dyDescent="0.2">
      <c r="A221">
        <f t="shared" si="3"/>
        <v>1608063</v>
      </c>
      <c r="B221" s="7" t="s">
        <v>798</v>
      </c>
      <c r="C221" s="8">
        <v>42605.635707638889</v>
      </c>
      <c r="D221" s="8">
        <v>42609</v>
      </c>
      <c r="E221" s="9">
        <v>3.3642923611114384</v>
      </c>
      <c r="F221" s="10" t="s">
        <v>16</v>
      </c>
      <c r="G221" s="10" t="s">
        <v>225</v>
      </c>
      <c r="H221" s="10" t="s">
        <v>799</v>
      </c>
      <c r="I221" s="10" t="s">
        <v>800</v>
      </c>
      <c r="J221" s="11">
        <v>818908396</v>
      </c>
      <c r="K221" s="11"/>
      <c r="L221" s="10" t="s">
        <v>801</v>
      </c>
      <c r="M221" s="10" t="s">
        <v>42</v>
      </c>
      <c r="N221" s="10" t="s">
        <v>75</v>
      </c>
      <c r="O221" s="10">
        <v>2012</v>
      </c>
      <c r="P221" s="8">
        <v>42884</v>
      </c>
      <c r="Q221" s="12" t="s">
        <v>288</v>
      </c>
    </row>
    <row r="222" spans="1:17" x14ac:dyDescent="0.2">
      <c r="A222">
        <f t="shared" si="3"/>
        <v>1608064</v>
      </c>
      <c r="B222" s="7" t="s">
        <v>802</v>
      </c>
      <c r="C222" s="8">
        <v>42606.407830902775</v>
      </c>
      <c r="D222" s="8">
        <v>42616</v>
      </c>
      <c r="E222" s="9" t="s">
        <v>39</v>
      </c>
      <c r="F222" s="10" t="s">
        <v>16</v>
      </c>
      <c r="G222" s="10" t="s">
        <v>225</v>
      </c>
      <c r="H222" s="10" t="s">
        <v>803</v>
      </c>
      <c r="I222" s="10" t="s">
        <v>263</v>
      </c>
      <c r="J222" s="11">
        <v>922467997</v>
      </c>
      <c r="K222" s="11"/>
      <c r="L222" s="10" t="s">
        <v>804</v>
      </c>
      <c r="M222" s="10" t="s">
        <v>42</v>
      </c>
      <c r="N222" s="10" t="s">
        <v>84</v>
      </c>
      <c r="O222" s="10">
        <v>2006</v>
      </c>
      <c r="P222" s="8">
        <v>42740</v>
      </c>
      <c r="Q222" s="12" t="s">
        <v>229</v>
      </c>
    </row>
    <row r="223" spans="1:17" x14ac:dyDescent="0.2">
      <c r="A223">
        <f t="shared" si="3"/>
        <v>1608065</v>
      </c>
      <c r="B223" s="7" t="s">
        <v>805</v>
      </c>
      <c r="C223" s="8">
        <v>42606.430423611113</v>
      </c>
      <c r="D223" s="8">
        <v>42614</v>
      </c>
      <c r="E223" s="9" t="s">
        <v>39</v>
      </c>
      <c r="F223" s="10" t="s">
        <v>16</v>
      </c>
      <c r="G223" s="10" t="s">
        <v>202</v>
      </c>
      <c r="H223" s="10" t="s">
        <v>806</v>
      </c>
      <c r="I223" s="10" t="s">
        <v>263</v>
      </c>
      <c r="J223" s="11">
        <v>851262250</v>
      </c>
      <c r="K223" s="11"/>
      <c r="L223" s="10" t="s">
        <v>807</v>
      </c>
      <c r="M223" s="10" t="s">
        <v>47</v>
      </c>
      <c r="N223" s="10" t="s">
        <v>51</v>
      </c>
      <c r="O223" s="10">
        <v>2009</v>
      </c>
      <c r="P223" s="8">
        <v>42714</v>
      </c>
      <c r="Q223" s="12" t="s">
        <v>335</v>
      </c>
    </row>
    <row r="224" spans="1:17" x14ac:dyDescent="0.2">
      <c r="A224">
        <f t="shared" si="3"/>
        <v>1608066</v>
      </c>
      <c r="B224" s="7" t="s">
        <v>808</v>
      </c>
      <c r="C224" s="8">
        <v>42606.487233564818</v>
      </c>
      <c r="D224" s="8">
        <v>42614</v>
      </c>
      <c r="E224" s="9" t="s">
        <v>39</v>
      </c>
      <c r="F224" s="10" t="s">
        <v>16</v>
      </c>
      <c r="G224" s="10" t="s">
        <v>202</v>
      </c>
      <c r="H224" s="10" t="s">
        <v>809</v>
      </c>
      <c r="I224" s="10" t="s">
        <v>506</v>
      </c>
      <c r="J224" s="11">
        <v>972134120</v>
      </c>
      <c r="K224" s="11"/>
      <c r="L224" s="10" t="s">
        <v>810</v>
      </c>
      <c r="M224" s="10" t="s">
        <v>47</v>
      </c>
      <c r="N224" s="10" t="s">
        <v>48</v>
      </c>
      <c r="O224" s="10">
        <v>2010</v>
      </c>
      <c r="P224" s="8">
        <v>42580</v>
      </c>
      <c r="Q224" s="12" t="s">
        <v>256</v>
      </c>
    </row>
    <row r="225" spans="1:17" x14ac:dyDescent="0.2">
      <c r="A225">
        <f t="shared" si="3"/>
        <v>1608067</v>
      </c>
      <c r="B225" s="7" t="s">
        <v>811</v>
      </c>
      <c r="C225" s="8">
        <v>42606.501089351848</v>
      </c>
      <c r="D225" s="8">
        <v>42618</v>
      </c>
      <c r="E225" s="9">
        <v>11.49891064815165</v>
      </c>
      <c r="F225" s="10" t="s">
        <v>16</v>
      </c>
      <c r="G225" s="10" t="s">
        <v>207</v>
      </c>
      <c r="H225" s="10" t="s">
        <v>812</v>
      </c>
      <c r="I225" s="10" t="s">
        <v>286</v>
      </c>
      <c r="J225" s="11">
        <v>854442648</v>
      </c>
      <c r="K225" s="11"/>
      <c r="L225" s="10" t="s">
        <v>813</v>
      </c>
      <c r="M225" s="10" t="s">
        <v>47</v>
      </c>
      <c r="N225" s="10" t="s">
        <v>106</v>
      </c>
      <c r="O225" s="10">
        <v>2012</v>
      </c>
      <c r="P225" s="8">
        <v>42395</v>
      </c>
      <c r="Q225" s="12" t="s">
        <v>611</v>
      </c>
    </row>
    <row r="226" spans="1:17" x14ac:dyDescent="0.2">
      <c r="A226">
        <f t="shared" si="3"/>
        <v>1608068</v>
      </c>
      <c r="B226" s="7" t="s">
        <v>814</v>
      </c>
      <c r="C226" s="8">
        <v>42606.668289236113</v>
      </c>
      <c r="D226" s="8">
        <v>42619</v>
      </c>
      <c r="E226" s="9" t="s">
        <v>39</v>
      </c>
      <c r="F226" s="10" t="s">
        <v>16</v>
      </c>
      <c r="G226" s="10" t="s">
        <v>202</v>
      </c>
      <c r="H226" s="10" t="s">
        <v>815</v>
      </c>
      <c r="I226" s="10" t="s">
        <v>254</v>
      </c>
      <c r="J226" s="11">
        <v>898968994</v>
      </c>
      <c r="K226" s="11"/>
      <c r="L226" s="10" t="s">
        <v>816</v>
      </c>
      <c r="M226" s="10" t="s">
        <v>42</v>
      </c>
      <c r="N226" s="10" t="s">
        <v>43</v>
      </c>
      <c r="O226" s="10">
        <v>2012</v>
      </c>
      <c r="P226" s="8">
        <v>42814</v>
      </c>
      <c r="Q226" s="12" t="s">
        <v>419</v>
      </c>
    </row>
    <row r="227" spans="1:17" x14ac:dyDescent="0.2">
      <c r="A227">
        <f t="shared" si="3"/>
        <v>1608069</v>
      </c>
      <c r="B227" s="7" t="s">
        <v>817</v>
      </c>
      <c r="C227" s="8">
        <v>42606.673030555554</v>
      </c>
      <c r="D227" s="8">
        <v>42613</v>
      </c>
      <c r="E227" s="9" t="s">
        <v>39</v>
      </c>
      <c r="F227" s="10" t="s">
        <v>16</v>
      </c>
      <c r="G227" s="10" t="s">
        <v>202</v>
      </c>
      <c r="H227" s="10" t="s">
        <v>818</v>
      </c>
      <c r="I227" s="10" t="s">
        <v>254</v>
      </c>
      <c r="J227" s="11">
        <v>923965164</v>
      </c>
      <c r="K227" s="11"/>
      <c r="L227" s="10" t="s">
        <v>819</v>
      </c>
      <c r="M227" s="10" t="s">
        <v>47</v>
      </c>
      <c r="N227" s="10" t="s">
        <v>106</v>
      </c>
      <c r="O227" s="10">
        <v>2010</v>
      </c>
      <c r="P227" s="8">
        <v>42920</v>
      </c>
      <c r="Q227" s="12" t="s">
        <v>820</v>
      </c>
    </row>
    <row r="228" spans="1:17" x14ac:dyDescent="0.2">
      <c r="A228">
        <f t="shared" si="3"/>
        <v>1608070</v>
      </c>
      <c r="B228" s="7" t="s">
        <v>821</v>
      </c>
      <c r="C228" s="8">
        <v>42606.674639583332</v>
      </c>
      <c r="D228" s="8"/>
      <c r="E228" s="9" t="s">
        <v>37</v>
      </c>
      <c r="F228" s="10" t="s">
        <v>16</v>
      </c>
      <c r="G228" s="10" t="s">
        <v>207</v>
      </c>
      <c r="H228" s="10" t="s">
        <v>822</v>
      </c>
      <c r="I228" s="10" t="s">
        <v>233</v>
      </c>
      <c r="J228" s="11">
        <v>819217204</v>
      </c>
      <c r="K228" s="11"/>
      <c r="L228" s="10" t="s">
        <v>823</v>
      </c>
      <c r="M228" s="10" t="s">
        <v>47</v>
      </c>
      <c r="N228" s="10" t="s">
        <v>99</v>
      </c>
      <c r="O228" s="10">
        <v>2003</v>
      </c>
      <c r="P228" s="8">
        <v>42659</v>
      </c>
      <c r="Q228" s="12" t="s">
        <v>217</v>
      </c>
    </row>
    <row r="229" spans="1:17" x14ac:dyDescent="0.2">
      <c r="A229">
        <f t="shared" si="3"/>
        <v>1608071</v>
      </c>
      <c r="B229" s="7" t="s">
        <v>824</v>
      </c>
      <c r="C229" s="8">
        <v>42607.457485069448</v>
      </c>
      <c r="D229" s="8">
        <v>42612</v>
      </c>
      <c r="E229" s="9">
        <v>4.5425149305519881</v>
      </c>
      <c r="F229" s="10" t="s">
        <v>16</v>
      </c>
      <c r="G229" s="10" t="s">
        <v>580</v>
      </c>
      <c r="H229" s="10" t="s">
        <v>825</v>
      </c>
      <c r="I229" s="10" t="s">
        <v>233</v>
      </c>
      <c r="J229" s="11">
        <v>818493822</v>
      </c>
      <c r="K229" s="11"/>
      <c r="L229" s="10" t="s">
        <v>826</v>
      </c>
      <c r="M229" s="10" t="s">
        <v>42</v>
      </c>
      <c r="N229" s="10" t="s">
        <v>778</v>
      </c>
      <c r="O229" s="10">
        <v>2011</v>
      </c>
      <c r="P229" s="8">
        <v>42763</v>
      </c>
      <c r="Q229" s="12" t="s">
        <v>317</v>
      </c>
    </row>
    <row r="230" spans="1:17" x14ac:dyDescent="0.2">
      <c r="A230">
        <f t="shared" si="3"/>
        <v>1608072</v>
      </c>
      <c r="B230" s="7" t="s">
        <v>827</v>
      </c>
      <c r="C230" s="8">
        <v>42607.716895949074</v>
      </c>
      <c r="D230" s="8">
        <v>42612</v>
      </c>
      <c r="E230" s="9" t="s">
        <v>39</v>
      </c>
      <c r="F230" s="10" t="s">
        <v>16</v>
      </c>
      <c r="G230" s="10" t="s">
        <v>225</v>
      </c>
      <c r="H230" s="10" t="s">
        <v>828</v>
      </c>
      <c r="I230" s="10" t="s">
        <v>506</v>
      </c>
      <c r="J230" s="11">
        <v>827968559</v>
      </c>
      <c r="K230" s="11">
        <v>891095459</v>
      </c>
      <c r="L230" s="10" t="s">
        <v>829</v>
      </c>
      <c r="M230" s="10" t="s">
        <v>47</v>
      </c>
      <c r="N230" s="10" t="s">
        <v>51</v>
      </c>
      <c r="O230" s="10">
        <v>2008</v>
      </c>
      <c r="P230" s="8">
        <v>42878</v>
      </c>
      <c r="Q230" s="12" t="s">
        <v>292</v>
      </c>
    </row>
    <row r="231" spans="1:17" x14ac:dyDescent="0.2">
      <c r="A231">
        <f t="shared" si="3"/>
        <v>1608073</v>
      </c>
      <c r="B231" s="7" t="s">
        <v>830</v>
      </c>
      <c r="C231" s="8">
        <v>42607.725602314815</v>
      </c>
      <c r="D231" s="8">
        <v>42615</v>
      </c>
      <c r="E231" s="9" t="s">
        <v>39</v>
      </c>
      <c r="F231" s="10" t="s">
        <v>16</v>
      </c>
      <c r="G231" s="10" t="s">
        <v>337</v>
      </c>
      <c r="H231" s="10" t="s">
        <v>831</v>
      </c>
      <c r="I231" s="10" t="s">
        <v>832</v>
      </c>
      <c r="J231" s="11">
        <v>955055535</v>
      </c>
      <c r="K231" s="11"/>
      <c r="L231" s="10" t="s">
        <v>833</v>
      </c>
      <c r="M231" s="10" t="s">
        <v>42</v>
      </c>
      <c r="N231" s="10" t="s">
        <v>84</v>
      </c>
      <c r="O231" s="10">
        <v>2010</v>
      </c>
      <c r="P231" s="8">
        <v>42663</v>
      </c>
      <c r="Q231" s="12" t="s">
        <v>260</v>
      </c>
    </row>
    <row r="232" spans="1:17" x14ac:dyDescent="0.2">
      <c r="A232">
        <f t="shared" si="3"/>
        <v>1608074</v>
      </c>
      <c r="B232" s="7" t="s">
        <v>834</v>
      </c>
      <c r="C232" s="8">
        <v>42609.471438425928</v>
      </c>
      <c r="D232" s="8">
        <v>42616</v>
      </c>
      <c r="E232" s="9" t="s">
        <v>39</v>
      </c>
      <c r="F232" s="10" t="s">
        <v>16</v>
      </c>
      <c r="G232" s="10" t="s">
        <v>202</v>
      </c>
      <c r="H232" s="10" t="s">
        <v>835</v>
      </c>
      <c r="I232" s="10" t="s">
        <v>254</v>
      </c>
      <c r="J232" s="11">
        <v>871346848</v>
      </c>
      <c r="K232" s="11"/>
      <c r="L232" s="10" t="s">
        <v>836</v>
      </c>
      <c r="M232" s="10" t="s">
        <v>54</v>
      </c>
      <c r="N232" s="10" t="s">
        <v>837</v>
      </c>
      <c r="O232" s="10">
        <v>2012</v>
      </c>
      <c r="P232" s="8">
        <v>42656</v>
      </c>
      <c r="Q232" s="12" t="s">
        <v>524</v>
      </c>
    </row>
    <row r="233" spans="1:17" x14ac:dyDescent="0.2">
      <c r="A233">
        <f t="shared" si="3"/>
        <v>1608075</v>
      </c>
      <c r="B233" s="7" t="s">
        <v>838</v>
      </c>
      <c r="C233" s="8">
        <v>42609.559007523145</v>
      </c>
      <c r="D233" s="8">
        <v>42623</v>
      </c>
      <c r="E233" s="9" t="s">
        <v>39</v>
      </c>
      <c r="F233" s="10" t="s">
        <v>16</v>
      </c>
      <c r="G233" s="10" t="s">
        <v>207</v>
      </c>
      <c r="H233" s="10" t="s">
        <v>839</v>
      </c>
      <c r="I233" s="10" t="s">
        <v>263</v>
      </c>
      <c r="J233" s="11">
        <v>884959663</v>
      </c>
      <c r="K233" s="11"/>
      <c r="L233" s="10" t="s">
        <v>840</v>
      </c>
      <c r="M233" s="10" t="s">
        <v>47</v>
      </c>
      <c r="N233" s="10" t="s">
        <v>630</v>
      </c>
      <c r="O233" s="10">
        <v>2002</v>
      </c>
      <c r="P233" s="8">
        <v>42738</v>
      </c>
      <c r="Q233" s="12" t="s">
        <v>217</v>
      </c>
    </row>
    <row r="234" spans="1:17" x14ac:dyDescent="0.2">
      <c r="A234">
        <f t="shared" si="3"/>
        <v>1608076</v>
      </c>
      <c r="B234" s="7" t="s">
        <v>841</v>
      </c>
      <c r="C234" s="8">
        <v>42609.565181828701</v>
      </c>
      <c r="D234" s="8">
        <v>42621</v>
      </c>
      <c r="E234" s="9" t="s">
        <v>39</v>
      </c>
      <c r="F234" s="10" t="s">
        <v>16</v>
      </c>
      <c r="G234" s="10" t="s">
        <v>202</v>
      </c>
      <c r="H234" s="10" t="s">
        <v>842</v>
      </c>
      <c r="I234" s="10" t="s">
        <v>286</v>
      </c>
      <c r="J234" s="11">
        <v>849054310</v>
      </c>
      <c r="K234" s="11"/>
      <c r="L234" s="10" t="s">
        <v>843</v>
      </c>
      <c r="M234" s="10" t="s">
        <v>47</v>
      </c>
      <c r="N234" s="10" t="s">
        <v>106</v>
      </c>
      <c r="O234" s="10">
        <v>2012</v>
      </c>
      <c r="P234" s="8">
        <v>42777</v>
      </c>
      <c r="Q234" s="12" t="s">
        <v>844</v>
      </c>
    </row>
    <row r="235" spans="1:17" x14ac:dyDescent="0.2">
      <c r="A235">
        <f t="shared" si="3"/>
        <v>1608077</v>
      </c>
      <c r="B235" s="7" t="s">
        <v>845</v>
      </c>
      <c r="C235" s="8">
        <v>42609.569949999997</v>
      </c>
      <c r="D235" s="8">
        <v>42616</v>
      </c>
      <c r="E235" s="9" t="s">
        <v>39</v>
      </c>
      <c r="F235" s="10" t="s">
        <v>16</v>
      </c>
      <c r="G235" s="10" t="s">
        <v>231</v>
      </c>
      <c r="H235" s="10" t="s">
        <v>846</v>
      </c>
      <c r="I235" s="10" t="s">
        <v>233</v>
      </c>
      <c r="J235" s="11">
        <v>879827158</v>
      </c>
      <c r="K235" s="11"/>
      <c r="L235" s="10" t="s">
        <v>847</v>
      </c>
      <c r="M235" s="10" t="s">
        <v>126</v>
      </c>
      <c r="N235" s="10" t="s">
        <v>410</v>
      </c>
      <c r="O235" s="10">
        <v>2003</v>
      </c>
      <c r="P235" s="8">
        <v>42583</v>
      </c>
      <c r="Q235" s="12" t="s">
        <v>317</v>
      </c>
    </row>
    <row r="236" spans="1:17" x14ac:dyDescent="0.2">
      <c r="A236">
        <f t="shared" si="3"/>
        <v>1608078</v>
      </c>
      <c r="B236" s="7" t="s">
        <v>848</v>
      </c>
      <c r="C236" s="8">
        <v>42611.503004745369</v>
      </c>
      <c r="D236" s="8"/>
      <c r="E236" s="9" t="s">
        <v>39</v>
      </c>
      <c r="F236" s="10" t="s">
        <v>16</v>
      </c>
      <c r="G236" s="10" t="s">
        <v>225</v>
      </c>
      <c r="H236" s="10" t="s">
        <v>849</v>
      </c>
      <c r="I236" s="10" t="s">
        <v>263</v>
      </c>
      <c r="J236" s="11">
        <v>814440190</v>
      </c>
      <c r="K236" s="11">
        <v>851463664</v>
      </c>
      <c r="L236" s="10" t="s">
        <v>850</v>
      </c>
      <c r="M236" s="10" t="s">
        <v>47</v>
      </c>
      <c r="N236" s="10" t="s">
        <v>48</v>
      </c>
      <c r="O236" s="10" t="s">
        <v>851</v>
      </c>
      <c r="P236" s="8" t="s">
        <v>44</v>
      </c>
      <c r="Q236" s="12" t="s">
        <v>44</v>
      </c>
    </row>
    <row r="237" spans="1:17" x14ac:dyDescent="0.2">
      <c r="A237">
        <f t="shared" si="3"/>
        <v>1608079</v>
      </c>
      <c r="B237" s="7" t="s">
        <v>852</v>
      </c>
      <c r="C237" s="8">
        <v>42611.50723599537</v>
      </c>
      <c r="D237" s="8">
        <v>42622</v>
      </c>
      <c r="E237" s="9" t="s">
        <v>39</v>
      </c>
      <c r="F237" s="10" t="s">
        <v>16</v>
      </c>
      <c r="G237" s="10" t="s">
        <v>207</v>
      </c>
      <c r="H237" s="10" t="s">
        <v>853</v>
      </c>
      <c r="I237" s="10" t="s">
        <v>263</v>
      </c>
      <c r="J237" s="11">
        <v>954532166</v>
      </c>
      <c r="K237" s="11"/>
      <c r="L237" s="10" t="s">
        <v>854</v>
      </c>
      <c r="M237" s="10" t="s">
        <v>126</v>
      </c>
      <c r="N237" s="10" t="s">
        <v>172</v>
      </c>
      <c r="O237" s="10">
        <v>2013</v>
      </c>
      <c r="P237" s="8">
        <v>42573</v>
      </c>
      <c r="Q237" s="12" t="s">
        <v>382</v>
      </c>
    </row>
    <row r="238" spans="1:17" x14ac:dyDescent="0.2">
      <c r="A238">
        <f t="shared" si="3"/>
        <v>1608080</v>
      </c>
      <c r="B238" s="7" t="s">
        <v>855</v>
      </c>
      <c r="C238" s="8">
        <v>42611.657864583336</v>
      </c>
      <c r="D238" s="8">
        <v>42622</v>
      </c>
      <c r="E238" s="9" t="s">
        <v>39</v>
      </c>
      <c r="F238" s="10" t="s">
        <v>16</v>
      </c>
      <c r="G238" s="10" t="s">
        <v>207</v>
      </c>
      <c r="H238" s="10" t="s">
        <v>856</v>
      </c>
      <c r="I238" s="10" t="s">
        <v>305</v>
      </c>
      <c r="J238" s="11">
        <v>937314629</v>
      </c>
      <c r="K238" s="11"/>
      <c r="L238" s="10" t="s">
        <v>857</v>
      </c>
      <c r="M238" s="10" t="s">
        <v>54</v>
      </c>
      <c r="N238" s="10" t="s">
        <v>194</v>
      </c>
      <c r="O238" s="10">
        <v>2013</v>
      </c>
      <c r="P238" s="8">
        <v>42862</v>
      </c>
      <c r="Q238" s="12" t="s">
        <v>634</v>
      </c>
    </row>
    <row r="239" spans="1:17" x14ac:dyDescent="0.2">
      <c r="A239">
        <f t="shared" si="3"/>
        <v>1608081</v>
      </c>
      <c r="B239" s="7" t="s">
        <v>858</v>
      </c>
      <c r="C239" s="8">
        <v>42611.661432175926</v>
      </c>
      <c r="D239" s="8">
        <v>42614</v>
      </c>
      <c r="E239" s="9" t="s">
        <v>39</v>
      </c>
      <c r="F239" s="10" t="s">
        <v>16</v>
      </c>
      <c r="G239" s="10" t="s">
        <v>207</v>
      </c>
      <c r="H239" s="10" t="s">
        <v>859</v>
      </c>
      <c r="I239" s="10"/>
      <c r="J239" s="11">
        <v>860953318</v>
      </c>
      <c r="K239" s="11"/>
      <c r="L239" s="10" t="s">
        <v>860</v>
      </c>
      <c r="M239" s="10" t="s">
        <v>47</v>
      </c>
      <c r="N239" s="10" t="s">
        <v>106</v>
      </c>
      <c r="O239" s="10">
        <v>2007</v>
      </c>
      <c r="P239" s="8">
        <v>42725</v>
      </c>
      <c r="Q239" s="12" t="s">
        <v>382</v>
      </c>
    </row>
    <row r="240" spans="1:17" x14ac:dyDescent="0.2">
      <c r="A240">
        <f t="shared" si="3"/>
        <v>1608082</v>
      </c>
      <c r="B240" s="7" t="s">
        <v>861</v>
      </c>
      <c r="C240" s="8">
        <v>42612.42473564815</v>
      </c>
      <c r="D240" s="8">
        <v>42618</v>
      </c>
      <c r="E240" s="9" t="s">
        <v>39</v>
      </c>
      <c r="F240" s="10" t="s">
        <v>16</v>
      </c>
      <c r="G240" s="10" t="s">
        <v>202</v>
      </c>
      <c r="H240" s="10" t="s">
        <v>862</v>
      </c>
      <c r="I240" s="10" t="s">
        <v>254</v>
      </c>
      <c r="J240" s="11">
        <v>972121919</v>
      </c>
      <c r="K240" s="11"/>
      <c r="L240" s="10" t="s">
        <v>863</v>
      </c>
      <c r="M240" s="10" t="s">
        <v>42</v>
      </c>
      <c r="N240" s="10" t="s">
        <v>75</v>
      </c>
      <c r="O240" s="10">
        <v>2013</v>
      </c>
      <c r="P240" s="8">
        <v>42767</v>
      </c>
      <c r="Q240" s="12">
        <v>360000</v>
      </c>
    </row>
    <row r="241" spans="1:17" x14ac:dyDescent="0.2">
      <c r="A241">
        <f t="shared" si="3"/>
        <v>1608083</v>
      </c>
      <c r="B241" s="7" t="s">
        <v>864</v>
      </c>
      <c r="C241" s="8">
        <v>42612.434160532408</v>
      </c>
      <c r="D241" s="8">
        <v>42620</v>
      </c>
      <c r="E241" s="9" t="s">
        <v>39</v>
      </c>
      <c r="F241" s="10" t="s">
        <v>16</v>
      </c>
      <c r="G241" s="10" t="s">
        <v>202</v>
      </c>
      <c r="H241" s="10" t="s">
        <v>865</v>
      </c>
      <c r="I241" s="10" t="s">
        <v>263</v>
      </c>
      <c r="J241" s="11">
        <v>945499296</v>
      </c>
      <c r="K241" s="11"/>
      <c r="L241" s="10" t="s">
        <v>866</v>
      </c>
      <c r="M241" s="10" t="s">
        <v>47</v>
      </c>
      <c r="N241" s="10" t="s">
        <v>78</v>
      </c>
      <c r="O241" s="10">
        <v>2007</v>
      </c>
      <c r="P241" s="8">
        <v>42538</v>
      </c>
      <c r="Q241" s="12">
        <v>580000</v>
      </c>
    </row>
    <row r="242" spans="1:17" x14ac:dyDescent="0.2">
      <c r="A242">
        <f t="shared" si="3"/>
        <v>1608084</v>
      </c>
      <c r="B242" s="7" t="s">
        <v>867</v>
      </c>
      <c r="C242" s="8">
        <v>42612.46817083333</v>
      </c>
      <c r="D242" s="8">
        <v>42623</v>
      </c>
      <c r="E242" s="9" t="s">
        <v>39</v>
      </c>
      <c r="F242" s="10" t="s">
        <v>16</v>
      </c>
      <c r="G242" s="10" t="s">
        <v>207</v>
      </c>
      <c r="H242" s="10" t="s">
        <v>868</v>
      </c>
      <c r="I242" s="10" t="s">
        <v>506</v>
      </c>
      <c r="J242" s="11">
        <v>873252341</v>
      </c>
      <c r="K242" s="11"/>
      <c r="L242" s="10" t="s">
        <v>869</v>
      </c>
      <c r="M242" s="10" t="s">
        <v>58</v>
      </c>
      <c r="N242" s="10" t="s">
        <v>414</v>
      </c>
      <c r="O242" s="10">
        <v>2004</v>
      </c>
      <c r="P242" s="8">
        <v>42758</v>
      </c>
      <c r="Q242" s="12">
        <v>230000</v>
      </c>
    </row>
    <row r="243" spans="1:17" x14ac:dyDescent="0.2">
      <c r="A243">
        <f t="shared" si="3"/>
        <v>1608085</v>
      </c>
      <c r="B243" s="7" t="s">
        <v>870</v>
      </c>
      <c r="C243" s="8">
        <v>42612.471884722225</v>
      </c>
      <c r="D243" s="8">
        <v>42620</v>
      </c>
      <c r="E243" s="9" t="s">
        <v>39</v>
      </c>
      <c r="F243" s="10" t="s">
        <v>16</v>
      </c>
      <c r="G243" s="10" t="s">
        <v>202</v>
      </c>
      <c r="H243" s="10" t="s">
        <v>871</v>
      </c>
      <c r="I243" s="10" t="s">
        <v>286</v>
      </c>
      <c r="J243" s="11">
        <v>949835235</v>
      </c>
      <c r="K243" s="11"/>
      <c r="L243" s="10" t="s">
        <v>872</v>
      </c>
      <c r="M243" s="10" t="s">
        <v>54</v>
      </c>
      <c r="N243" s="10" t="s">
        <v>873</v>
      </c>
      <c r="O243" s="10">
        <v>1997</v>
      </c>
      <c r="P243" s="8">
        <v>42618</v>
      </c>
      <c r="Q243" s="12">
        <v>100000</v>
      </c>
    </row>
    <row r="244" spans="1:17" x14ac:dyDescent="0.2">
      <c r="A244">
        <f t="shared" si="3"/>
        <v>1608086</v>
      </c>
      <c r="B244" s="7" t="s">
        <v>874</v>
      </c>
      <c r="C244" s="8">
        <v>42613.72288587963</v>
      </c>
      <c r="D244" s="8">
        <v>42621</v>
      </c>
      <c r="E244" s="9" t="s">
        <v>39</v>
      </c>
      <c r="F244" s="10" t="s">
        <v>16</v>
      </c>
      <c r="G244" s="10" t="s">
        <v>202</v>
      </c>
      <c r="H244" s="10" t="s">
        <v>875</v>
      </c>
      <c r="I244" s="10" t="s">
        <v>305</v>
      </c>
      <c r="J244" s="11">
        <v>833658495</v>
      </c>
      <c r="K244" s="11" t="s">
        <v>40</v>
      </c>
      <c r="L244" s="10" t="s">
        <v>876</v>
      </c>
      <c r="M244" s="10" t="s">
        <v>47</v>
      </c>
      <c r="N244" s="10" t="s">
        <v>51</v>
      </c>
      <c r="O244" s="10">
        <v>2011</v>
      </c>
      <c r="P244" s="8">
        <v>42734</v>
      </c>
      <c r="Q244" s="12" t="s">
        <v>877</v>
      </c>
    </row>
    <row r="245" spans="1:17" x14ac:dyDescent="0.2">
      <c r="A245">
        <f t="shared" si="3"/>
        <v>1609001</v>
      </c>
      <c r="B245" s="7" t="s">
        <v>878</v>
      </c>
      <c r="C245" s="8">
        <v>42614.44097314815</v>
      </c>
      <c r="D245" s="8">
        <v>42619</v>
      </c>
      <c r="E245" s="9" t="s">
        <v>39</v>
      </c>
      <c r="F245" s="10" t="s">
        <v>16</v>
      </c>
      <c r="G245" s="10" t="s">
        <v>207</v>
      </c>
      <c r="H245" s="10" t="s">
        <v>879</v>
      </c>
      <c r="I245" s="10" t="s">
        <v>625</v>
      </c>
      <c r="J245" s="11">
        <v>883423241</v>
      </c>
      <c r="K245" s="11"/>
      <c r="L245" s="10" t="s">
        <v>880</v>
      </c>
      <c r="M245" s="10" t="s">
        <v>47</v>
      </c>
      <c r="N245" s="10" t="s">
        <v>106</v>
      </c>
      <c r="O245" s="10">
        <v>2012</v>
      </c>
      <c r="P245" s="8">
        <v>42827</v>
      </c>
      <c r="Q245" s="12">
        <v>360000</v>
      </c>
    </row>
    <row r="246" spans="1:17" x14ac:dyDescent="0.2">
      <c r="A246">
        <f t="shared" si="3"/>
        <v>1609002</v>
      </c>
      <c r="B246" s="7" t="s">
        <v>881</v>
      </c>
      <c r="C246" s="8">
        <v>42614.461045601849</v>
      </c>
      <c r="D246" s="8">
        <v>42622</v>
      </c>
      <c r="E246" s="9" t="s">
        <v>39</v>
      </c>
      <c r="F246" s="10" t="s">
        <v>16</v>
      </c>
      <c r="G246" s="10" t="s">
        <v>199</v>
      </c>
      <c r="H246" s="10" t="s">
        <v>882</v>
      </c>
      <c r="I246" s="10" t="s">
        <v>233</v>
      </c>
      <c r="J246" s="11">
        <v>869039488</v>
      </c>
      <c r="K246" s="11"/>
      <c r="L246" s="10" t="s">
        <v>883</v>
      </c>
      <c r="M246" s="10" t="s">
        <v>42</v>
      </c>
      <c r="N246" s="10" t="s">
        <v>884</v>
      </c>
      <c r="O246" s="10">
        <v>2014</v>
      </c>
      <c r="P246" s="8">
        <v>42616</v>
      </c>
      <c r="Q246" s="12">
        <v>900000</v>
      </c>
    </row>
    <row r="247" spans="1:17" x14ac:dyDescent="0.2">
      <c r="A247">
        <f t="shared" si="3"/>
        <v>1609003</v>
      </c>
      <c r="B247" s="7" t="s">
        <v>885</v>
      </c>
      <c r="C247" s="8">
        <v>42615.492156250002</v>
      </c>
      <c r="D247" s="8">
        <v>42620</v>
      </c>
      <c r="E247" s="9" t="s">
        <v>39</v>
      </c>
      <c r="F247" s="10" t="s">
        <v>16</v>
      </c>
      <c r="G247" s="10" t="s">
        <v>207</v>
      </c>
      <c r="H247" s="10" t="s">
        <v>886</v>
      </c>
      <c r="I247" s="10" t="s">
        <v>577</v>
      </c>
      <c r="J247" s="11">
        <v>846387376</v>
      </c>
      <c r="K247" s="11"/>
      <c r="L247" s="10" t="s">
        <v>887</v>
      </c>
      <c r="M247" s="10" t="s">
        <v>47</v>
      </c>
      <c r="N247" s="10" t="s">
        <v>51</v>
      </c>
      <c r="O247" s="10">
        <v>2004</v>
      </c>
      <c r="P247" s="8">
        <v>42663</v>
      </c>
      <c r="Q247" s="12">
        <v>100000</v>
      </c>
    </row>
    <row r="248" spans="1:17" x14ac:dyDescent="0.2">
      <c r="A248">
        <f t="shared" si="3"/>
        <v>1609004</v>
      </c>
      <c r="B248" s="7" t="s">
        <v>888</v>
      </c>
      <c r="C248" s="8">
        <v>42615.750644097221</v>
      </c>
      <c r="D248" s="8">
        <v>42637</v>
      </c>
      <c r="E248" s="9" t="s">
        <v>39</v>
      </c>
      <c r="F248" s="10" t="s">
        <v>16</v>
      </c>
      <c r="G248" s="10" t="s">
        <v>225</v>
      </c>
      <c r="H248" s="10" t="s">
        <v>889</v>
      </c>
      <c r="I248" s="10" t="s">
        <v>305</v>
      </c>
      <c r="J248" s="11">
        <v>813340876</v>
      </c>
      <c r="K248" s="11">
        <v>875645137</v>
      </c>
      <c r="L248" s="10" t="s">
        <v>890</v>
      </c>
      <c r="M248" s="10" t="s">
        <v>47</v>
      </c>
      <c r="N248" s="10" t="s">
        <v>106</v>
      </c>
      <c r="O248" s="10">
        <v>2006</v>
      </c>
      <c r="P248" s="8">
        <v>42940</v>
      </c>
      <c r="Q248" s="12" t="s">
        <v>660</v>
      </c>
    </row>
    <row r="249" spans="1:17" x14ac:dyDescent="0.2">
      <c r="A249">
        <f t="shared" si="3"/>
        <v>1609005</v>
      </c>
      <c r="B249" s="7" t="s">
        <v>891</v>
      </c>
      <c r="C249" s="8">
        <v>42616.673390625001</v>
      </c>
      <c r="D249" s="8">
        <v>42625</v>
      </c>
      <c r="E249" s="9" t="s">
        <v>39</v>
      </c>
      <c r="F249" s="10" t="s">
        <v>16</v>
      </c>
      <c r="G249" s="10" t="s">
        <v>225</v>
      </c>
      <c r="H249" s="10" t="s">
        <v>892</v>
      </c>
      <c r="I249" s="10" t="s">
        <v>222</v>
      </c>
      <c r="J249" s="11">
        <v>927568414</v>
      </c>
      <c r="K249" s="11"/>
      <c r="L249" s="10" t="s">
        <v>893</v>
      </c>
      <c r="M249" s="10" t="s">
        <v>47</v>
      </c>
      <c r="N249" s="10" t="s">
        <v>106</v>
      </c>
      <c r="O249" s="10">
        <v>2007</v>
      </c>
      <c r="P249" s="8">
        <v>42258</v>
      </c>
      <c r="Q249" s="12" t="s">
        <v>217</v>
      </c>
    </row>
    <row r="250" spans="1:17" x14ac:dyDescent="0.2">
      <c r="A250">
        <f t="shared" si="3"/>
        <v>1609006</v>
      </c>
      <c r="B250" s="7" t="s">
        <v>894</v>
      </c>
      <c r="C250" s="8">
        <v>42616.678172800923</v>
      </c>
      <c r="D250" s="8">
        <v>42621</v>
      </c>
      <c r="E250" s="9">
        <v>4.3218271990772337</v>
      </c>
      <c r="F250" s="10" t="s">
        <v>16</v>
      </c>
      <c r="G250" s="10" t="s">
        <v>207</v>
      </c>
      <c r="H250" s="10" t="s">
        <v>895</v>
      </c>
      <c r="I250" s="10" t="s">
        <v>243</v>
      </c>
      <c r="J250" s="11">
        <v>899371508</v>
      </c>
      <c r="K250" s="11"/>
      <c r="L250" s="10" t="s">
        <v>896</v>
      </c>
      <c r="M250" s="10" t="s">
        <v>47</v>
      </c>
      <c r="N250" s="10" t="s">
        <v>106</v>
      </c>
      <c r="O250" s="10">
        <v>2011</v>
      </c>
      <c r="P250" s="8">
        <v>42760</v>
      </c>
      <c r="Q250" s="12" t="s">
        <v>382</v>
      </c>
    </row>
    <row r="251" spans="1:17" x14ac:dyDescent="0.2">
      <c r="A251">
        <f t="shared" si="3"/>
        <v>1609007</v>
      </c>
      <c r="B251" s="7" t="s">
        <v>897</v>
      </c>
      <c r="C251" s="8">
        <v>42618.496265046299</v>
      </c>
      <c r="D251" s="8">
        <v>42625</v>
      </c>
      <c r="E251" s="9" t="s">
        <v>39</v>
      </c>
      <c r="F251" s="10" t="s">
        <v>16</v>
      </c>
      <c r="G251" s="10" t="s">
        <v>207</v>
      </c>
      <c r="H251" s="10" t="s">
        <v>898</v>
      </c>
      <c r="I251" s="10" t="s">
        <v>233</v>
      </c>
      <c r="J251" s="11">
        <v>979471114</v>
      </c>
      <c r="K251" s="11"/>
      <c r="L251" s="10" t="s">
        <v>899</v>
      </c>
      <c r="M251" s="10" t="s">
        <v>126</v>
      </c>
      <c r="N251" s="10" t="s">
        <v>235</v>
      </c>
      <c r="O251" s="10">
        <v>2013</v>
      </c>
      <c r="P251" s="8">
        <v>42213</v>
      </c>
      <c r="Q251" s="12" t="s">
        <v>477</v>
      </c>
    </row>
    <row r="252" spans="1:17" x14ac:dyDescent="0.2">
      <c r="A252">
        <f t="shared" si="3"/>
        <v>1609008</v>
      </c>
      <c r="B252" s="7" t="s">
        <v>900</v>
      </c>
      <c r="C252" s="8">
        <v>42618.513812731479</v>
      </c>
      <c r="D252" s="8">
        <v>42628</v>
      </c>
      <c r="E252" s="9" t="s">
        <v>39</v>
      </c>
      <c r="F252" s="10" t="s">
        <v>16</v>
      </c>
      <c r="G252" s="10" t="s">
        <v>231</v>
      </c>
      <c r="H252" s="10" t="s">
        <v>901</v>
      </c>
      <c r="I252" s="10" t="s">
        <v>233</v>
      </c>
      <c r="J252" s="11">
        <v>896615154</v>
      </c>
      <c r="K252" s="11"/>
      <c r="L252" s="10" t="s">
        <v>902</v>
      </c>
      <c r="M252" s="10" t="s">
        <v>42</v>
      </c>
      <c r="N252" s="10" t="s">
        <v>494</v>
      </c>
      <c r="O252" s="10">
        <v>2013</v>
      </c>
      <c r="P252" s="8">
        <v>42830</v>
      </c>
      <c r="Q252" s="12" t="s">
        <v>531</v>
      </c>
    </row>
    <row r="253" spans="1:17" x14ac:dyDescent="0.2">
      <c r="A253">
        <f t="shared" si="3"/>
        <v>1609009</v>
      </c>
      <c r="B253" s="7" t="s">
        <v>903</v>
      </c>
      <c r="C253" s="8">
        <v>42618.516407175928</v>
      </c>
      <c r="D253" s="8">
        <v>42620</v>
      </c>
      <c r="E253" s="9" t="s">
        <v>39</v>
      </c>
      <c r="F253" s="10" t="s">
        <v>16</v>
      </c>
      <c r="G253" s="10" t="s">
        <v>207</v>
      </c>
      <c r="H253" s="10" t="s">
        <v>904</v>
      </c>
      <c r="I253" s="10" t="s">
        <v>625</v>
      </c>
      <c r="J253" s="11">
        <v>895053133</v>
      </c>
      <c r="K253" s="11">
        <v>626148232</v>
      </c>
      <c r="L253" s="10" t="s">
        <v>905</v>
      </c>
      <c r="M253" s="10" t="s">
        <v>58</v>
      </c>
      <c r="N253" s="10" t="s">
        <v>414</v>
      </c>
      <c r="O253" s="10">
        <v>2003</v>
      </c>
      <c r="P253" s="8">
        <v>42823</v>
      </c>
      <c r="Q253" s="12" t="s">
        <v>217</v>
      </c>
    </row>
    <row r="254" spans="1:17" x14ac:dyDescent="0.2">
      <c r="A254">
        <f t="shared" si="3"/>
        <v>1609010</v>
      </c>
      <c r="B254" s="7" t="s">
        <v>906</v>
      </c>
      <c r="C254" s="8">
        <v>42618.519798148147</v>
      </c>
      <c r="D254" s="8">
        <v>42625</v>
      </c>
      <c r="E254" s="9" t="s">
        <v>39</v>
      </c>
      <c r="F254" s="10" t="s">
        <v>16</v>
      </c>
      <c r="G254" s="10" t="s">
        <v>225</v>
      </c>
      <c r="H254" s="10" t="s">
        <v>907</v>
      </c>
      <c r="I254" s="10" t="s">
        <v>254</v>
      </c>
      <c r="J254" s="11">
        <v>988324397</v>
      </c>
      <c r="K254" s="11">
        <v>23894371</v>
      </c>
      <c r="L254" s="10" t="s">
        <v>908</v>
      </c>
      <c r="M254" s="10" t="s">
        <v>47</v>
      </c>
      <c r="N254" s="10" t="s">
        <v>106</v>
      </c>
      <c r="O254" s="10">
        <v>2007</v>
      </c>
      <c r="P254" s="8">
        <v>42754</v>
      </c>
      <c r="Q254" s="12" t="s">
        <v>909</v>
      </c>
    </row>
    <row r="255" spans="1:17" x14ac:dyDescent="0.2">
      <c r="A255">
        <f t="shared" si="3"/>
        <v>1609011</v>
      </c>
      <c r="B255" s="7" t="s">
        <v>910</v>
      </c>
      <c r="C255" s="8">
        <v>42618.656333796294</v>
      </c>
      <c r="D255" s="8">
        <v>42636</v>
      </c>
      <c r="E255" s="9" t="s">
        <v>39</v>
      </c>
      <c r="F255" s="10" t="s">
        <v>16</v>
      </c>
      <c r="G255" s="10" t="s">
        <v>337</v>
      </c>
      <c r="H255" s="10" t="s">
        <v>911</v>
      </c>
      <c r="I255" s="10" t="s">
        <v>286</v>
      </c>
      <c r="J255" s="11">
        <v>972455580</v>
      </c>
      <c r="K255" s="11">
        <v>923197804</v>
      </c>
      <c r="L255" s="10" t="s">
        <v>912</v>
      </c>
      <c r="M255" s="10" t="s">
        <v>87</v>
      </c>
      <c r="N255" s="10" t="s">
        <v>498</v>
      </c>
      <c r="O255" s="10">
        <v>2012</v>
      </c>
      <c r="P255" s="8">
        <v>42702</v>
      </c>
      <c r="Q255" s="12" t="s">
        <v>499</v>
      </c>
    </row>
    <row r="256" spans="1:17" x14ac:dyDescent="0.2">
      <c r="A256">
        <f t="shared" si="3"/>
        <v>1609012</v>
      </c>
      <c r="B256" s="7" t="s">
        <v>913</v>
      </c>
      <c r="C256" s="8">
        <v>42618.677277662035</v>
      </c>
      <c r="D256" s="8">
        <v>42623</v>
      </c>
      <c r="E256" s="9" t="s">
        <v>39</v>
      </c>
      <c r="F256" s="10" t="s">
        <v>16</v>
      </c>
      <c r="G256" s="10" t="s">
        <v>196</v>
      </c>
      <c r="H256" s="10" t="s">
        <v>914</v>
      </c>
      <c r="I256" s="10" t="s">
        <v>506</v>
      </c>
      <c r="J256" s="11">
        <v>970131991</v>
      </c>
      <c r="K256" s="11"/>
      <c r="L256" s="10" t="s">
        <v>915</v>
      </c>
      <c r="M256" s="10" t="s">
        <v>47</v>
      </c>
      <c r="N256" s="10" t="s">
        <v>106</v>
      </c>
      <c r="O256" s="10">
        <v>2007</v>
      </c>
      <c r="P256" s="8">
        <v>42708</v>
      </c>
      <c r="Q256" s="12" t="s">
        <v>820</v>
      </c>
    </row>
    <row r="257" spans="1:17" x14ac:dyDescent="0.2">
      <c r="A257">
        <f t="shared" si="3"/>
        <v>1609013</v>
      </c>
      <c r="B257" s="7" t="s">
        <v>916</v>
      </c>
      <c r="C257" s="8">
        <v>42619.442196180556</v>
      </c>
      <c r="D257" s="8">
        <v>42630</v>
      </c>
      <c r="E257" s="9" t="s">
        <v>39</v>
      </c>
      <c r="F257" s="10" t="s">
        <v>16</v>
      </c>
      <c r="G257" s="10" t="s">
        <v>207</v>
      </c>
      <c r="H257" s="10" t="s">
        <v>917</v>
      </c>
      <c r="I257" s="10" t="s">
        <v>222</v>
      </c>
      <c r="J257" s="11">
        <v>850730377</v>
      </c>
      <c r="K257" s="11"/>
      <c r="L257" s="10" t="s">
        <v>918</v>
      </c>
      <c r="M257" s="10" t="s">
        <v>58</v>
      </c>
      <c r="N257" s="10" t="s">
        <v>717</v>
      </c>
      <c r="O257" s="10">
        <v>2012</v>
      </c>
      <c r="P257" s="8">
        <v>42911</v>
      </c>
      <c r="Q257" s="12" t="s">
        <v>564</v>
      </c>
    </row>
    <row r="258" spans="1:17" x14ac:dyDescent="0.2">
      <c r="A258">
        <f t="shared" si="3"/>
        <v>1609014</v>
      </c>
      <c r="B258" s="7" t="s">
        <v>919</v>
      </c>
      <c r="C258" s="8">
        <v>42619.467494328703</v>
      </c>
      <c r="D258" s="8">
        <v>42622</v>
      </c>
      <c r="E258" s="9" t="s">
        <v>39</v>
      </c>
      <c r="F258" s="10" t="s">
        <v>16</v>
      </c>
      <c r="G258" s="10" t="s">
        <v>207</v>
      </c>
      <c r="H258" s="10" t="s">
        <v>920</v>
      </c>
      <c r="I258" s="10" t="s">
        <v>286</v>
      </c>
      <c r="J258" s="11">
        <v>899812493</v>
      </c>
      <c r="K258" s="11"/>
      <c r="L258" s="10" t="s">
        <v>921</v>
      </c>
      <c r="M258" s="10" t="s">
        <v>58</v>
      </c>
      <c r="N258" s="10" t="s">
        <v>414</v>
      </c>
      <c r="O258" s="10">
        <v>2009</v>
      </c>
      <c r="P258" s="8">
        <v>42572</v>
      </c>
      <c r="Q258" s="12" t="s">
        <v>415</v>
      </c>
    </row>
    <row r="259" spans="1:17" x14ac:dyDescent="0.2">
      <c r="A259">
        <f t="shared" si="3"/>
        <v>1609015</v>
      </c>
      <c r="B259" s="7" t="s">
        <v>922</v>
      </c>
      <c r="C259" s="8">
        <v>42619.470528356484</v>
      </c>
      <c r="D259" s="8">
        <v>42622</v>
      </c>
      <c r="E259" s="9" t="s">
        <v>39</v>
      </c>
      <c r="F259" s="10" t="s">
        <v>16</v>
      </c>
      <c r="G259" s="10" t="s">
        <v>196</v>
      </c>
      <c r="H259" s="10" t="s">
        <v>923</v>
      </c>
      <c r="I259" s="10" t="s">
        <v>222</v>
      </c>
      <c r="J259" s="11">
        <v>851539391</v>
      </c>
      <c r="K259" s="11"/>
      <c r="L259" s="10" t="s">
        <v>924</v>
      </c>
      <c r="M259" s="10" t="s">
        <v>47</v>
      </c>
      <c r="N259" s="10" t="s">
        <v>106</v>
      </c>
      <c r="O259" s="10">
        <v>2010</v>
      </c>
      <c r="P259" s="8">
        <v>42572</v>
      </c>
      <c r="Q259" s="12" t="s">
        <v>925</v>
      </c>
    </row>
    <row r="260" spans="1:17" x14ac:dyDescent="0.2">
      <c r="A260">
        <f t="shared" ref="A260:A323" si="4">VALUE(B260)</f>
        <v>1609016</v>
      </c>
      <c r="B260" s="7" t="s">
        <v>926</v>
      </c>
      <c r="C260" s="8">
        <v>42619.622827314815</v>
      </c>
      <c r="D260" s="8"/>
      <c r="E260" s="9" t="s">
        <v>39</v>
      </c>
      <c r="F260" s="10" t="s">
        <v>16</v>
      </c>
      <c r="G260" s="10" t="s">
        <v>225</v>
      </c>
      <c r="H260" s="10" t="s">
        <v>927</v>
      </c>
      <c r="I260" s="10" t="s">
        <v>928</v>
      </c>
      <c r="J260" s="11">
        <v>818081131</v>
      </c>
      <c r="K260" s="11"/>
      <c r="L260" s="10" t="s">
        <v>929</v>
      </c>
      <c r="M260" s="10" t="s">
        <v>42</v>
      </c>
      <c r="N260" s="10" t="s">
        <v>884</v>
      </c>
      <c r="O260" s="10">
        <v>2007</v>
      </c>
      <c r="P260" s="8">
        <v>42763</v>
      </c>
      <c r="Q260" s="12" t="s">
        <v>668</v>
      </c>
    </row>
    <row r="261" spans="1:17" x14ac:dyDescent="0.2">
      <c r="A261">
        <f t="shared" si="4"/>
        <v>1609017</v>
      </c>
      <c r="B261" s="7" t="s">
        <v>930</v>
      </c>
      <c r="C261" s="8">
        <v>42620.443414120367</v>
      </c>
      <c r="D261" s="8">
        <v>42620</v>
      </c>
      <c r="E261" s="9" t="s">
        <v>39</v>
      </c>
      <c r="F261" s="10" t="s">
        <v>16</v>
      </c>
      <c r="G261" s="10" t="s">
        <v>202</v>
      </c>
      <c r="H261" s="10" t="s">
        <v>931</v>
      </c>
      <c r="I261" s="10" t="s">
        <v>506</v>
      </c>
      <c r="J261" s="11">
        <v>924439718</v>
      </c>
      <c r="K261" s="11"/>
      <c r="L261" s="10" t="s">
        <v>932</v>
      </c>
      <c r="M261" s="10" t="s">
        <v>47</v>
      </c>
      <c r="N261" s="10" t="s">
        <v>106</v>
      </c>
      <c r="O261" s="10">
        <v>2014</v>
      </c>
      <c r="P261" s="8">
        <v>42804</v>
      </c>
      <c r="Q261" s="12" t="s">
        <v>301</v>
      </c>
    </row>
    <row r="262" spans="1:17" x14ac:dyDescent="0.2">
      <c r="A262">
        <f t="shared" si="4"/>
        <v>1609018</v>
      </c>
      <c r="B262" s="7" t="s">
        <v>933</v>
      </c>
      <c r="C262" s="8">
        <v>42620.449849537035</v>
      </c>
      <c r="D262" s="8">
        <v>42625</v>
      </c>
      <c r="E262" s="9" t="s">
        <v>39</v>
      </c>
      <c r="F262" s="10" t="s">
        <v>16</v>
      </c>
      <c r="G262" s="10" t="s">
        <v>207</v>
      </c>
      <c r="H262" s="10" t="s">
        <v>934</v>
      </c>
      <c r="I262" s="10" t="s">
        <v>254</v>
      </c>
      <c r="J262" s="11">
        <v>638010509</v>
      </c>
      <c r="K262" s="11"/>
      <c r="L262" s="10" t="s">
        <v>935</v>
      </c>
      <c r="M262" s="10" t="s">
        <v>47</v>
      </c>
      <c r="N262" s="10" t="s">
        <v>48</v>
      </c>
      <c r="O262" s="10">
        <v>2011</v>
      </c>
      <c r="P262" s="8">
        <v>42800</v>
      </c>
      <c r="Q262" s="12" t="s">
        <v>256</v>
      </c>
    </row>
    <row r="263" spans="1:17" x14ac:dyDescent="0.2">
      <c r="A263">
        <f t="shared" si="4"/>
        <v>1609019</v>
      </c>
      <c r="B263" s="7" t="s">
        <v>936</v>
      </c>
      <c r="C263" s="8">
        <v>42620.641959722219</v>
      </c>
      <c r="D263" s="8">
        <v>42634</v>
      </c>
      <c r="E263" s="9" t="s">
        <v>39</v>
      </c>
      <c r="F263" s="10" t="s">
        <v>16</v>
      </c>
      <c r="G263" s="10" t="s">
        <v>202</v>
      </c>
      <c r="H263" s="10" t="s">
        <v>937</v>
      </c>
      <c r="I263" s="10" t="s">
        <v>938</v>
      </c>
      <c r="J263" s="11">
        <v>961579441</v>
      </c>
      <c r="K263" s="11"/>
      <c r="L263" s="10" t="s">
        <v>939</v>
      </c>
      <c r="M263" s="10" t="s">
        <v>54</v>
      </c>
      <c r="N263" s="10" t="s">
        <v>72</v>
      </c>
      <c r="O263" s="10">
        <v>2014</v>
      </c>
      <c r="P263" s="8">
        <v>42650</v>
      </c>
      <c r="Q263" s="12" t="s">
        <v>374</v>
      </c>
    </row>
    <row r="264" spans="1:17" x14ac:dyDescent="0.2">
      <c r="A264">
        <f t="shared" si="4"/>
        <v>1609020</v>
      </c>
      <c r="B264" s="7" t="s">
        <v>940</v>
      </c>
      <c r="C264" s="8">
        <v>42620.652311805556</v>
      </c>
      <c r="D264" s="8">
        <v>42639</v>
      </c>
      <c r="E264" s="9" t="s">
        <v>39</v>
      </c>
      <c r="F264" s="10" t="s">
        <v>16</v>
      </c>
      <c r="G264" s="10" t="s">
        <v>202</v>
      </c>
      <c r="H264" s="10" t="s">
        <v>941</v>
      </c>
      <c r="I264" s="10" t="s">
        <v>506</v>
      </c>
      <c r="J264" s="11">
        <v>982784802</v>
      </c>
      <c r="K264" s="11"/>
      <c r="L264" s="10" t="s">
        <v>942</v>
      </c>
      <c r="M264" s="10" t="s">
        <v>42</v>
      </c>
      <c r="N264" s="10" t="s">
        <v>75</v>
      </c>
      <c r="O264" s="10">
        <v>2009</v>
      </c>
      <c r="P264" s="8" t="s">
        <v>943</v>
      </c>
      <c r="Q264" s="12" t="s">
        <v>944</v>
      </c>
    </row>
    <row r="265" spans="1:17" x14ac:dyDescent="0.2">
      <c r="A265">
        <f t="shared" si="4"/>
        <v>1609021</v>
      </c>
      <c r="B265" s="7" t="s">
        <v>945</v>
      </c>
      <c r="C265" s="8">
        <v>42620.668970601851</v>
      </c>
      <c r="D265" s="8">
        <v>42625</v>
      </c>
      <c r="E265" s="9" t="s">
        <v>39</v>
      </c>
      <c r="F265" s="10" t="s">
        <v>16</v>
      </c>
      <c r="G265" s="10" t="s">
        <v>207</v>
      </c>
      <c r="H265" s="10" t="s">
        <v>946</v>
      </c>
      <c r="I265" s="10" t="s">
        <v>263</v>
      </c>
      <c r="J265" s="11">
        <v>814205530</v>
      </c>
      <c r="K265" s="11"/>
      <c r="L265" s="10" t="s">
        <v>947</v>
      </c>
      <c r="M265" s="10" t="s">
        <v>42</v>
      </c>
      <c r="N265" s="10" t="s">
        <v>884</v>
      </c>
      <c r="O265" s="10"/>
      <c r="P265" s="8"/>
      <c r="Q265" s="12" t="s">
        <v>571</v>
      </c>
    </row>
    <row r="266" spans="1:17" x14ac:dyDescent="0.2">
      <c r="A266">
        <f t="shared" si="4"/>
        <v>1609022</v>
      </c>
      <c r="B266" s="7" t="s">
        <v>948</v>
      </c>
      <c r="C266" s="8">
        <v>42621.721807175927</v>
      </c>
      <c r="D266" s="8">
        <v>42641</v>
      </c>
      <c r="E266" s="9" t="s">
        <v>39</v>
      </c>
      <c r="F266" s="10" t="s">
        <v>16</v>
      </c>
      <c r="G266" s="10" t="s">
        <v>207</v>
      </c>
      <c r="H266" s="10" t="s">
        <v>949</v>
      </c>
      <c r="I266" s="10" t="s">
        <v>286</v>
      </c>
      <c r="J266" s="11">
        <v>961264919</v>
      </c>
      <c r="K266" s="11" t="s">
        <v>40</v>
      </c>
      <c r="L266" s="10" t="s">
        <v>950</v>
      </c>
      <c r="M266" s="10" t="s">
        <v>47</v>
      </c>
      <c r="N266" s="10" t="s">
        <v>106</v>
      </c>
      <c r="O266" s="10">
        <v>2011</v>
      </c>
      <c r="P266" s="8">
        <v>42724</v>
      </c>
      <c r="Q266" s="12" t="s">
        <v>951</v>
      </c>
    </row>
    <row r="267" spans="1:17" x14ac:dyDescent="0.2">
      <c r="A267">
        <f t="shared" si="4"/>
        <v>1609023</v>
      </c>
      <c r="B267" s="7" t="s">
        <v>952</v>
      </c>
      <c r="C267" s="8">
        <v>42622.696677893517</v>
      </c>
      <c r="D267" s="8">
        <v>42630</v>
      </c>
      <c r="E267" s="9" t="s">
        <v>39</v>
      </c>
      <c r="F267" s="10" t="s">
        <v>16</v>
      </c>
      <c r="G267" s="10" t="s">
        <v>196</v>
      </c>
      <c r="H267" s="10" t="s">
        <v>953</v>
      </c>
      <c r="I267" s="10" t="s">
        <v>263</v>
      </c>
      <c r="J267" s="11">
        <v>882616702</v>
      </c>
      <c r="K267" s="11"/>
      <c r="L267" s="10" t="s">
        <v>954</v>
      </c>
      <c r="M267" s="10" t="s">
        <v>42</v>
      </c>
      <c r="N267" s="10" t="s">
        <v>75</v>
      </c>
      <c r="O267" s="10">
        <v>2013</v>
      </c>
      <c r="P267" s="8">
        <v>42538</v>
      </c>
      <c r="Q267" s="12" t="s">
        <v>499</v>
      </c>
    </row>
    <row r="268" spans="1:17" x14ac:dyDescent="0.2">
      <c r="A268">
        <f t="shared" si="4"/>
        <v>1609024</v>
      </c>
      <c r="B268" s="7" t="s">
        <v>955</v>
      </c>
      <c r="C268" s="8">
        <v>42622.700077777779</v>
      </c>
      <c r="D268" s="8">
        <v>42629</v>
      </c>
      <c r="E268" s="9">
        <v>6.2999222222206299</v>
      </c>
      <c r="F268" s="10" t="s">
        <v>16</v>
      </c>
      <c r="G268" s="10" t="s">
        <v>225</v>
      </c>
      <c r="H268" s="10" t="s">
        <v>956</v>
      </c>
      <c r="I268" s="10" t="s">
        <v>263</v>
      </c>
      <c r="J268" s="11">
        <v>857036535</v>
      </c>
      <c r="K268" s="11">
        <v>2.70319850266429E+16</v>
      </c>
      <c r="L268" s="10" t="s">
        <v>957</v>
      </c>
      <c r="M268" s="10" t="s">
        <v>47</v>
      </c>
      <c r="N268" s="10" t="s">
        <v>958</v>
      </c>
      <c r="O268" s="10">
        <v>2001</v>
      </c>
      <c r="P268" s="8">
        <v>42937</v>
      </c>
      <c r="Q268" s="12" t="s">
        <v>789</v>
      </c>
    </row>
    <row r="269" spans="1:17" x14ac:dyDescent="0.2">
      <c r="A269">
        <f t="shared" si="4"/>
        <v>1609025</v>
      </c>
      <c r="B269" s="7" t="s">
        <v>959</v>
      </c>
      <c r="C269" s="8">
        <v>42623.725119907409</v>
      </c>
      <c r="D269" s="8">
        <v>42629</v>
      </c>
      <c r="E269" s="9" t="s">
        <v>39</v>
      </c>
      <c r="F269" s="10" t="s">
        <v>16</v>
      </c>
      <c r="G269" s="10" t="s">
        <v>207</v>
      </c>
      <c r="H269" s="10" t="s">
        <v>960</v>
      </c>
      <c r="I269" s="10" t="s">
        <v>625</v>
      </c>
      <c r="J269" s="11">
        <v>897814651</v>
      </c>
      <c r="K269" s="11">
        <v>810136269</v>
      </c>
      <c r="L269" s="10" t="s">
        <v>961</v>
      </c>
      <c r="M269" s="10" t="s">
        <v>109</v>
      </c>
      <c r="N269" s="10" t="s">
        <v>240</v>
      </c>
      <c r="O269" s="10">
        <v>2011</v>
      </c>
      <c r="P269" s="8" t="s">
        <v>962</v>
      </c>
      <c r="Q269" s="12"/>
    </row>
    <row r="270" spans="1:17" x14ac:dyDescent="0.2">
      <c r="A270">
        <f t="shared" si="4"/>
        <v>1609026</v>
      </c>
      <c r="B270" s="7" t="s">
        <v>963</v>
      </c>
      <c r="C270" s="8">
        <v>42623.731607754627</v>
      </c>
      <c r="D270" s="8">
        <v>42632</v>
      </c>
      <c r="E270" s="9" t="s">
        <v>39</v>
      </c>
      <c r="F270" s="10" t="s">
        <v>16</v>
      </c>
      <c r="G270" s="10" t="s">
        <v>199</v>
      </c>
      <c r="H270" s="10" t="s">
        <v>964</v>
      </c>
      <c r="I270" s="10" t="s">
        <v>965</v>
      </c>
      <c r="J270" s="11">
        <v>817119292</v>
      </c>
      <c r="K270" s="11">
        <v>894984186</v>
      </c>
      <c r="L270" s="10" t="s">
        <v>966</v>
      </c>
      <c r="M270" s="10" t="s">
        <v>42</v>
      </c>
      <c r="N270" s="10" t="s">
        <v>75</v>
      </c>
      <c r="O270" s="10"/>
      <c r="P270" s="8" t="s">
        <v>571</v>
      </c>
      <c r="Q270" s="12"/>
    </row>
    <row r="271" spans="1:17" x14ac:dyDescent="0.2">
      <c r="A271">
        <f t="shared" si="4"/>
        <v>1609027</v>
      </c>
      <c r="B271" s="7" t="s">
        <v>967</v>
      </c>
      <c r="C271" s="8">
        <v>42625.682692013892</v>
      </c>
      <c r="D271" s="8"/>
      <c r="E271" s="9" t="s">
        <v>39</v>
      </c>
      <c r="F271" s="10" t="s">
        <v>16</v>
      </c>
      <c r="G271" s="10" t="s">
        <v>202</v>
      </c>
      <c r="H271" s="10" t="s">
        <v>968</v>
      </c>
      <c r="I271" s="10" t="s">
        <v>222</v>
      </c>
      <c r="J271" s="11">
        <v>888954049</v>
      </c>
      <c r="K271" s="11">
        <v>898855262</v>
      </c>
      <c r="L271" s="10" t="s">
        <v>969</v>
      </c>
      <c r="M271" s="10" t="s">
        <v>47</v>
      </c>
      <c r="N271" s="10" t="s">
        <v>106</v>
      </c>
      <c r="O271" s="10">
        <v>2011</v>
      </c>
      <c r="P271" s="8">
        <v>42669</v>
      </c>
      <c r="Q271" s="12" t="s">
        <v>540</v>
      </c>
    </row>
    <row r="272" spans="1:17" x14ac:dyDescent="0.2">
      <c r="A272">
        <f t="shared" si="4"/>
        <v>1609028</v>
      </c>
      <c r="B272" s="7" t="s">
        <v>970</v>
      </c>
      <c r="C272" s="8">
        <v>42625.691663541664</v>
      </c>
      <c r="D272" s="8">
        <v>42648</v>
      </c>
      <c r="E272" s="9" t="s">
        <v>39</v>
      </c>
      <c r="F272" s="10" t="s">
        <v>16</v>
      </c>
      <c r="G272" s="10" t="s">
        <v>337</v>
      </c>
      <c r="H272" s="10" t="s">
        <v>971</v>
      </c>
      <c r="I272" s="10" t="s">
        <v>267</v>
      </c>
      <c r="J272" s="11">
        <v>801184923</v>
      </c>
      <c r="K272" s="11"/>
      <c r="L272" s="10" t="s">
        <v>972</v>
      </c>
      <c r="M272" s="10" t="s">
        <v>109</v>
      </c>
      <c r="N272" s="10" t="s">
        <v>730</v>
      </c>
      <c r="O272" s="10">
        <v>2009</v>
      </c>
      <c r="P272" s="8">
        <v>42728</v>
      </c>
      <c r="Q272" s="12" t="s">
        <v>499</v>
      </c>
    </row>
    <row r="273" spans="1:17" x14ac:dyDescent="0.2">
      <c r="A273">
        <f t="shared" si="4"/>
        <v>1609029</v>
      </c>
      <c r="B273" s="7" t="s">
        <v>973</v>
      </c>
      <c r="C273" s="8">
        <v>42626.472880439818</v>
      </c>
      <c r="D273" s="8">
        <v>42643</v>
      </c>
      <c r="E273" s="9" t="s">
        <v>39</v>
      </c>
      <c r="F273" s="10" t="s">
        <v>16</v>
      </c>
      <c r="G273" s="10" t="s">
        <v>207</v>
      </c>
      <c r="H273" s="10" t="s">
        <v>974</v>
      </c>
      <c r="I273" s="10" t="s">
        <v>457</v>
      </c>
      <c r="J273" s="11">
        <v>901973742</v>
      </c>
      <c r="K273" s="11"/>
      <c r="L273" s="10" t="s">
        <v>975</v>
      </c>
      <c r="M273" s="10" t="s">
        <v>47</v>
      </c>
      <c r="N273" s="10" t="s">
        <v>51</v>
      </c>
      <c r="O273" s="10">
        <v>2009</v>
      </c>
      <c r="P273" s="8">
        <v>42775</v>
      </c>
      <c r="Q273" s="12" t="s">
        <v>246</v>
      </c>
    </row>
    <row r="274" spans="1:17" x14ac:dyDescent="0.2">
      <c r="A274">
        <f t="shared" si="4"/>
        <v>1609030</v>
      </c>
      <c r="B274" s="7" t="s">
        <v>976</v>
      </c>
      <c r="C274" s="8">
        <v>42626.482224189815</v>
      </c>
      <c r="D274" s="8">
        <v>42630</v>
      </c>
      <c r="E274" s="9" t="s">
        <v>39</v>
      </c>
      <c r="F274" s="10" t="s">
        <v>16</v>
      </c>
      <c r="G274" s="10" t="s">
        <v>202</v>
      </c>
      <c r="H274" s="10" t="s">
        <v>815</v>
      </c>
      <c r="I274" s="10" t="s">
        <v>254</v>
      </c>
      <c r="J274" s="11">
        <v>898968994</v>
      </c>
      <c r="K274" s="11"/>
      <c r="L274" s="10" t="s">
        <v>816</v>
      </c>
      <c r="M274" s="10" t="s">
        <v>42</v>
      </c>
      <c r="N274" s="10" t="s">
        <v>43</v>
      </c>
      <c r="O274" s="10">
        <v>2012</v>
      </c>
      <c r="P274" s="8">
        <v>42814</v>
      </c>
      <c r="Q274" s="12" t="s">
        <v>419</v>
      </c>
    </row>
    <row r="275" spans="1:17" x14ac:dyDescent="0.2">
      <c r="A275">
        <f t="shared" si="4"/>
        <v>1609031</v>
      </c>
      <c r="B275" s="7" t="s">
        <v>977</v>
      </c>
      <c r="C275" s="8">
        <v>42626.702796759258</v>
      </c>
      <c r="D275" s="8"/>
      <c r="E275" s="9" t="s">
        <v>37</v>
      </c>
      <c r="F275" s="10" t="s">
        <v>16</v>
      </c>
      <c r="G275" s="10" t="s">
        <v>207</v>
      </c>
      <c r="H275" s="10" t="s">
        <v>978</v>
      </c>
      <c r="I275" s="10" t="s">
        <v>979</v>
      </c>
      <c r="J275" s="11">
        <v>859007408</v>
      </c>
      <c r="K275" s="11"/>
      <c r="L275" s="10" t="s">
        <v>980</v>
      </c>
      <c r="M275" s="10" t="s">
        <v>126</v>
      </c>
      <c r="N275" s="10" t="s">
        <v>981</v>
      </c>
      <c r="O275" s="10">
        <v>2011</v>
      </c>
      <c r="P275" s="8">
        <v>42873</v>
      </c>
      <c r="Q275" s="12" t="s">
        <v>951</v>
      </c>
    </row>
    <row r="276" spans="1:17" x14ac:dyDescent="0.2">
      <c r="A276">
        <f t="shared" si="4"/>
        <v>1609032</v>
      </c>
      <c r="B276" s="7" t="s">
        <v>982</v>
      </c>
      <c r="C276" s="8">
        <v>42626.723633564812</v>
      </c>
      <c r="D276" s="8">
        <v>42642</v>
      </c>
      <c r="E276" s="9" t="s">
        <v>39</v>
      </c>
      <c r="F276" s="10" t="s">
        <v>16</v>
      </c>
      <c r="G276" s="10" t="s">
        <v>337</v>
      </c>
      <c r="H276" s="10" t="s">
        <v>983</v>
      </c>
      <c r="I276" s="10" t="s">
        <v>625</v>
      </c>
      <c r="J276" s="11">
        <v>874859557</v>
      </c>
      <c r="K276" s="11"/>
      <c r="L276" s="10" t="s">
        <v>984</v>
      </c>
      <c r="M276" s="10" t="s">
        <v>282</v>
      </c>
      <c r="N276" s="10" t="s">
        <v>283</v>
      </c>
      <c r="O276" s="10">
        <v>2015</v>
      </c>
      <c r="P276" s="8">
        <v>42792</v>
      </c>
      <c r="Q276" s="12" t="s">
        <v>419</v>
      </c>
    </row>
    <row r="277" spans="1:17" x14ac:dyDescent="0.2">
      <c r="A277">
        <f t="shared" si="4"/>
        <v>1609033</v>
      </c>
      <c r="B277" s="7" t="s">
        <v>985</v>
      </c>
      <c r="C277" s="8">
        <v>42627.717363310185</v>
      </c>
      <c r="D277" s="8">
        <v>42632</v>
      </c>
      <c r="E277" s="9" t="s">
        <v>39</v>
      </c>
      <c r="F277" s="10" t="s">
        <v>16</v>
      </c>
      <c r="G277" s="10" t="s">
        <v>580</v>
      </c>
      <c r="H277" s="10" t="s">
        <v>986</v>
      </c>
      <c r="I277" s="10" t="s">
        <v>233</v>
      </c>
      <c r="J277" s="11">
        <v>924529052</v>
      </c>
      <c r="K277" s="11" t="s">
        <v>40</v>
      </c>
      <c r="L277" s="10" t="s">
        <v>987</v>
      </c>
      <c r="M277" s="10" t="s">
        <v>47</v>
      </c>
      <c r="N277" s="10" t="s">
        <v>106</v>
      </c>
      <c r="O277" s="10">
        <v>2012</v>
      </c>
      <c r="P277" s="8">
        <v>42635</v>
      </c>
      <c r="Q277" s="12" t="s">
        <v>844</v>
      </c>
    </row>
    <row r="278" spans="1:17" x14ac:dyDescent="0.2">
      <c r="A278">
        <f t="shared" si="4"/>
        <v>1609034</v>
      </c>
      <c r="B278" s="7" t="s">
        <v>988</v>
      </c>
      <c r="C278" s="8">
        <v>42627.720441087964</v>
      </c>
      <c r="D278" s="8"/>
      <c r="E278" s="9" t="s">
        <v>39</v>
      </c>
      <c r="F278" s="10" t="s">
        <v>16</v>
      </c>
      <c r="G278" s="10" t="s">
        <v>207</v>
      </c>
      <c r="H278" s="10" t="s">
        <v>989</v>
      </c>
      <c r="I278" s="10" t="s">
        <v>215</v>
      </c>
      <c r="J278" s="11">
        <v>875062666</v>
      </c>
      <c r="K278" s="11"/>
      <c r="L278" s="10" t="s">
        <v>990</v>
      </c>
      <c r="M278" s="10" t="s">
        <v>47</v>
      </c>
      <c r="N278" s="10" t="s">
        <v>51</v>
      </c>
      <c r="O278" s="10">
        <v>2012</v>
      </c>
      <c r="P278" s="8" t="s">
        <v>616</v>
      </c>
      <c r="Q278" s="12"/>
    </row>
    <row r="279" spans="1:17" x14ac:dyDescent="0.2">
      <c r="A279">
        <f t="shared" si="4"/>
        <v>1609035</v>
      </c>
      <c r="B279" s="7" t="s">
        <v>991</v>
      </c>
      <c r="C279" s="8">
        <v>42628.443704282407</v>
      </c>
      <c r="D279" s="8">
        <v>42637</v>
      </c>
      <c r="E279" s="9" t="s">
        <v>39</v>
      </c>
      <c r="F279" s="10" t="s">
        <v>16</v>
      </c>
      <c r="G279" s="10" t="s">
        <v>202</v>
      </c>
      <c r="H279" s="10" t="s">
        <v>992</v>
      </c>
      <c r="I279" s="10" t="s">
        <v>993</v>
      </c>
      <c r="J279" s="11">
        <v>846744407</v>
      </c>
      <c r="K279" s="11"/>
      <c r="L279" s="10" t="s">
        <v>994</v>
      </c>
      <c r="M279" s="10" t="s">
        <v>47</v>
      </c>
      <c r="N279" s="10" t="s">
        <v>106</v>
      </c>
      <c r="O279" s="10">
        <v>2014</v>
      </c>
      <c r="P279" s="8">
        <v>42574</v>
      </c>
      <c r="Q279" s="12" t="s">
        <v>499</v>
      </c>
    </row>
    <row r="280" spans="1:17" x14ac:dyDescent="0.2">
      <c r="A280">
        <f t="shared" si="4"/>
        <v>1609036</v>
      </c>
      <c r="B280" s="7" t="s">
        <v>995</v>
      </c>
      <c r="C280" s="8">
        <v>42628.640423611112</v>
      </c>
      <c r="D280" s="8">
        <v>42633</v>
      </c>
      <c r="E280" s="9" t="s">
        <v>39</v>
      </c>
      <c r="F280" s="10" t="s">
        <v>16</v>
      </c>
      <c r="G280" s="10" t="s">
        <v>207</v>
      </c>
      <c r="H280" s="10" t="s">
        <v>996</v>
      </c>
      <c r="I280" s="10" t="s">
        <v>625</v>
      </c>
      <c r="J280" s="11">
        <v>620903904</v>
      </c>
      <c r="K280" s="11"/>
      <c r="L280" s="10" t="s">
        <v>997</v>
      </c>
      <c r="M280" s="10" t="s">
        <v>58</v>
      </c>
      <c r="N280" s="10" t="s">
        <v>717</v>
      </c>
      <c r="O280" s="10">
        <v>2013</v>
      </c>
      <c r="P280" s="8">
        <v>41300</v>
      </c>
      <c r="Q280" s="12" t="s">
        <v>540</v>
      </c>
    </row>
    <row r="281" spans="1:17" x14ac:dyDescent="0.2">
      <c r="A281">
        <f t="shared" si="4"/>
        <v>1609037</v>
      </c>
      <c r="B281" s="7" t="s">
        <v>998</v>
      </c>
      <c r="C281" s="8">
        <v>42628.713799305558</v>
      </c>
      <c r="D281" s="8">
        <v>42644</v>
      </c>
      <c r="E281" s="9" t="s">
        <v>39</v>
      </c>
      <c r="F281" s="10" t="s">
        <v>16</v>
      </c>
      <c r="G281" s="10" t="s">
        <v>337</v>
      </c>
      <c r="H281" s="10" t="s">
        <v>999</v>
      </c>
      <c r="I281" s="10" t="s">
        <v>263</v>
      </c>
      <c r="J281" s="11">
        <v>817121855</v>
      </c>
      <c r="K281" s="11">
        <v>923522403</v>
      </c>
      <c r="L281" s="10" t="s">
        <v>1000</v>
      </c>
      <c r="M281" s="10" t="s">
        <v>54</v>
      </c>
      <c r="N281" s="10" t="s">
        <v>1001</v>
      </c>
      <c r="O281" s="10">
        <v>1996</v>
      </c>
      <c r="P281" s="8">
        <v>42740</v>
      </c>
      <c r="Q281" s="12" t="s">
        <v>844</v>
      </c>
    </row>
    <row r="282" spans="1:17" x14ac:dyDescent="0.2">
      <c r="A282">
        <f t="shared" si="4"/>
        <v>1609038</v>
      </c>
      <c r="B282" s="7" t="s">
        <v>1002</v>
      </c>
      <c r="C282" s="8">
        <v>42629.586214583331</v>
      </c>
      <c r="D282" s="8">
        <v>42648</v>
      </c>
      <c r="E282" s="9" t="s">
        <v>39</v>
      </c>
      <c r="F282" s="10" t="s">
        <v>16</v>
      </c>
      <c r="G282" s="10" t="s">
        <v>225</v>
      </c>
      <c r="H282" s="10" t="s">
        <v>1003</v>
      </c>
      <c r="I282" s="10" t="s">
        <v>263</v>
      </c>
      <c r="J282" s="11">
        <v>896366629</v>
      </c>
      <c r="K282" s="11"/>
      <c r="L282" s="10" t="s">
        <v>1004</v>
      </c>
      <c r="M282" s="10" t="s">
        <v>42</v>
      </c>
      <c r="N282" s="10" t="s">
        <v>43</v>
      </c>
      <c r="O282" s="10">
        <v>2010</v>
      </c>
      <c r="P282" s="8">
        <v>42753</v>
      </c>
      <c r="Q282" s="12" t="s">
        <v>877</v>
      </c>
    </row>
    <row r="283" spans="1:17" x14ac:dyDescent="0.2">
      <c r="A283">
        <f t="shared" si="4"/>
        <v>1609039</v>
      </c>
      <c r="B283" s="7" t="s">
        <v>1005</v>
      </c>
      <c r="C283" s="8">
        <v>42629.587167245372</v>
      </c>
      <c r="D283" s="8"/>
      <c r="E283" s="9" t="s">
        <v>37</v>
      </c>
      <c r="F283" s="10" t="s">
        <v>16</v>
      </c>
      <c r="G283" s="10" t="s">
        <v>207</v>
      </c>
      <c r="H283" s="10" t="s">
        <v>1006</v>
      </c>
      <c r="I283" s="10" t="s">
        <v>286</v>
      </c>
      <c r="J283" s="11">
        <v>813558069</v>
      </c>
      <c r="K283" s="11">
        <v>819166275</v>
      </c>
      <c r="L283" s="10" t="s">
        <v>1529</v>
      </c>
      <c r="M283" s="10" t="s">
        <v>47</v>
      </c>
      <c r="N283" s="10" t="s">
        <v>106</v>
      </c>
      <c r="O283" s="10">
        <v>2012</v>
      </c>
      <c r="P283" s="8">
        <v>42885</v>
      </c>
      <c r="Q283" s="12" t="s">
        <v>251</v>
      </c>
    </row>
    <row r="284" spans="1:17" x14ac:dyDescent="0.2">
      <c r="A284">
        <f t="shared" si="4"/>
        <v>1609040</v>
      </c>
      <c r="B284" s="7" t="s">
        <v>1007</v>
      </c>
      <c r="C284" s="8">
        <v>42630.727842592591</v>
      </c>
      <c r="D284" s="8">
        <v>42637</v>
      </c>
      <c r="E284" s="9" t="s">
        <v>39</v>
      </c>
      <c r="F284" s="10" t="s">
        <v>16</v>
      </c>
      <c r="G284" s="10" t="s">
        <v>225</v>
      </c>
      <c r="H284" s="10" t="s">
        <v>1008</v>
      </c>
      <c r="I284" s="10" t="s">
        <v>233</v>
      </c>
      <c r="J284" s="11">
        <v>816592509</v>
      </c>
      <c r="K284" s="11"/>
      <c r="L284" s="10" t="s">
        <v>1009</v>
      </c>
      <c r="M284" s="10" t="s">
        <v>47</v>
      </c>
      <c r="N284" s="10" t="s">
        <v>106</v>
      </c>
      <c r="O284" s="10">
        <v>2012</v>
      </c>
      <c r="P284" s="8">
        <v>42614</v>
      </c>
      <c r="Q284" s="12" t="s">
        <v>564</v>
      </c>
    </row>
    <row r="285" spans="1:17" x14ac:dyDescent="0.2">
      <c r="A285">
        <f t="shared" si="4"/>
        <v>1609041</v>
      </c>
      <c r="B285" s="7" t="s">
        <v>1010</v>
      </c>
      <c r="C285" s="8">
        <v>42630.732072685183</v>
      </c>
      <c r="D285" s="8">
        <v>42636</v>
      </c>
      <c r="E285" s="9" t="s">
        <v>39</v>
      </c>
      <c r="F285" s="10" t="s">
        <v>16</v>
      </c>
      <c r="G285" s="10" t="s">
        <v>202</v>
      </c>
      <c r="H285" s="10" t="s">
        <v>1011</v>
      </c>
      <c r="I285" s="10" t="s">
        <v>286</v>
      </c>
      <c r="J285" s="11">
        <v>944634090</v>
      </c>
      <c r="K285" s="11"/>
      <c r="L285" s="10" t="s">
        <v>1012</v>
      </c>
      <c r="M285" s="10" t="s">
        <v>47</v>
      </c>
      <c r="N285" s="10" t="s">
        <v>106</v>
      </c>
      <c r="O285" s="10">
        <v>2013</v>
      </c>
      <c r="P285" s="8">
        <v>42620</v>
      </c>
      <c r="Q285" s="12" t="s">
        <v>1013</v>
      </c>
    </row>
    <row r="286" spans="1:17" x14ac:dyDescent="0.2">
      <c r="A286">
        <f t="shared" si="4"/>
        <v>1609042</v>
      </c>
      <c r="B286" s="7" t="s">
        <v>1014</v>
      </c>
      <c r="C286" s="8">
        <v>42632.690013310188</v>
      </c>
      <c r="D286" s="8">
        <v>42635</v>
      </c>
      <c r="E286" s="9" t="s">
        <v>39</v>
      </c>
      <c r="F286" s="10" t="s">
        <v>16</v>
      </c>
      <c r="G286" s="10" t="s">
        <v>207</v>
      </c>
      <c r="H286" s="10" t="s">
        <v>1015</v>
      </c>
      <c r="I286" s="10" t="s">
        <v>625</v>
      </c>
      <c r="J286" s="11">
        <v>854674693</v>
      </c>
      <c r="K286" s="11"/>
      <c r="L286" s="10" t="s">
        <v>1016</v>
      </c>
      <c r="M286" s="10" t="s">
        <v>58</v>
      </c>
      <c r="N286" s="10" t="s">
        <v>414</v>
      </c>
      <c r="O286" s="10">
        <v>2015</v>
      </c>
      <c r="P286" s="8" t="s">
        <v>943</v>
      </c>
      <c r="Q286" s="12"/>
    </row>
    <row r="287" spans="1:17" x14ac:dyDescent="0.2">
      <c r="A287">
        <f t="shared" si="4"/>
        <v>1609043</v>
      </c>
      <c r="B287" s="7" t="s">
        <v>1017</v>
      </c>
      <c r="C287" s="8">
        <v>42632.700659027774</v>
      </c>
      <c r="D287" s="8">
        <v>42637</v>
      </c>
      <c r="E287" s="9" t="s">
        <v>39</v>
      </c>
      <c r="F287" s="10" t="s">
        <v>16</v>
      </c>
      <c r="G287" s="10" t="s">
        <v>202</v>
      </c>
      <c r="H287" s="10" t="s">
        <v>1018</v>
      </c>
      <c r="I287" s="10" t="s">
        <v>233</v>
      </c>
      <c r="J287" s="11">
        <v>816321541</v>
      </c>
      <c r="K287" s="11"/>
      <c r="L287" s="10" t="s">
        <v>1019</v>
      </c>
      <c r="M287" s="10" t="s">
        <v>47</v>
      </c>
      <c r="N287" s="10" t="s">
        <v>106</v>
      </c>
      <c r="O287" s="10">
        <v>2007</v>
      </c>
      <c r="P287" s="8">
        <v>42768</v>
      </c>
      <c r="Q287" s="12" t="s">
        <v>925</v>
      </c>
    </row>
    <row r="288" spans="1:17" x14ac:dyDescent="0.2">
      <c r="A288">
        <f t="shared" si="4"/>
        <v>1609044</v>
      </c>
      <c r="B288" s="7" t="s">
        <v>1020</v>
      </c>
      <c r="C288" s="8">
        <v>42632.714189120372</v>
      </c>
      <c r="D288" s="8">
        <v>42637</v>
      </c>
      <c r="E288" s="9" t="s">
        <v>39</v>
      </c>
      <c r="F288" s="10" t="s">
        <v>16</v>
      </c>
      <c r="G288" s="10" t="s">
        <v>202</v>
      </c>
      <c r="H288" s="10" t="s">
        <v>1021</v>
      </c>
      <c r="I288" s="10" t="s">
        <v>286</v>
      </c>
      <c r="J288" s="11">
        <v>986093703</v>
      </c>
      <c r="K288" s="11"/>
      <c r="L288" s="10" t="s">
        <v>1022</v>
      </c>
      <c r="M288" s="10" t="s">
        <v>47</v>
      </c>
      <c r="N288" s="10" t="s">
        <v>106</v>
      </c>
      <c r="O288" s="10">
        <v>2012</v>
      </c>
      <c r="P288" s="8">
        <v>42687</v>
      </c>
      <c r="Q288" s="12" t="s">
        <v>877</v>
      </c>
    </row>
    <row r="289" spans="1:17" x14ac:dyDescent="0.2">
      <c r="A289">
        <f t="shared" si="4"/>
        <v>1609045</v>
      </c>
      <c r="B289" s="7" t="s">
        <v>1023</v>
      </c>
      <c r="C289" s="8">
        <v>42632.720603009257</v>
      </c>
      <c r="D289" s="8">
        <v>42658</v>
      </c>
      <c r="E289" s="9" t="s">
        <v>39</v>
      </c>
      <c r="F289" s="10" t="s">
        <v>16</v>
      </c>
      <c r="G289" s="10" t="s">
        <v>202</v>
      </c>
      <c r="H289" s="10" t="s">
        <v>1024</v>
      </c>
      <c r="I289" s="10" t="s">
        <v>254</v>
      </c>
      <c r="J289" s="11">
        <v>979321824</v>
      </c>
      <c r="K289" s="11"/>
      <c r="L289" s="10" t="s">
        <v>1025</v>
      </c>
      <c r="M289" s="10" t="s">
        <v>58</v>
      </c>
      <c r="N289" s="10" t="s">
        <v>414</v>
      </c>
      <c r="O289" s="10">
        <v>2008</v>
      </c>
      <c r="P289" s="8">
        <v>42855</v>
      </c>
      <c r="Q289" s="12" t="s">
        <v>531</v>
      </c>
    </row>
    <row r="290" spans="1:17" x14ac:dyDescent="0.2">
      <c r="A290">
        <f t="shared" si="4"/>
        <v>1609046</v>
      </c>
      <c r="B290" s="7" t="s">
        <v>1026</v>
      </c>
      <c r="C290" s="8">
        <v>42632.729221064816</v>
      </c>
      <c r="D290" s="8">
        <v>42639</v>
      </c>
      <c r="E290" s="9" t="s">
        <v>39</v>
      </c>
      <c r="F290" s="10" t="s">
        <v>16</v>
      </c>
      <c r="G290" s="10" t="s">
        <v>202</v>
      </c>
      <c r="H290" s="10" t="s">
        <v>1027</v>
      </c>
      <c r="I290" s="10" t="s">
        <v>1028</v>
      </c>
      <c r="J290" s="11">
        <v>948242282</v>
      </c>
      <c r="K290" s="11">
        <v>941639914</v>
      </c>
      <c r="L290" s="10" t="s">
        <v>1029</v>
      </c>
      <c r="M290" s="10" t="s">
        <v>47</v>
      </c>
      <c r="N290" s="10" t="s">
        <v>106</v>
      </c>
      <c r="O290" s="10">
        <v>2009</v>
      </c>
      <c r="P290" s="8">
        <v>42846</v>
      </c>
      <c r="Q290" s="12" t="s">
        <v>1030</v>
      </c>
    </row>
    <row r="291" spans="1:17" x14ac:dyDescent="0.2">
      <c r="A291">
        <f t="shared" si="4"/>
        <v>1609047</v>
      </c>
      <c r="B291" s="7" t="s">
        <v>1031</v>
      </c>
      <c r="C291" s="8">
        <v>42632.736264120373</v>
      </c>
      <c r="D291" s="8"/>
      <c r="E291" s="9" t="s">
        <v>39</v>
      </c>
      <c r="F291" s="10" t="s">
        <v>16</v>
      </c>
      <c r="G291" s="10" t="s">
        <v>207</v>
      </c>
      <c r="H291" s="10" t="s">
        <v>1032</v>
      </c>
      <c r="I291" s="10" t="s">
        <v>243</v>
      </c>
      <c r="J291" s="11">
        <v>878327562</v>
      </c>
      <c r="K291" s="11"/>
      <c r="L291" s="10" t="s">
        <v>1033</v>
      </c>
      <c r="M291" s="10" t="s">
        <v>58</v>
      </c>
      <c r="N291" s="10" t="s">
        <v>414</v>
      </c>
      <c r="O291" s="10">
        <v>2008</v>
      </c>
      <c r="P291" s="8">
        <v>42759</v>
      </c>
      <c r="Q291" s="12" t="s">
        <v>531</v>
      </c>
    </row>
    <row r="292" spans="1:17" x14ac:dyDescent="0.2">
      <c r="A292">
        <f t="shared" si="4"/>
        <v>1609048</v>
      </c>
      <c r="B292" s="7" t="s">
        <v>1034</v>
      </c>
      <c r="C292" s="8">
        <v>42632.740391550928</v>
      </c>
      <c r="D292" s="8">
        <v>42636</v>
      </c>
      <c r="E292" s="9" t="s">
        <v>39</v>
      </c>
      <c r="F292" s="10" t="s">
        <v>16</v>
      </c>
      <c r="G292" s="10" t="s">
        <v>337</v>
      </c>
      <c r="H292" s="10" t="s">
        <v>1035</v>
      </c>
      <c r="I292" s="10" t="s">
        <v>1036</v>
      </c>
      <c r="J292" s="11">
        <v>951636097</v>
      </c>
      <c r="K292" s="11"/>
      <c r="L292" s="10" t="s">
        <v>1037</v>
      </c>
      <c r="M292" s="10" t="s">
        <v>54</v>
      </c>
      <c r="N292" s="10" t="s">
        <v>72</v>
      </c>
      <c r="O292" s="10">
        <v>2012</v>
      </c>
      <c r="P292" s="8">
        <v>42756</v>
      </c>
      <c r="Q292" s="12" t="s">
        <v>774</v>
      </c>
    </row>
    <row r="293" spans="1:17" x14ac:dyDescent="0.2">
      <c r="A293">
        <f t="shared" si="4"/>
        <v>1609049</v>
      </c>
      <c r="B293" s="7" t="s">
        <v>1038</v>
      </c>
      <c r="C293" s="8">
        <v>42632.74601678241</v>
      </c>
      <c r="D293" s="8">
        <v>42642</v>
      </c>
      <c r="E293" s="9" t="s">
        <v>39</v>
      </c>
      <c r="F293" s="10" t="s">
        <v>16</v>
      </c>
      <c r="G293" s="10" t="s">
        <v>207</v>
      </c>
      <c r="H293" s="10" t="s">
        <v>1039</v>
      </c>
      <c r="I293" s="10" t="s">
        <v>286</v>
      </c>
      <c r="J293" s="11">
        <v>875574794</v>
      </c>
      <c r="K293" s="11"/>
      <c r="L293" s="10" t="s">
        <v>1040</v>
      </c>
      <c r="M293" s="10" t="s">
        <v>58</v>
      </c>
      <c r="N293" s="10" t="s">
        <v>1041</v>
      </c>
      <c r="O293" s="10">
        <v>2015</v>
      </c>
      <c r="P293" s="8">
        <v>42927</v>
      </c>
      <c r="Q293" s="12" t="s">
        <v>1042</v>
      </c>
    </row>
    <row r="294" spans="1:17" x14ac:dyDescent="0.2">
      <c r="A294">
        <f t="shared" si="4"/>
        <v>1609050</v>
      </c>
      <c r="B294" s="7" t="s">
        <v>1043</v>
      </c>
      <c r="C294" s="8">
        <v>42632.749739583334</v>
      </c>
      <c r="D294" s="8">
        <v>42639</v>
      </c>
      <c r="E294" s="9" t="s">
        <v>39</v>
      </c>
      <c r="F294" s="10" t="s">
        <v>16</v>
      </c>
      <c r="G294" s="10" t="s">
        <v>207</v>
      </c>
      <c r="H294" s="10" t="s">
        <v>1044</v>
      </c>
      <c r="I294" s="10" t="s">
        <v>625</v>
      </c>
      <c r="J294" s="11">
        <v>972305685</v>
      </c>
      <c r="K294" s="11"/>
      <c r="L294" s="10" t="s">
        <v>1045</v>
      </c>
      <c r="M294" s="10" t="s">
        <v>42</v>
      </c>
      <c r="N294" s="10" t="s">
        <v>494</v>
      </c>
      <c r="O294" s="10">
        <v>2012</v>
      </c>
      <c r="P294" s="8" t="s">
        <v>943</v>
      </c>
      <c r="Q294" s="12"/>
    </row>
    <row r="295" spans="1:17" x14ac:dyDescent="0.2">
      <c r="A295">
        <f t="shared" si="4"/>
        <v>1609051</v>
      </c>
      <c r="B295" s="7" t="s">
        <v>1046</v>
      </c>
      <c r="C295" s="8">
        <v>42632.753503703701</v>
      </c>
      <c r="D295" s="8">
        <v>42639</v>
      </c>
      <c r="E295" s="9" t="s">
        <v>39</v>
      </c>
      <c r="F295" s="10" t="s">
        <v>16</v>
      </c>
      <c r="G295" s="10" t="s">
        <v>207</v>
      </c>
      <c r="H295" s="10" t="s">
        <v>1047</v>
      </c>
      <c r="I295" s="10" t="s">
        <v>254</v>
      </c>
      <c r="J295" s="11">
        <v>971125060</v>
      </c>
      <c r="K295" s="11"/>
      <c r="L295" s="10" t="s">
        <v>1048</v>
      </c>
      <c r="M295" s="10" t="s">
        <v>58</v>
      </c>
      <c r="N295" s="10" t="s">
        <v>435</v>
      </c>
      <c r="O295" s="10">
        <v>2011</v>
      </c>
      <c r="P295" s="8">
        <v>42733</v>
      </c>
      <c r="Q295" s="12" t="s">
        <v>1049</v>
      </c>
    </row>
    <row r="296" spans="1:17" x14ac:dyDescent="0.2">
      <c r="A296">
        <f t="shared" si="4"/>
        <v>1609052</v>
      </c>
      <c r="B296" s="7" t="s">
        <v>1050</v>
      </c>
      <c r="C296" s="8">
        <v>42633.574796990739</v>
      </c>
      <c r="D296" s="8">
        <v>42637</v>
      </c>
      <c r="E296" s="9" t="s">
        <v>39</v>
      </c>
      <c r="F296" s="10" t="s">
        <v>16</v>
      </c>
      <c r="G296" s="10" t="s">
        <v>225</v>
      </c>
      <c r="H296" s="10" t="s">
        <v>1051</v>
      </c>
      <c r="I296" s="10" t="s">
        <v>429</v>
      </c>
      <c r="J296" s="11">
        <v>830078322</v>
      </c>
      <c r="K296" s="11"/>
      <c r="L296" s="10" t="s">
        <v>1052</v>
      </c>
      <c r="M296" s="10" t="s">
        <v>47</v>
      </c>
      <c r="N296" s="10" t="s">
        <v>209</v>
      </c>
      <c r="O296" s="10">
        <v>2007</v>
      </c>
      <c r="P296" s="8" t="s">
        <v>943</v>
      </c>
      <c r="Q296" s="12"/>
    </row>
    <row r="297" spans="1:17" x14ac:dyDescent="0.2">
      <c r="A297">
        <f t="shared" si="4"/>
        <v>1609053</v>
      </c>
      <c r="B297" s="7" t="s">
        <v>1053</v>
      </c>
      <c r="C297" s="8">
        <v>42633.586395833336</v>
      </c>
      <c r="D297" s="8">
        <v>42643</v>
      </c>
      <c r="E297" s="9" t="s">
        <v>39</v>
      </c>
      <c r="F297" s="10" t="s">
        <v>16</v>
      </c>
      <c r="G297" s="10" t="s">
        <v>303</v>
      </c>
      <c r="H297" s="10" t="s">
        <v>1054</v>
      </c>
      <c r="I297" s="10" t="s">
        <v>625</v>
      </c>
      <c r="J297" s="11">
        <v>860324252</v>
      </c>
      <c r="K297" s="11"/>
      <c r="L297" s="10" t="s">
        <v>1055</v>
      </c>
      <c r="M297" s="10" t="s">
        <v>47</v>
      </c>
      <c r="N297" s="10" t="s">
        <v>106</v>
      </c>
      <c r="O297" s="10">
        <v>2010</v>
      </c>
      <c r="P297" s="8">
        <v>42853</v>
      </c>
      <c r="Q297" s="12" t="s">
        <v>844</v>
      </c>
    </row>
    <row r="298" spans="1:17" x14ac:dyDescent="0.2">
      <c r="A298">
        <f t="shared" si="4"/>
        <v>1609054</v>
      </c>
      <c r="B298" s="7" t="s">
        <v>1056</v>
      </c>
      <c r="C298" s="8">
        <v>42633.595098148151</v>
      </c>
      <c r="D298" s="8">
        <v>42639</v>
      </c>
      <c r="E298" s="9" t="s">
        <v>39</v>
      </c>
      <c r="F298" s="10" t="s">
        <v>16</v>
      </c>
      <c r="G298" s="10" t="s">
        <v>337</v>
      </c>
      <c r="H298" s="10" t="s">
        <v>1057</v>
      </c>
      <c r="I298" s="10" t="s">
        <v>1058</v>
      </c>
      <c r="J298" s="11">
        <v>846933362</v>
      </c>
      <c r="K298" s="11"/>
      <c r="L298" s="10" t="s">
        <v>1059</v>
      </c>
      <c r="M298" s="10" t="s">
        <v>42</v>
      </c>
      <c r="N298" s="10" t="s">
        <v>43</v>
      </c>
      <c r="O298" s="10">
        <v>2012</v>
      </c>
      <c r="P298" s="8">
        <v>42684</v>
      </c>
      <c r="Q298" s="12" t="s">
        <v>820</v>
      </c>
    </row>
    <row r="299" spans="1:17" x14ac:dyDescent="0.2">
      <c r="A299">
        <f t="shared" si="4"/>
        <v>1609055</v>
      </c>
      <c r="B299" s="7" t="s">
        <v>1060</v>
      </c>
      <c r="C299" s="8">
        <v>42633.607508680558</v>
      </c>
      <c r="D299" s="8">
        <v>42642</v>
      </c>
      <c r="E299" s="9" t="s">
        <v>39</v>
      </c>
      <c r="F299" s="10" t="s">
        <v>16</v>
      </c>
      <c r="G299" s="10" t="s">
        <v>207</v>
      </c>
      <c r="H299" s="10" t="s">
        <v>1061</v>
      </c>
      <c r="I299" s="10" t="s">
        <v>286</v>
      </c>
      <c r="J299" s="11">
        <v>876849746</v>
      </c>
      <c r="K299" s="11"/>
      <c r="L299" s="10" t="s">
        <v>1062</v>
      </c>
      <c r="M299" s="10" t="s">
        <v>47</v>
      </c>
      <c r="N299" s="10" t="s">
        <v>106</v>
      </c>
      <c r="O299" s="10">
        <v>2013</v>
      </c>
      <c r="P299" s="8">
        <v>42821</v>
      </c>
      <c r="Q299" s="12" t="s">
        <v>260</v>
      </c>
    </row>
    <row r="300" spans="1:17" x14ac:dyDescent="0.2">
      <c r="A300">
        <f t="shared" si="4"/>
        <v>1609056</v>
      </c>
      <c r="B300" s="7" t="s">
        <v>1063</v>
      </c>
      <c r="C300" s="8">
        <v>42634.490158449073</v>
      </c>
      <c r="D300" s="8">
        <v>42640</v>
      </c>
      <c r="E300" s="9" t="s">
        <v>39</v>
      </c>
      <c r="F300" s="10" t="s">
        <v>16</v>
      </c>
      <c r="G300" s="10" t="s">
        <v>202</v>
      </c>
      <c r="H300" s="10" t="s">
        <v>1064</v>
      </c>
      <c r="I300" s="10" t="s">
        <v>222</v>
      </c>
      <c r="J300" s="11">
        <v>997500716</v>
      </c>
      <c r="K300" s="11"/>
      <c r="L300" s="10" t="s">
        <v>1065</v>
      </c>
      <c r="M300" s="10" t="s">
        <v>42</v>
      </c>
      <c r="N300" s="10" t="s">
        <v>494</v>
      </c>
      <c r="O300" s="10">
        <v>2013</v>
      </c>
      <c r="P300" s="8">
        <v>42864</v>
      </c>
      <c r="Q300" s="12" t="s">
        <v>531</v>
      </c>
    </row>
    <row r="301" spans="1:17" x14ac:dyDescent="0.2">
      <c r="A301">
        <f t="shared" si="4"/>
        <v>1609057</v>
      </c>
      <c r="B301" s="7" t="s">
        <v>1066</v>
      </c>
      <c r="C301" s="8">
        <v>42635.651307870372</v>
      </c>
      <c r="D301" s="8">
        <v>42656</v>
      </c>
      <c r="E301" s="9" t="s">
        <v>39</v>
      </c>
      <c r="F301" s="10" t="s">
        <v>16</v>
      </c>
      <c r="G301" s="10" t="s">
        <v>202</v>
      </c>
      <c r="H301" s="10" t="s">
        <v>1067</v>
      </c>
      <c r="I301" s="10" t="s">
        <v>233</v>
      </c>
      <c r="J301" s="11">
        <v>890022000</v>
      </c>
      <c r="K301" s="11"/>
      <c r="L301" s="10" t="s">
        <v>1068</v>
      </c>
      <c r="M301" s="10" t="s">
        <v>87</v>
      </c>
      <c r="N301" s="10">
        <v>3</v>
      </c>
      <c r="O301" s="10"/>
      <c r="P301" s="8">
        <v>42667</v>
      </c>
      <c r="Q301" s="12" t="s">
        <v>1069</v>
      </c>
    </row>
    <row r="302" spans="1:17" x14ac:dyDescent="0.2">
      <c r="A302">
        <f t="shared" si="4"/>
        <v>1609058</v>
      </c>
      <c r="B302" s="7" t="s">
        <v>1070</v>
      </c>
      <c r="C302" s="8">
        <v>42636.638300115737</v>
      </c>
      <c r="D302" s="8"/>
      <c r="E302" s="9" t="s">
        <v>39</v>
      </c>
      <c r="F302" s="10" t="s">
        <v>16</v>
      </c>
      <c r="G302" s="10" t="s">
        <v>207</v>
      </c>
      <c r="H302" s="10" t="s">
        <v>1071</v>
      </c>
      <c r="I302" s="10" t="s">
        <v>506</v>
      </c>
      <c r="J302" s="11">
        <v>840802881</v>
      </c>
      <c r="K302" s="11" t="s">
        <v>40</v>
      </c>
      <c r="L302" s="10" t="s">
        <v>1072</v>
      </c>
      <c r="M302" s="10" t="s">
        <v>47</v>
      </c>
      <c r="N302" s="10" t="s">
        <v>51</v>
      </c>
      <c r="O302" s="10">
        <v>2010</v>
      </c>
      <c r="P302" s="8">
        <v>42848</v>
      </c>
      <c r="Q302" s="12" t="s">
        <v>256</v>
      </c>
    </row>
    <row r="303" spans="1:17" x14ac:dyDescent="0.2">
      <c r="A303">
        <f t="shared" si="4"/>
        <v>1609059</v>
      </c>
      <c r="B303" s="7" t="s">
        <v>1073</v>
      </c>
      <c r="C303" s="8">
        <v>42636.639779861114</v>
      </c>
      <c r="D303" s="8"/>
      <c r="E303" s="9" t="s">
        <v>37</v>
      </c>
      <c r="F303" s="10" t="s">
        <v>16</v>
      </c>
      <c r="G303" s="10" t="s">
        <v>207</v>
      </c>
      <c r="H303" s="10" t="s">
        <v>1074</v>
      </c>
      <c r="I303" s="10" t="s">
        <v>625</v>
      </c>
      <c r="J303" s="11">
        <v>872072315</v>
      </c>
      <c r="K303" s="11"/>
      <c r="L303" s="10" t="s">
        <v>1075</v>
      </c>
      <c r="M303" s="10" t="s">
        <v>538</v>
      </c>
      <c r="N303" s="10" t="s">
        <v>1076</v>
      </c>
      <c r="O303" s="10">
        <v>2009</v>
      </c>
      <c r="P303" s="8">
        <v>42639</v>
      </c>
      <c r="Q303" s="12" t="s">
        <v>273</v>
      </c>
    </row>
    <row r="304" spans="1:17" x14ac:dyDescent="0.2">
      <c r="A304">
        <f t="shared" si="4"/>
        <v>1609060</v>
      </c>
      <c r="B304" s="7" t="s">
        <v>1077</v>
      </c>
      <c r="C304" s="8">
        <v>42637.496616435186</v>
      </c>
      <c r="D304" s="8">
        <v>42643</v>
      </c>
      <c r="E304" s="9" t="s">
        <v>39</v>
      </c>
      <c r="F304" s="10" t="s">
        <v>16</v>
      </c>
      <c r="G304" s="10" t="s">
        <v>337</v>
      </c>
      <c r="H304" s="10" t="s">
        <v>1078</v>
      </c>
      <c r="I304" s="10" t="s">
        <v>233</v>
      </c>
      <c r="J304" s="11">
        <v>876729231</v>
      </c>
      <c r="K304" s="11"/>
      <c r="L304" s="10" t="s">
        <v>1079</v>
      </c>
      <c r="M304" s="10" t="s">
        <v>58</v>
      </c>
      <c r="N304" s="10" t="s">
        <v>414</v>
      </c>
      <c r="O304" s="10">
        <v>2005</v>
      </c>
      <c r="P304" s="8">
        <v>42737</v>
      </c>
      <c r="Q304" s="12" t="s">
        <v>1080</v>
      </c>
    </row>
    <row r="305" spans="1:17" x14ac:dyDescent="0.2">
      <c r="A305">
        <f t="shared" si="4"/>
        <v>1609061</v>
      </c>
      <c r="B305" s="7" t="s">
        <v>1081</v>
      </c>
      <c r="C305" s="8">
        <v>42637.676617939818</v>
      </c>
      <c r="D305" s="8">
        <v>42643</v>
      </c>
      <c r="E305" s="9" t="s">
        <v>39</v>
      </c>
      <c r="F305" s="10" t="s">
        <v>16</v>
      </c>
      <c r="G305" s="10" t="s">
        <v>303</v>
      </c>
      <c r="H305" s="10" t="s">
        <v>1082</v>
      </c>
      <c r="I305" s="10" t="s">
        <v>625</v>
      </c>
      <c r="J305" s="11">
        <v>812577484</v>
      </c>
      <c r="K305" s="11"/>
      <c r="L305" s="10" t="s">
        <v>1083</v>
      </c>
      <c r="M305" s="10" t="s">
        <v>58</v>
      </c>
      <c r="N305" s="10" t="s">
        <v>414</v>
      </c>
      <c r="O305" s="10">
        <v>2013</v>
      </c>
      <c r="P305" s="8">
        <v>42822</v>
      </c>
      <c r="Q305" s="12" t="s">
        <v>335</v>
      </c>
    </row>
    <row r="306" spans="1:17" x14ac:dyDescent="0.2">
      <c r="A306">
        <f t="shared" si="4"/>
        <v>1609062</v>
      </c>
      <c r="B306" s="7" t="s">
        <v>1084</v>
      </c>
      <c r="C306" s="8">
        <v>42639.384557986108</v>
      </c>
      <c r="D306" s="8">
        <v>42644</v>
      </c>
      <c r="E306" s="9" t="s">
        <v>39</v>
      </c>
      <c r="F306" s="10" t="s">
        <v>16</v>
      </c>
      <c r="G306" s="10" t="s">
        <v>202</v>
      </c>
      <c r="H306" s="10" t="s">
        <v>1085</v>
      </c>
      <c r="I306" s="10" t="s">
        <v>1086</v>
      </c>
      <c r="J306" s="11">
        <v>818165652</v>
      </c>
      <c r="K306" s="11"/>
      <c r="L306" s="10" t="s">
        <v>1087</v>
      </c>
      <c r="M306" s="10" t="s">
        <v>47</v>
      </c>
      <c r="N306" s="10" t="s">
        <v>106</v>
      </c>
      <c r="O306" s="10">
        <v>2012</v>
      </c>
      <c r="P306" s="8">
        <v>42695</v>
      </c>
      <c r="Q306" s="12" t="s">
        <v>454</v>
      </c>
    </row>
    <row r="307" spans="1:17" x14ac:dyDescent="0.2">
      <c r="A307">
        <f t="shared" si="4"/>
        <v>1609063</v>
      </c>
      <c r="B307" s="7" t="s">
        <v>1088</v>
      </c>
      <c r="C307" s="8">
        <v>42639.453156018521</v>
      </c>
      <c r="D307" s="8">
        <v>42649</v>
      </c>
      <c r="E307" s="9" t="s">
        <v>39</v>
      </c>
      <c r="F307" s="10" t="s">
        <v>16</v>
      </c>
      <c r="G307" s="10" t="s">
        <v>196</v>
      </c>
      <c r="H307" s="10" t="s">
        <v>1089</v>
      </c>
      <c r="I307" s="10" t="s">
        <v>305</v>
      </c>
      <c r="J307" s="11">
        <v>870245959</v>
      </c>
      <c r="K307" s="11">
        <v>970995729</v>
      </c>
      <c r="L307" s="10" t="s">
        <v>1090</v>
      </c>
      <c r="M307" s="10" t="s">
        <v>87</v>
      </c>
      <c r="N307" s="10">
        <v>3</v>
      </c>
      <c r="O307" s="10">
        <v>2013</v>
      </c>
      <c r="P307" s="8">
        <v>42887</v>
      </c>
      <c r="Q307" s="12" t="s">
        <v>668</v>
      </c>
    </row>
    <row r="308" spans="1:17" x14ac:dyDescent="0.2">
      <c r="A308">
        <f t="shared" si="4"/>
        <v>1609064</v>
      </c>
      <c r="B308" s="7" t="s">
        <v>1091</v>
      </c>
      <c r="C308" s="8">
        <v>42639.733914004632</v>
      </c>
      <c r="D308" s="8">
        <v>42660</v>
      </c>
      <c r="E308" s="9" t="s">
        <v>39</v>
      </c>
      <c r="F308" s="10" t="s">
        <v>16</v>
      </c>
      <c r="G308" s="10" t="s">
        <v>337</v>
      </c>
      <c r="H308" s="10" t="s">
        <v>1092</v>
      </c>
      <c r="I308" s="10" t="s">
        <v>222</v>
      </c>
      <c r="J308" s="11">
        <v>981349877</v>
      </c>
      <c r="K308" s="11"/>
      <c r="L308" s="10" t="s">
        <v>1093</v>
      </c>
      <c r="M308" s="10" t="s">
        <v>93</v>
      </c>
      <c r="N308" s="10" t="s">
        <v>94</v>
      </c>
      <c r="O308" s="10">
        <v>2011</v>
      </c>
      <c r="P308" s="8">
        <v>42720</v>
      </c>
      <c r="Q308" s="12" t="s">
        <v>341</v>
      </c>
    </row>
    <row r="309" spans="1:17" x14ac:dyDescent="0.2">
      <c r="A309">
        <f t="shared" si="4"/>
        <v>1609065</v>
      </c>
      <c r="B309" s="7" t="s">
        <v>1094</v>
      </c>
      <c r="C309" s="8">
        <v>42640.470589814817</v>
      </c>
      <c r="D309" s="8">
        <v>42661</v>
      </c>
      <c r="E309" s="9" t="s">
        <v>39</v>
      </c>
      <c r="F309" s="10" t="s">
        <v>16</v>
      </c>
      <c r="G309" s="10" t="s">
        <v>196</v>
      </c>
      <c r="H309" s="10" t="s">
        <v>1095</v>
      </c>
      <c r="I309" s="10" t="s">
        <v>243</v>
      </c>
      <c r="J309" s="11">
        <v>994940668</v>
      </c>
      <c r="K309" s="11" t="s">
        <v>40</v>
      </c>
      <c r="L309" s="10" t="s">
        <v>1096</v>
      </c>
      <c r="M309" s="10" t="s">
        <v>42</v>
      </c>
      <c r="N309" s="10" t="s">
        <v>75</v>
      </c>
      <c r="O309" s="10">
        <v>2010</v>
      </c>
      <c r="P309" s="8">
        <v>42699</v>
      </c>
      <c r="Q309" s="12" t="s">
        <v>251</v>
      </c>
    </row>
    <row r="310" spans="1:17" x14ac:dyDescent="0.2">
      <c r="A310">
        <f t="shared" si="4"/>
        <v>1609066</v>
      </c>
      <c r="B310" s="7" t="s">
        <v>1097</v>
      </c>
      <c r="C310" s="8">
        <v>42641.727025115739</v>
      </c>
      <c r="D310" s="8">
        <v>42646</v>
      </c>
      <c r="E310" s="9" t="s">
        <v>39</v>
      </c>
      <c r="F310" s="10" t="s">
        <v>16</v>
      </c>
      <c r="G310" s="10" t="s">
        <v>225</v>
      </c>
      <c r="H310" s="10" t="s">
        <v>1098</v>
      </c>
      <c r="I310" s="10" t="s">
        <v>233</v>
      </c>
      <c r="J310" s="11">
        <v>802870863</v>
      </c>
      <c r="K310" s="11"/>
      <c r="L310" s="10" t="s">
        <v>1099</v>
      </c>
      <c r="M310" s="10" t="s">
        <v>126</v>
      </c>
      <c r="N310" s="10" t="s">
        <v>410</v>
      </c>
      <c r="O310" s="10">
        <v>2003</v>
      </c>
      <c r="P310" s="8">
        <v>42708</v>
      </c>
      <c r="Q310" s="12" t="s">
        <v>925</v>
      </c>
    </row>
    <row r="311" spans="1:17" x14ac:dyDescent="0.2">
      <c r="A311">
        <f t="shared" si="4"/>
        <v>1609067</v>
      </c>
      <c r="B311" s="7" t="s">
        <v>1100</v>
      </c>
      <c r="C311" s="8">
        <v>42641.727334143521</v>
      </c>
      <c r="D311" s="8"/>
      <c r="E311" s="9" t="s">
        <v>39</v>
      </c>
      <c r="F311" s="10" t="s">
        <v>40</v>
      </c>
      <c r="G311" s="10" t="s">
        <v>40</v>
      </c>
      <c r="H311" s="10" t="s">
        <v>1101</v>
      </c>
      <c r="I311" s="10" t="s">
        <v>263</v>
      </c>
      <c r="J311" s="11">
        <v>830064880</v>
      </c>
      <c r="K311" s="11"/>
      <c r="L311" s="10" t="s">
        <v>1102</v>
      </c>
      <c r="M311" s="10" t="s">
        <v>47</v>
      </c>
      <c r="N311" s="10" t="s">
        <v>121</v>
      </c>
      <c r="O311" s="10">
        <v>2007</v>
      </c>
      <c r="P311" s="8">
        <v>42603</v>
      </c>
      <c r="Q311" s="12" t="s">
        <v>531</v>
      </c>
    </row>
    <row r="312" spans="1:17" x14ac:dyDescent="0.2">
      <c r="A312">
        <f t="shared" si="4"/>
        <v>1609068</v>
      </c>
      <c r="B312" s="7" t="s">
        <v>1103</v>
      </c>
      <c r="C312" s="8">
        <v>42641.733244907409</v>
      </c>
      <c r="D312" s="8">
        <v>42653</v>
      </c>
      <c r="E312" s="9" t="s">
        <v>39</v>
      </c>
      <c r="F312" s="10" t="s">
        <v>40</v>
      </c>
      <c r="G312" s="10" t="s">
        <v>40</v>
      </c>
      <c r="H312" s="10" t="s">
        <v>1104</v>
      </c>
      <c r="I312" s="10" t="s">
        <v>263</v>
      </c>
      <c r="J312" s="11">
        <v>625038716</v>
      </c>
      <c r="K312" s="11"/>
      <c r="L312" s="10" t="s">
        <v>1105</v>
      </c>
      <c r="M312" s="10" t="s">
        <v>126</v>
      </c>
      <c r="N312" s="10" t="s">
        <v>297</v>
      </c>
      <c r="O312" s="10">
        <v>2012</v>
      </c>
      <c r="P312" s="8">
        <v>42943</v>
      </c>
      <c r="Q312" s="12" t="s">
        <v>571</v>
      </c>
    </row>
    <row r="313" spans="1:17" x14ac:dyDescent="0.2">
      <c r="A313">
        <f t="shared" si="4"/>
        <v>1609069</v>
      </c>
      <c r="B313" s="7" t="s">
        <v>1106</v>
      </c>
      <c r="C313" s="8">
        <v>42641.752992476853</v>
      </c>
      <c r="D313" s="8"/>
      <c r="E313" s="9"/>
      <c r="F313" s="10" t="s">
        <v>16</v>
      </c>
      <c r="G313" s="10" t="s">
        <v>202</v>
      </c>
      <c r="H313" s="10" t="s">
        <v>1107</v>
      </c>
      <c r="I313" s="10" t="s">
        <v>1108</v>
      </c>
      <c r="J313" s="11">
        <v>845902155</v>
      </c>
      <c r="K313" s="11">
        <v>810733400</v>
      </c>
      <c r="L313" s="10" t="s">
        <v>1109</v>
      </c>
      <c r="M313" s="10" t="s">
        <v>42</v>
      </c>
      <c r="N313" s="10" t="s">
        <v>75</v>
      </c>
      <c r="O313" s="10">
        <v>2012</v>
      </c>
      <c r="P313" s="8">
        <v>42753</v>
      </c>
      <c r="Q313" s="12" t="s">
        <v>1069</v>
      </c>
    </row>
    <row r="314" spans="1:17" x14ac:dyDescent="0.2">
      <c r="A314">
        <f t="shared" si="4"/>
        <v>1609070</v>
      </c>
      <c r="B314" s="7" t="s">
        <v>1110</v>
      </c>
      <c r="C314" s="8">
        <v>42641.754473263885</v>
      </c>
      <c r="D314" s="8">
        <v>42662</v>
      </c>
      <c r="E314" s="9">
        <v>20.245526736114698</v>
      </c>
      <c r="F314" s="10" t="s">
        <v>40</v>
      </c>
      <c r="G314" s="10" t="s">
        <v>40</v>
      </c>
      <c r="H314" s="10" t="s">
        <v>1111</v>
      </c>
      <c r="I314" s="10" t="s">
        <v>286</v>
      </c>
      <c r="J314" s="11">
        <v>817524266</v>
      </c>
      <c r="K314" s="11"/>
      <c r="L314" s="10" t="s">
        <v>1112</v>
      </c>
      <c r="M314" s="10" t="s">
        <v>47</v>
      </c>
      <c r="N314" s="10" t="s">
        <v>106</v>
      </c>
      <c r="O314" s="10">
        <v>2007</v>
      </c>
      <c r="P314" s="8">
        <v>42755</v>
      </c>
      <c r="Q314" s="12" t="s">
        <v>664</v>
      </c>
    </row>
    <row r="315" spans="1:17" x14ac:dyDescent="0.2">
      <c r="A315">
        <f t="shared" si="4"/>
        <v>1609071</v>
      </c>
      <c r="B315" s="7" t="s">
        <v>1113</v>
      </c>
      <c r="C315" s="8">
        <v>42642.483518402776</v>
      </c>
      <c r="D315" s="8">
        <v>42655</v>
      </c>
      <c r="E315" s="9" t="s">
        <v>39</v>
      </c>
      <c r="F315" s="10" t="s">
        <v>159</v>
      </c>
      <c r="G315" s="10" t="s">
        <v>207</v>
      </c>
      <c r="H315" s="10" t="s">
        <v>1114</v>
      </c>
      <c r="I315" s="10" t="s">
        <v>233</v>
      </c>
      <c r="J315" s="11">
        <v>813747913</v>
      </c>
      <c r="K315" s="11">
        <v>958704121</v>
      </c>
      <c r="L315" s="10" t="s">
        <v>1115</v>
      </c>
      <c r="M315" s="10" t="s">
        <v>54</v>
      </c>
      <c r="N315" s="10" t="s">
        <v>1116</v>
      </c>
      <c r="O315" s="10">
        <v>2005</v>
      </c>
      <c r="P315" s="8"/>
      <c r="Q315" s="12"/>
    </row>
    <row r="316" spans="1:17" x14ac:dyDescent="0.2">
      <c r="A316">
        <f t="shared" si="4"/>
        <v>1609072</v>
      </c>
      <c r="B316" s="7" t="s">
        <v>1117</v>
      </c>
      <c r="C316" s="8">
        <v>42642.736833564813</v>
      </c>
      <c r="D316" s="8">
        <v>42660</v>
      </c>
      <c r="E316" s="9">
        <v>17.263166435186577</v>
      </c>
      <c r="F316" s="10" t="s">
        <v>16</v>
      </c>
      <c r="G316" s="10" t="s">
        <v>337</v>
      </c>
      <c r="H316" s="10" t="s">
        <v>1118</v>
      </c>
      <c r="I316" s="10" t="s">
        <v>233</v>
      </c>
      <c r="J316" s="11">
        <v>809691114</v>
      </c>
      <c r="K316" s="11" t="s">
        <v>40</v>
      </c>
      <c r="L316" s="10" t="s">
        <v>1119</v>
      </c>
      <c r="M316" s="10" t="s">
        <v>42</v>
      </c>
      <c r="N316" s="10" t="s">
        <v>75</v>
      </c>
      <c r="O316" s="10">
        <v>2012</v>
      </c>
      <c r="P316" s="8" t="s">
        <v>1120</v>
      </c>
      <c r="Q316" s="12" t="s">
        <v>944</v>
      </c>
    </row>
    <row r="317" spans="1:17" x14ac:dyDescent="0.2">
      <c r="A317">
        <f t="shared" si="4"/>
        <v>1609073</v>
      </c>
      <c r="B317" s="7" t="s">
        <v>1121</v>
      </c>
      <c r="C317" s="8">
        <v>42642.737411689814</v>
      </c>
      <c r="D317" s="8">
        <v>42651</v>
      </c>
      <c r="E317" s="9" t="s">
        <v>39</v>
      </c>
      <c r="F317" s="10" t="s">
        <v>40</v>
      </c>
      <c r="G317" s="10" t="s">
        <v>40</v>
      </c>
      <c r="H317" s="10" t="s">
        <v>1122</v>
      </c>
      <c r="I317" s="10" t="s">
        <v>286</v>
      </c>
      <c r="J317" s="11">
        <v>871055783</v>
      </c>
      <c r="K317" s="11"/>
      <c r="L317" s="10" t="s">
        <v>1123</v>
      </c>
      <c r="M317" s="10" t="s">
        <v>54</v>
      </c>
      <c r="N317" s="10" t="s">
        <v>1124</v>
      </c>
      <c r="O317" s="10">
        <v>2015</v>
      </c>
      <c r="P317" s="8">
        <v>42816</v>
      </c>
      <c r="Q317" s="12" t="s">
        <v>540</v>
      </c>
    </row>
    <row r="318" spans="1:17" x14ac:dyDescent="0.2">
      <c r="A318">
        <f t="shared" si="4"/>
        <v>1609074</v>
      </c>
      <c r="B318" s="7" t="s">
        <v>1125</v>
      </c>
      <c r="C318" s="8">
        <v>42643.428069791669</v>
      </c>
      <c r="D318" s="8">
        <v>42643</v>
      </c>
      <c r="E318" s="9" t="s">
        <v>39</v>
      </c>
      <c r="F318" s="10" t="s">
        <v>16</v>
      </c>
      <c r="G318" s="10" t="s">
        <v>207</v>
      </c>
      <c r="H318" s="10" t="s">
        <v>1126</v>
      </c>
      <c r="I318" s="10" t="s">
        <v>305</v>
      </c>
      <c r="J318" s="11">
        <v>981397632</v>
      </c>
      <c r="K318" s="11"/>
      <c r="L318" s="10" t="s">
        <v>1127</v>
      </c>
      <c r="M318" s="10" t="s">
        <v>58</v>
      </c>
      <c r="N318" s="10" t="s">
        <v>414</v>
      </c>
      <c r="O318" s="10">
        <v>2011</v>
      </c>
      <c r="P318" s="8">
        <v>42902</v>
      </c>
      <c r="Q318" s="12" t="s">
        <v>1128</v>
      </c>
    </row>
    <row r="319" spans="1:17" x14ac:dyDescent="0.2">
      <c r="A319">
        <f t="shared" si="4"/>
        <v>1609075</v>
      </c>
      <c r="B319" s="7" t="s">
        <v>1129</v>
      </c>
      <c r="C319" s="8">
        <v>42643.658941203706</v>
      </c>
      <c r="D319" s="8">
        <v>42654</v>
      </c>
      <c r="E319" s="9" t="s">
        <v>39</v>
      </c>
      <c r="F319" s="10" t="s">
        <v>16</v>
      </c>
      <c r="G319" s="10" t="s">
        <v>207</v>
      </c>
      <c r="H319" s="10" t="s">
        <v>1130</v>
      </c>
      <c r="I319" s="10" t="s">
        <v>222</v>
      </c>
      <c r="J319" s="11">
        <v>815708366</v>
      </c>
      <c r="K319" s="11"/>
      <c r="L319" s="10" t="s">
        <v>1131</v>
      </c>
      <c r="M319" s="10" t="s">
        <v>87</v>
      </c>
      <c r="N319" s="10">
        <v>3</v>
      </c>
      <c r="O319" s="10">
        <v>2014</v>
      </c>
      <c r="P319" s="8">
        <v>42643</v>
      </c>
      <c r="Q319" s="12" t="s">
        <v>685</v>
      </c>
    </row>
    <row r="320" spans="1:17" x14ac:dyDescent="0.2">
      <c r="A320">
        <f t="shared" si="4"/>
        <v>1609076</v>
      </c>
      <c r="B320" s="7" t="s">
        <v>1132</v>
      </c>
      <c r="C320" s="8">
        <v>42643.722304976851</v>
      </c>
      <c r="D320" s="8">
        <v>42663</v>
      </c>
      <c r="E320" s="9" t="s">
        <v>39</v>
      </c>
      <c r="F320" s="10" t="s">
        <v>16</v>
      </c>
      <c r="G320" s="10" t="s">
        <v>207</v>
      </c>
      <c r="H320" s="10" t="s">
        <v>1133</v>
      </c>
      <c r="I320" s="10" t="s">
        <v>506</v>
      </c>
      <c r="J320" s="11">
        <v>952486689</v>
      </c>
      <c r="K320" s="11"/>
      <c r="L320" s="10" t="s">
        <v>1134</v>
      </c>
      <c r="M320" s="10" t="s">
        <v>42</v>
      </c>
      <c r="N320" s="10" t="s">
        <v>84</v>
      </c>
      <c r="O320" s="10">
        <v>2010</v>
      </c>
      <c r="P320" s="8">
        <v>42757</v>
      </c>
      <c r="Q320" s="12" t="s">
        <v>774</v>
      </c>
    </row>
    <row r="321" spans="1:17" x14ac:dyDescent="0.2">
      <c r="A321">
        <f t="shared" si="4"/>
        <v>1610001</v>
      </c>
      <c r="B321" s="7" t="s">
        <v>1135</v>
      </c>
      <c r="C321" s="8">
        <v>42644.614653472221</v>
      </c>
      <c r="D321" s="8">
        <v>42644</v>
      </c>
      <c r="E321" s="9" t="s">
        <v>39</v>
      </c>
      <c r="F321" s="10" t="s">
        <v>16</v>
      </c>
      <c r="G321" s="10" t="s">
        <v>303</v>
      </c>
      <c r="H321" s="10" t="s">
        <v>1136</v>
      </c>
      <c r="I321" s="10" t="s">
        <v>1137</v>
      </c>
      <c r="J321" s="11">
        <v>814038220</v>
      </c>
      <c r="K321" s="11"/>
      <c r="L321" s="10" t="s">
        <v>1138</v>
      </c>
      <c r="M321" s="10" t="s">
        <v>126</v>
      </c>
      <c r="N321" s="10" t="s">
        <v>127</v>
      </c>
      <c r="O321" s="10">
        <v>2007</v>
      </c>
      <c r="P321" s="8" t="s">
        <v>1139</v>
      </c>
      <c r="Q321" s="12"/>
    </row>
    <row r="322" spans="1:17" x14ac:dyDescent="0.2">
      <c r="A322">
        <f t="shared" si="4"/>
        <v>1610002</v>
      </c>
      <c r="B322" s="7" t="s">
        <v>1140</v>
      </c>
      <c r="C322" s="8">
        <v>42644.622097569445</v>
      </c>
      <c r="D322" s="8">
        <v>42650</v>
      </c>
      <c r="E322" s="9" t="s">
        <v>39</v>
      </c>
      <c r="F322" s="10" t="s">
        <v>16</v>
      </c>
      <c r="G322" s="10" t="s">
        <v>207</v>
      </c>
      <c r="H322" s="10" t="s">
        <v>1141</v>
      </c>
      <c r="I322" s="10" t="s">
        <v>305</v>
      </c>
      <c r="J322" s="11">
        <v>898922292</v>
      </c>
      <c r="K322" s="11"/>
      <c r="L322" s="10" t="s">
        <v>1142</v>
      </c>
      <c r="M322" s="10" t="s">
        <v>47</v>
      </c>
      <c r="N322" s="10" t="s">
        <v>78</v>
      </c>
      <c r="O322" s="10">
        <v>2008</v>
      </c>
      <c r="P322" s="8">
        <v>42819</v>
      </c>
      <c r="Q322" s="12" t="s">
        <v>1143</v>
      </c>
    </row>
    <row r="323" spans="1:17" x14ac:dyDescent="0.2">
      <c r="A323">
        <f t="shared" si="4"/>
        <v>1610003</v>
      </c>
      <c r="B323" s="7" t="s">
        <v>1144</v>
      </c>
      <c r="C323" s="8">
        <v>42644.633645023147</v>
      </c>
      <c r="D323" s="8">
        <v>42656</v>
      </c>
      <c r="E323" s="9" t="s">
        <v>39</v>
      </c>
      <c r="F323" s="10" t="s">
        <v>16</v>
      </c>
      <c r="G323" s="10" t="s">
        <v>207</v>
      </c>
      <c r="H323" s="10" t="s">
        <v>1145</v>
      </c>
      <c r="I323" s="10" t="s">
        <v>286</v>
      </c>
      <c r="J323" s="11">
        <v>894807752</v>
      </c>
      <c r="K323" s="11">
        <v>939574599</v>
      </c>
      <c r="L323" s="10" t="s">
        <v>1146</v>
      </c>
      <c r="M323" s="10" t="s">
        <v>47</v>
      </c>
      <c r="N323" s="10" t="s">
        <v>99</v>
      </c>
      <c r="O323" s="10">
        <v>2002</v>
      </c>
      <c r="P323" s="8">
        <v>42702</v>
      </c>
      <c r="Q323" s="12" t="s">
        <v>217</v>
      </c>
    </row>
    <row r="324" spans="1:17" x14ac:dyDescent="0.2">
      <c r="A324">
        <f t="shared" ref="A324:A387" si="5">VALUE(B324)</f>
        <v>1610004</v>
      </c>
      <c r="B324" s="7" t="s">
        <v>1147</v>
      </c>
      <c r="C324" s="8">
        <v>42644.644835185187</v>
      </c>
      <c r="D324" s="8">
        <v>42651</v>
      </c>
      <c r="E324" s="9" t="s">
        <v>39</v>
      </c>
      <c r="F324" s="10" t="s">
        <v>16</v>
      </c>
      <c r="G324" s="10" t="s">
        <v>196</v>
      </c>
      <c r="H324" s="10" t="s">
        <v>1148</v>
      </c>
      <c r="I324" s="10" t="s">
        <v>286</v>
      </c>
      <c r="J324" s="11">
        <v>922500196</v>
      </c>
      <c r="K324" s="11"/>
      <c r="L324" s="10" t="s">
        <v>1149</v>
      </c>
      <c r="M324" s="10" t="s">
        <v>47</v>
      </c>
      <c r="N324" s="10" t="s">
        <v>106</v>
      </c>
      <c r="O324" s="10">
        <v>2012</v>
      </c>
      <c r="P324" s="8">
        <v>42319</v>
      </c>
      <c r="Q324" s="12" t="s">
        <v>389</v>
      </c>
    </row>
    <row r="325" spans="1:17" x14ac:dyDescent="0.2">
      <c r="A325">
        <f t="shared" si="5"/>
        <v>1610005</v>
      </c>
      <c r="B325" s="7" t="s">
        <v>1150</v>
      </c>
      <c r="C325" s="8">
        <v>42644.648403356485</v>
      </c>
      <c r="D325" s="8"/>
      <c r="E325" s="9" t="s">
        <v>39</v>
      </c>
      <c r="F325" s="10" t="s">
        <v>16</v>
      </c>
      <c r="G325" s="10" t="s">
        <v>337</v>
      </c>
      <c r="H325" s="10" t="s">
        <v>1151</v>
      </c>
      <c r="I325" s="10" t="s">
        <v>429</v>
      </c>
      <c r="J325" s="11">
        <v>896750760</v>
      </c>
      <c r="K325" s="11" t="s">
        <v>1152</v>
      </c>
      <c r="L325" s="10" t="s">
        <v>1153</v>
      </c>
      <c r="M325" s="10" t="s">
        <v>58</v>
      </c>
      <c r="N325" s="10" t="s">
        <v>1154</v>
      </c>
      <c r="O325" s="10">
        <v>2005</v>
      </c>
      <c r="P325" s="8">
        <v>42846</v>
      </c>
      <c r="Q325" s="12" t="s">
        <v>217</v>
      </c>
    </row>
    <row r="326" spans="1:17" x14ac:dyDescent="0.2">
      <c r="A326">
        <f t="shared" si="5"/>
        <v>1610006</v>
      </c>
      <c r="B326" s="7" t="s">
        <v>1155</v>
      </c>
      <c r="C326" s="8">
        <v>42646.410992708334</v>
      </c>
      <c r="D326" s="8">
        <v>42653</v>
      </c>
      <c r="E326" s="9" t="s">
        <v>39</v>
      </c>
      <c r="F326" s="10" t="s">
        <v>16</v>
      </c>
      <c r="G326" s="10" t="s">
        <v>337</v>
      </c>
      <c r="H326" s="10" t="s">
        <v>1156</v>
      </c>
      <c r="I326" s="10" t="s">
        <v>263</v>
      </c>
      <c r="J326" s="11">
        <v>865883507</v>
      </c>
      <c r="K326" s="11" t="s">
        <v>40</v>
      </c>
      <c r="L326" s="10" t="s">
        <v>1157</v>
      </c>
      <c r="M326" s="10" t="s">
        <v>47</v>
      </c>
      <c r="N326" s="10" t="s">
        <v>51</v>
      </c>
      <c r="O326" s="10">
        <v>2008</v>
      </c>
      <c r="P326" s="8">
        <v>42639</v>
      </c>
      <c r="Q326" s="12" t="s">
        <v>256</v>
      </c>
    </row>
    <row r="327" spans="1:17" x14ac:dyDescent="0.2">
      <c r="A327">
        <f t="shared" si="5"/>
        <v>1610007</v>
      </c>
      <c r="B327" s="7" t="s">
        <v>1158</v>
      </c>
      <c r="C327" s="8">
        <v>42646.577000462959</v>
      </c>
      <c r="D327" s="8">
        <v>42654</v>
      </c>
      <c r="E327" s="9" t="s">
        <v>39</v>
      </c>
      <c r="F327" s="10" t="s">
        <v>16</v>
      </c>
      <c r="G327" s="10" t="s">
        <v>196</v>
      </c>
      <c r="H327" s="10" t="s">
        <v>1159</v>
      </c>
      <c r="I327" s="10" t="s">
        <v>243</v>
      </c>
      <c r="J327" s="11">
        <v>972918737</v>
      </c>
      <c r="K327" s="11"/>
      <c r="L327" s="10" t="s">
        <v>1160</v>
      </c>
      <c r="M327" s="10" t="s">
        <v>126</v>
      </c>
      <c r="N327" s="10" t="s">
        <v>297</v>
      </c>
      <c r="O327" s="10">
        <v>2011</v>
      </c>
      <c r="P327" s="8">
        <v>42739</v>
      </c>
      <c r="Q327" s="12" t="s">
        <v>256</v>
      </c>
    </row>
    <row r="328" spans="1:17" x14ac:dyDescent="0.2">
      <c r="A328">
        <f t="shared" si="5"/>
        <v>1610008</v>
      </c>
      <c r="B328" s="7" t="s">
        <v>1161</v>
      </c>
      <c r="C328" s="8">
        <v>42646.583004282409</v>
      </c>
      <c r="D328" s="8">
        <v>42620</v>
      </c>
      <c r="E328" s="9" t="s">
        <v>39</v>
      </c>
      <c r="F328" s="10" t="s">
        <v>159</v>
      </c>
      <c r="G328" s="10" t="s">
        <v>40</v>
      </c>
      <c r="H328" s="10" t="s">
        <v>1162</v>
      </c>
      <c r="I328" s="10" t="s">
        <v>286</v>
      </c>
      <c r="J328" s="11">
        <v>869079213</v>
      </c>
      <c r="K328" s="11"/>
      <c r="L328" s="10" t="s">
        <v>1163</v>
      </c>
      <c r="M328" s="10" t="s">
        <v>47</v>
      </c>
      <c r="N328" s="10" t="s">
        <v>106</v>
      </c>
      <c r="O328" s="10"/>
      <c r="P328" s="8"/>
      <c r="Q328" s="12"/>
    </row>
    <row r="329" spans="1:17" x14ac:dyDescent="0.2">
      <c r="A329">
        <f t="shared" si="5"/>
        <v>1610009</v>
      </c>
      <c r="B329" s="7" t="s">
        <v>1164</v>
      </c>
      <c r="C329" s="8">
        <v>42646.590224884261</v>
      </c>
      <c r="D329" s="8">
        <v>42650</v>
      </c>
      <c r="E329" s="9" t="s">
        <v>39</v>
      </c>
      <c r="F329" s="10" t="s">
        <v>16</v>
      </c>
      <c r="G329" s="10" t="s">
        <v>207</v>
      </c>
      <c r="H329" s="10" t="s">
        <v>1165</v>
      </c>
      <c r="I329" s="10" t="s">
        <v>233</v>
      </c>
      <c r="J329" s="11">
        <v>904622949</v>
      </c>
      <c r="K329" s="11"/>
      <c r="L329" s="10" t="s">
        <v>1166</v>
      </c>
      <c r="M329" s="10" t="s">
        <v>54</v>
      </c>
      <c r="N329" s="10" t="s">
        <v>873</v>
      </c>
      <c r="O329" s="10">
        <v>2004</v>
      </c>
      <c r="P329" s="8">
        <v>42661</v>
      </c>
      <c r="Q329" s="12" t="s">
        <v>217</v>
      </c>
    </row>
    <row r="330" spans="1:17" x14ac:dyDescent="0.2">
      <c r="A330">
        <f t="shared" si="5"/>
        <v>1610010</v>
      </c>
      <c r="B330" s="7" t="s">
        <v>1167</v>
      </c>
      <c r="C330" s="8">
        <v>42646.60486712963</v>
      </c>
      <c r="D330" s="8">
        <v>42662</v>
      </c>
      <c r="E330" s="9">
        <v>15.395132870369707</v>
      </c>
      <c r="F330" s="10" t="s">
        <v>16</v>
      </c>
      <c r="G330" s="10" t="s">
        <v>225</v>
      </c>
      <c r="H330" s="10" t="s">
        <v>1168</v>
      </c>
      <c r="I330" s="10" t="s">
        <v>254</v>
      </c>
      <c r="J330" s="11">
        <v>850541280</v>
      </c>
      <c r="K330" s="11"/>
      <c r="L330" s="10" t="s">
        <v>1169</v>
      </c>
      <c r="M330" s="10" t="s">
        <v>42</v>
      </c>
      <c r="N330" s="10" t="s">
        <v>75</v>
      </c>
      <c r="O330" s="10">
        <v>2010</v>
      </c>
      <c r="P330" s="8">
        <v>42932</v>
      </c>
      <c r="Q330" s="12" t="s">
        <v>288</v>
      </c>
    </row>
    <row r="331" spans="1:17" x14ac:dyDescent="0.2">
      <c r="A331">
        <f t="shared" si="5"/>
        <v>1610011</v>
      </c>
      <c r="B331" s="7" t="s">
        <v>1170</v>
      </c>
      <c r="C331" s="8">
        <v>42646.677880439813</v>
      </c>
      <c r="D331" s="8">
        <v>42684</v>
      </c>
      <c r="E331" s="9" t="s">
        <v>39</v>
      </c>
      <c r="F331" s="10" t="s">
        <v>16</v>
      </c>
      <c r="G331" s="10" t="s">
        <v>225</v>
      </c>
      <c r="H331" s="10" t="s">
        <v>1171</v>
      </c>
      <c r="I331" s="10" t="s">
        <v>243</v>
      </c>
      <c r="J331" s="11">
        <v>823467465</v>
      </c>
      <c r="K331" s="11"/>
      <c r="L331" s="10" t="s">
        <v>1172</v>
      </c>
      <c r="M331" s="10" t="s">
        <v>58</v>
      </c>
      <c r="N331" s="10" t="s">
        <v>435</v>
      </c>
      <c r="O331" s="10">
        <v>2006</v>
      </c>
      <c r="P331" s="8">
        <v>42877</v>
      </c>
      <c r="Q331" s="12" t="s">
        <v>1173</v>
      </c>
    </row>
    <row r="332" spans="1:17" x14ac:dyDescent="0.2">
      <c r="A332">
        <f t="shared" si="5"/>
        <v>1610012</v>
      </c>
      <c r="B332" s="7" t="s">
        <v>1174</v>
      </c>
      <c r="C332" s="8">
        <v>42646.718520717593</v>
      </c>
      <c r="D332" s="8">
        <v>42655</v>
      </c>
      <c r="E332" s="9" t="s">
        <v>39</v>
      </c>
      <c r="F332" s="10" t="s">
        <v>16</v>
      </c>
      <c r="G332" s="10" t="s">
        <v>337</v>
      </c>
      <c r="H332" s="10" t="s">
        <v>1175</v>
      </c>
      <c r="I332" s="10" t="s">
        <v>286</v>
      </c>
      <c r="J332" s="11">
        <v>932659453</v>
      </c>
      <c r="K332" s="11"/>
      <c r="L332" s="10" t="s">
        <v>1176</v>
      </c>
      <c r="M332" s="10" t="s">
        <v>126</v>
      </c>
      <c r="N332" s="10" t="s">
        <v>553</v>
      </c>
      <c r="O332" s="10">
        <v>2008</v>
      </c>
      <c r="P332" s="8">
        <v>42939</v>
      </c>
      <c r="Q332" s="12" t="s">
        <v>664</v>
      </c>
    </row>
    <row r="333" spans="1:17" x14ac:dyDescent="0.2">
      <c r="A333">
        <f t="shared" si="5"/>
        <v>1610013</v>
      </c>
      <c r="B333" s="7" t="s">
        <v>1177</v>
      </c>
      <c r="C333" s="8">
        <v>42647.404941782406</v>
      </c>
      <c r="D333" s="8"/>
      <c r="E333" s="9" t="s">
        <v>37</v>
      </c>
      <c r="F333" s="10" t="s">
        <v>16</v>
      </c>
      <c r="G333" s="10" t="s">
        <v>207</v>
      </c>
      <c r="H333" s="10" t="s">
        <v>1178</v>
      </c>
      <c r="I333" s="10" t="s">
        <v>1179</v>
      </c>
      <c r="J333" s="11">
        <v>810302174</v>
      </c>
      <c r="K333" s="11">
        <v>911819300</v>
      </c>
      <c r="L333" s="10" t="s">
        <v>1180</v>
      </c>
      <c r="M333" s="10" t="s">
        <v>109</v>
      </c>
      <c r="N333" s="10" t="s">
        <v>240</v>
      </c>
      <c r="O333" s="10">
        <v>2013</v>
      </c>
      <c r="P333" s="8">
        <v>42978</v>
      </c>
      <c r="Q333" s="12" t="s">
        <v>774</v>
      </c>
    </row>
    <row r="334" spans="1:17" x14ac:dyDescent="0.2">
      <c r="A334">
        <f t="shared" si="5"/>
        <v>1610014</v>
      </c>
      <c r="B334" s="7" t="s">
        <v>1181</v>
      </c>
      <c r="C334" s="8">
        <v>42647.722650347219</v>
      </c>
      <c r="D334" s="8">
        <v>42665</v>
      </c>
      <c r="E334" s="9" t="s">
        <v>39</v>
      </c>
      <c r="F334" s="10" t="s">
        <v>16</v>
      </c>
      <c r="G334" s="10" t="s">
        <v>202</v>
      </c>
      <c r="H334" s="10" t="s">
        <v>1182</v>
      </c>
      <c r="I334" s="10" t="s">
        <v>492</v>
      </c>
      <c r="J334" s="11">
        <v>909733718</v>
      </c>
      <c r="K334" s="11"/>
      <c r="L334" s="10" t="s">
        <v>1183</v>
      </c>
      <c r="M334" s="10" t="s">
        <v>47</v>
      </c>
      <c r="N334" s="10" t="s">
        <v>212</v>
      </c>
      <c r="O334" s="10">
        <v>2012</v>
      </c>
      <c r="P334" s="8">
        <v>42775</v>
      </c>
      <c r="Q334" s="12" t="s">
        <v>229</v>
      </c>
    </row>
    <row r="335" spans="1:17" x14ac:dyDescent="0.2">
      <c r="A335">
        <f t="shared" si="5"/>
        <v>1610015</v>
      </c>
      <c r="B335" s="7" t="s">
        <v>1184</v>
      </c>
      <c r="C335" s="8">
        <v>42647.725927430554</v>
      </c>
      <c r="D335" s="8">
        <v>42668</v>
      </c>
      <c r="E335" s="9" t="s">
        <v>39</v>
      </c>
      <c r="F335" s="10" t="s">
        <v>16</v>
      </c>
      <c r="G335" s="10" t="s">
        <v>202</v>
      </c>
      <c r="H335" s="10" t="s">
        <v>1185</v>
      </c>
      <c r="I335" s="10" t="s">
        <v>1186</v>
      </c>
      <c r="J335" s="11">
        <v>845221860</v>
      </c>
      <c r="K335" s="11"/>
      <c r="L335" s="10" t="s">
        <v>1187</v>
      </c>
      <c r="M335" s="10" t="s">
        <v>58</v>
      </c>
      <c r="N335" s="10" t="s">
        <v>414</v>
      </c>
      <c r="O335" s="10">
        <v>2011</v>
      </c>
      <c r="P335" s="8">
        <v>42848</v>
      </c>
      <c r="Q335" s="12" t="s">
        <v>540</v>
      </c>
    </row>
    <row r="336" spans="1:17" x14ac:dyDescent="0.2">
      <c r="A336">
        <f t="shared" si="5"/>
        <v>1610016</v>
      </c>
      <c r="B336" s="7" t="s">
        <v>1188</v>
      </c>
      <c r="C336" s="8">
        <v>42647.732009027779</v>
      </c>
      <c r="D336" s="8">
        <v>42655</v>
      </c>
      <c r="E336" s="9" t="s">
        <v>39</v>
      </c>
      <c r="F336" s="10" t="s">
        <v>16</v>
      </c>
      <c r="G336" s="10" t="s">
        <v>337</v>
      </c>
      <c r="H336" s="10" t="s">
        <v>1189</v>
      </c>
      <c r="I336" s="10" t="s">
        <v>506</v>
      </c>
      <c r="J336" s="11">
        <v>809691114</v>
      </c>
      <c r="K336" s="11"/>
      <c r="L336" s="10" t="s">
        <v>1119</v>
      </c>
      <c r="M336" s="10" t="s">
        <v>42</v>
      </c>
      <c r="N336" s="10" t="s">
        <v>75</v>
      </c>
      <c r="O336" s="10">
        <v>2012</v>
      </c>
      <c r="P336" s="8">
        <v>42914</v>
      </c>
      <c r="Q336" s="12" t="s">
        <v>540</v>
      </c>
    </row>
    <row r="337" spans="1:17" x14ac:dyDescent="0.2">
      <c r="A337">
        <f t="shared" si="5"/>
        <v>1610017</v>
      </c>
      <c r="B337" s="7" t="s">
        <v>1190</v>
      </c>
      <c r="C337" s="8">
        <v>42647.738038310184</v>
      </c>
      <c r="D337" s="8">
        <v>42656</v>
      </c>
      <c r="E337" s="9" t="s">
        <v>39</v>
      </c>
      <c r="F337" s="10" t="s">
        <v>16</v>
      </c>
      <c r="G337" s="10" t="s">
        <v>202</v>
      </c>
      <c r="H337" s="10" t="s">
        <v>1191</v>
      </c>
      <c r="I337" s="10" t="s">
        <v>1192</v>
      </c>
      <c r="J337" s="11">
        <v>819024510</v>
      </c>
      <c r="K337" s="11">
        <v>909818322</v>
      </c>
      <c r="L337" s="10" t="s">
        <v>1193</v>
      </c>
      <c r="M337" s="10" t="s">
        <v>109</v>
      </c>
      <c r="N337" s="10" t="s">
        <v>1194</v>
      </c>
      <c r="O337" s="10">
        <v>2004</v>
      </c>
      <c r="P337" s="8">
        <v>42680</v>
      </c>
      <c r="Q337" s="12" t="s">
        <v>925</v>
      </c>
    </row>
    <row r="338" spans="1:17" x14ac:dyDescent="0.2">
      <c r="A338">
        <f t="shared" si="5"/>
        <v>1610018</v>
      </c>
      <c r="B338" s="7" t="s">
        <v>1195</v>
      </c>
      <c r="C338" s="8">
        <v>42648.658670949073</v>
      </c>
      <c r="D338" s="8">
        <v>42660</v>
      </c>
      <c r="E338" s="9" t="s">
        <v>39</v>
      </c>
      <c r="F338" s="10" t="s">
        <v>16</v>
      </c>
      <c r="G338" s="10" t="s">
        <v>196</v>
      </c>
      <c r="H338" s="10" t="s">
        <v>1196</v>
      </c>
      <c r="I338" s="10" t="s">
        <v>263</v>
      </c>
      <c r="J338" s="11">
        <v>879157862</v>
      </c>
      <c r="K338" s="11"/>
      <c r="L338" s="10" t="s">
        <v>1197</v>
      </c>
      <c r="M338" s="10" t="s">
        <v>47</v>
      </c>
      <c r="N338" s="10" t="s">
        <v>48</v>
      </c>
      <c r="O338" s="10">
        <v>2011</v>
      </c>
      <c r="P338" s="8">
        <v>42976</v>
      </c>
      <c r="Q338" s="12" t="s">
        <v>1198</v>
      </c>
    </row>
    <row r="339" spans="1:17" x14ac:dyDescent="0.2">
      <c r="A339">
        <f t="shared" si="5"/>
        <v>1610019</v>
      </c>
      <c r="B339" s="7" t="s">
        <v>1199</v>
      </c>
      <c r="C339" s="8">
        <v>42648.734678009256</v>
      </c>
      <c r="D339" s="8">
        <v>42668</v>
      </c>
      <c r="E339" s="9">
        <v>19.265321990744269</v>
      </c>
      <c r="F339" s="10" t="s">
        <v>16</v>
      </c>
      <c r="G339" s="10" t="s">
        <v>202</v>
      </c>
      <c r="H339" s="10" t="s">
        <v>1200</v>
      </c>
      <c r="I339" s="10" t="s">
        <v>1201</v>
      </c>
      <c r="J339" s="11">
        <v>989819015</v>
      </c>
      <c r="K339" s="11"/>
      <c r="L339" s="10" t="s">
        <v>1202</v>
      </c>
      <c r="M339" s="10" t="s">
        <v>42</v>
      </c>
      <c r="N339" s="10" t="s">
        <v>84</v>
      </c>
      <c r="O339" s="10">
        <v>2012</v>
      </c>
      <c r="P339" s="8">
        <v>42673</v>
      </c>
      <c r="Q339" s="12" t="s">
        <v>1203</v>
      </c>
    </row>
    <row r="340" spans="1:17" x14ac:dyDescent="0.2">
      <c r="A340">
        <f t="shared" si="5"/>
        <v>1610020</v>
      </c>
      <c r="B340" s="7" t="s">
        <v>1204</v>
      </c>
      <c r="C340" s="8">
        <v>42648.735019907406</v>
      </c>
      <c r="D340" s="8">
        <v>42669</v>
      </c>
      <c r="E340" s="9" t="s">
        <v>39</v>
      </c>
      <c r="F340" s="10" t="s">
        <v>16</v>
      </c>
      <c r="G340" s="10" t="s">
        <v>231</v>
      </c>
      <c r="H340" s="10" t="s">
        <v>1205</v>
      </c>
      <c r="I340" s="10" t="s">
        <v>305</v>
      </c>
      <c r="J340" s="11">
        <v>891736152</v>
      </c>
      <c r="K340" s="11"/>
      <c r="L340" s="10" t="s">
        <v>1206</v>
      </c>
      <c r="M340" s="10" t="s">
        <v>58</v>
      </c>
      <c r="N340" s="10" t="s">
        <v>414</v>
      </c>
      <c r="O340" s="10">
        <v>2007</v>
      </c>
      <c r="P340" s="8">
        <v>42798</v>
      </c>
      <c r="Q340" s="12" t="s">
        <v>664</v>
      </c>
    </row>
    <row r="341" spans="1:17" x14ac:dyDescent="0.2">
      <c r="A341">
        <f t="shared" si="5"/>
        <v>1610021</v>
      </c>
      <c r="B341" s="7" t="s">
        <v>1207</v>
      </c>
      <c r="C341" s="8">
        <v>42648.746945833336</v>
      </c>
      <c r="D341" s="8">
        <v>42654</v>
      </c>
      <c r="E341" s="9" t="s">
        <v>39</v>
      </c>
      <c r="F341" s="10" t="s">
        <v>16</v>
      </c>
      <c r="G341" s="10" t="s">
        <v>207</v>
      </c>
      <c r="H341" s="10" t="s">
        <v>1208</v>
      </c>
      <c r="I341" s="10" t="s">
        <v>263</v>
      </c>
      <c r="J341" s="11">
        <v>856664089</v>
      </c>
      <c r="K341" s="11"/>
      <c r="L341" s="10" t="s">
        <v>1209</v>
      </c>
      <c r="M341" s="10" t="s">
        <v>47</v>
      </c>
      <c r="N341" s="10" t="s">
        <v>48</v>
      </c>
      <c r="O341" s="10">
        <v>2008</v>
      </c>
      <c r="P341" s="8"/>
      <c r="Q341" s="12" t="s">
        <v>1120</v>
      </c>
    </row>
    <row r="342" spans="1:17" x14ac:dyDescent="0.2">
      <c r="A342">
        <f t="shared" si="5"/>
        <v>1610022</v>
      </c>
      <c r="B342" s="7" t="s">
        <v>1210</v>
      </c>
      <c r="C342" s="8">
        <v>42648.755237731479</v>
      </c>
      <c r="D342" s="8">
        <v>42665</v>
      </c>
      <c r="E342" s="9" t="s">
        <v>39</v>
      </c>
      <c r="F342" s="10" t="s">
        <v>16</v>
      </c>
      <c r="G342" s="10" t="s">
        <v>202</v>
      </c>
      <c r="H342" s="10" t="s">
        <v>1211</v>
      </c>
      <c r="I342" s="10" t="s">
        <v>286</v>
      </c>
      <c r="J342" s="11">
        <v>846098465</v>
      </c>
      <c r="K342" s="11"/>
      <c r="L342" s="10" t="s">
        <v>1212</v>
      </c>
      <c r="M342" s="10" t="s">
        <v>58</v>
      </c>
      <c r="N342" s="10" t="s">
        <v>414</v>
      </c>
      <c r="O342" s="10">
        <v>2005</v>
      </c>
      <c r="P342" s="8">
        <v>42855</v>
      </c>
      <c r="Q342" s="12" t="s">
        <v>1213</v>
      </c>
    </row>
    <row r="343" spans="1:17" x14ac:dyDescent="0.2">
      <c r="A343">
        <f t="shared" si="5"/>
        <v>1610023</v>
      </c>
      <c r="B343" s="7" t="s">
        <v>1214</v>
      </c>
      <c r="C343" s="8">
        <v>42648.757824884262</v>
      </c>
      <c r="D343" s="8">
        <v>42656</v>
      </c>
      <c r="E343" s="9" t="s">
        <v>39</v>
      </c>
      <c r="F343" s="10" t="s">
        <v>16</v>
      </c>
      <c r="G343" s="10" t="s">
        <v>196</v>
      </c>
      <c r="H343" s="10" t="s">
        <v>1215</v>
      </c>
      <c r="I343" s="10" t="s">
        <v>263</v>
      </c>
      <c r="J343" s="11">
        <v>811716733</v>
      </c>
      <c r="K343" s="11"/>
      <c r="L343" s="10" t="s">
        <v>1216</v>
      </c>
      <c r="M343" s="10" t="s">
        <v>282</v>
      </c>
      <c r="N343" s="10" t="s">
        <v>283</v>
      </c>
      <c r="O343" s="10">
        <v>2010</v>
      </c>
      <c r="P343" s="8">
        <v>42697</v>
      </c>
      <c r="Q343" s="12" t="s">
        <v>1069</v>
      </c>
    </row>
    <row r="344" spans="1:17" x14ac:dyDescent="0.2">
      <c r="A344">
        <f t="shared" si="5"/>
        <v>1610024</v>
      </c>
      <c r="B344" s="7" t="s">
        <v>1217</v>
      </c>
      <c r="C344" s="8">
        <v>42649.468390162037</v>
      </c>
      <c r="D344" s="8">
        <v>42658</v>
      </c>
      <c r="E344" s="9" t="s">
        <v>39</v>
      </c>
      <c r="F344" s="10" t="s">
        <v>16</v>
      </c>
      <c r="G344" s="10" t="s">
        <v>196</v>
      </c>
      <c r="H344" s="10" t="s">
        <v>1218</v>
      </c>
      <c r="I344" s="10" t="s">
        <v>233</v>
      </c>
      <c r="J344" s="11">
        <v>843865226</v>
      </c>
      <c r="K344" s="11">
        <v>27560087</v>
      </c>
      <c r="L344" s="10" t="s">
        <v>1219</v>
      </c>
      <c r="M344" s="10" t="s">
        <v>47</v>
      </c>
      <c r="N344" s="10" t="s">
        <v>51</v>
      </c>
      <c r="O344" s="10">
        <v>2010</v>
      </c>
      <c r="P344" s="8">
        <v>42938</v>
      </c>
      <c r="Q344" s="12" t="s">
        <v>531</v>
      </c>
    </row>
    <row r="345" spans="1:17" x14ac:dyDescent="0.2">
      <c r="A345">
        <f t="shared" si="5"/>
        <v>1610025</v>
      </c>
      <c r="B345" s="7" t="s">
        <v>1220</v>
      </c>
      <c r="C345" s="8">
        <v>42649.696062268522</v>
      </c>
      <c r="D345" s="8">
        <v>42650</v>
      </c>
      <c r="E345" s="9" t="s">
        <v>39</v>
      </c>
      <c r="F345" s="10" t="s">
        <v>159</v>
      </c>
      <c r="G345" s="10" t="s">
        <v>40</v>
      </c>
      <c r="H345" s="10" t="s">
        <v>1221</v>
      </c>
      <c r="I345" s="10" t="s">
        <v>979</v>
      </c>
      <c r="J345" s="11">
        <v>863759177</v>
      </c>
      <c r="K345" s="11"/>
      <c r="L345" s="10" t="s">
        <v>1222</v>
      </c>
      <c r="M345" s="10" t="s">
        <v>42</v>
      </c>
      <c r="N345" s="10" t="s">
        <v>1223</v>
      </c>
      <c r="O345" s="10"/>
      <c r="P345" s="8"/>
      <c r="Q345" s="12"/>
    </row>
    <row r="346" spans="1:17" x14ac:dyDescent="0.2">
      <c r="A346">
        <f t="shared" si="5"/>
        <v>1610026</v>
      </c>
      <c r="B346" s="7" t="s">
        <v>1224</v>
      </c>
      <c r="C346" s="8">
        <v>42650.627655902776</v>
      </c>
      <c r="D346" s="8">
        <v>42650</v>
      </c>
      <c r="E346" s="9" t="s">
        <v>39</v>
      </c>
      <c r="F346" s="10" t="s">
        <v>16</v>
      </c>
      <c r="G346" s="10" t="s">
        <v>202</v>
      </c>
      <c r="H346" s="10" t="s">
        <v>1225</v>
      </c>
      <c r="I346" s="10" t="s">
        <v>305</v>
      </c>
      <c r="J346" s="11">
        <v>896764260</v>
      </c>
      <c r="K346" s="11"/>
      <c r="L346" s="10" t="s">
        <v>1226</v>
      </c>
      <c r="M346" s="10" t="s">
        <v>47</v>
      </c>
      <c r="N346" s="10" t="s">
        <v>106</v>
      </c>
      <c r="O346" s="10">
        <v>2013</v>
      </c>
      <c r="P346" s="8">
        <v>42667</v>
      </c>
      <c r="Q346" s="12" t="s">
        <v>499</v>
      </c>
    </row>
    <row r="347" spans="1:17" x14ac:dyDescent="0.2">
      <c r="A347">
        <f t="shared" si="5"/>
        <v>1610027</v>
      </c>
      <c r="B347" s="7" t="s">
        <v>1227</v>
      </c>
      <c r="C347" s="8">
        <v>42651.606637962963</v>
      </c>
      <c r="D347" s="8">
        <v>42656</v>
      </c>
      <c r="E347" s="9" t="s">
        <v>39</v>
      </c>
      <c r="F347" s="10" t="s">
        <v>16</v>
      </c>
      <c r="G347" s="10" t="s">
        <v>196</v>
      </c>
      <c r="H347" s="10" t="s">
        <v>1228</v>
      </c>
      <c r="I347" s="10" t="s">
        <v>263</v>
      </c>
      <c r="J347" s="11">
        <v>997204159</v>
      </c>
      <c r="K347" s="11"/>
      <c r="L347" s="10" t="s">
        <v>1229</v>
      </c>
      <c r="M347" s="10" t="s">
        <v>47</v>
      </c>
      <c r="N347" s="10" t="s">
        <v>106</v>
      </c>
      <c r="O347" s="10">
        <v>2005</v>
      </c>
      <c r="P347" s="8">
        <v>42656</v>
      </c>
      <c r="Q347" s="12" t="s">
        <v>925</v>
      </c>
    </row>
    <row r="348" spans="1:17" x14ac:dyDescent="0.2">
      <c r="A348">
        <f t="shared" si="5"/>
        <v>1610028</v>
      </c>
      <c r="B348" s="7" t="s">
        <v>1230</v>
      </c>
      <c r="C348" s="8">
        <v>42653.589214930558</v>
      </c>
      <c r="D348" s="8"/>
      <c r="E348" s="9" t="s">
        <v>37</v>
      </c>
      <c r="F348" s="10" t="s">
        <v>16</v>
      </c>
      <c r="G348" s="10" t="s">
        <v>207</v>
      </c>
      <c r="H348" s="10" t="s">
        <v>1231</v>
      </c>
      <c r="I348" s="10" t="s">
        <v>1036</v>
      </c>
      <c r="J348" s="11">
        <v>995399972</v>
      </c>
      <c r="K348" s="11"/>
      <c r="L348" s="10" t="s">
        <v>1232</v>
      </c>
      <c r="M348" s="10" t="s">
        <v>58</v>
      </c>
      <c r="N348" s="10" t="s">
        <v>1233</v>
      </c>
      <c r="O348" s="10">
        <v>2010</v>
      </c>
      <c r="P348" s="8">
        <v>42674</v>
      </c>
      <c r="Q348" s="12" t="s">
        <v>217</v>
      </c>
    </row>
    <row r="349" spans="1:17" x14ac:dyDescent="0.2">
      <c r="A349">
        <f t="shared" si="5"/>
        <v>1610029</v>
      </c>
      <c r="B349" s="7" t="s">
        <v>1234</v>
      </c>
      <c r="C349" s="8">
        <v>42653.628718171298</v>
      </c>
      <c r="D349" s="8">
        <v>42657</v>
      </c>
      <c r="E349" s="9" t="s">
        <v>39</v>
      </c>
      <c r="F349" s="10" t="s">
        <v>16</v>
      </c>
      <c r="G349" s="10" t="s">
        <v>303</v>
      </c>
      <c r="H349" s="10" t="s">
        <v>1235</v>
      </c>
      <c r="I349" s="10" t="s">
        <v>1236</v>
      </c>
      <c r="J349" s="11">
        <v>848270029</v>
      </c>
      <c r="K349" s="11"/>
      <c r="L349" s="10" t="s">
        <v>1237</v>
      </c>
      <c r="M349" s="10" t="s">
        <v>42</v>
      </c>
      <c r="N349" s="10" t="s">
        <v>884</v>
      </c>
      <c r="O349" s="10">
        <v>2006</v>
      </c>
      <c r="P349" s="8">
        <v>42792</v>
      </c>
      <c r="Q349" s="12" t="s">
        <v>571</v>
      </c>
    </row>
    <row r="350" spans="1:17" x14ac:dyDescent="0.2">
      <c r="A350">
        <f t="shared" si="5"/>
        <v>1610030</v>
      </c>
      <c r="B350" s="7" t="s">
        <v>1238</v>
      </c>
      <c r="C350" s="8">
        <v>42653.632625347222</v>
      </c>
      <c r="D350" s="8">
        <v>42656</v>
      </c>
      <c r="E350" s="9" t="s">
        <v>39</v>
      </c>
      <c r="F350" s="10" t="s">
        <v>16</v>
      </c>
      <c r="G350" s="10" t="s">
        <v>207</v>
      </c>
      <c r="H350" s="10" t="s">
        <v>1239</v>
      </c>
      <c r="I350" s="10" t="s">
        <v>243</v>
      </c>
      <c r="J350" s="11">
        <v>619469915</v>
      </c>
      <c r="K350" s="11"/>
      <c r="L350" s="10" t="s">
        <v>1240</v>
      </c>
      <c r="M350" s="10" t="s">
        <v>47</v>
      </c>
      <c r="N350" s="10" t="s">
        <v>51</v>
      </c>
      <c r="O350" s="10">
        <v>2014</v>
      </c>
      <c r="P350" s="8">
        <v>42815</v>
      </c>
      <c r="Q350" s="12" t="s">
        <v>251</v>
      </c>
    </row>
    <row r="351" spans="1:17" x14ac:dyDescent="0.2">
      <c r="A351">
        <f t="shared" si="5"/>
        <v>1610031</v>
      </c>
      <c r="B351" s="7" t="s">
        <v>1241</v>
      </c>
      <c r="C351" s="8">
        <v>42653.636089004627</v>
      </c>
      <c r="D351" s="8">
        <v>42658</v>
      </c>
      <c r="E351" s="9" t="s">
        <v>39</v>
      </c>
      <c r="F351" s="10" t="s">
        <v>16</v>
      </c>
      <c r="G351" s="10" t="s">
        <v>207</v>
      </c>
      <c r="H351" s="10" t="s">
        <v>1242</v>
      </c>
      <c r="I351" s="10" t="s">
        <v>305</v>
      </c>
      <c r="J351" s="11">
        <v>927054708</v>
      </c>
      <c r="K351" s="11"/>
      <c r="L351" s="10" t="s">
        <v>1243</v>
      </c>
      <c r="M351" s="10" t="s">
        <v>47</v>
      </c>
      <c r="N351" s="10" t="s">
        <v>209</v>
      </c>
      <c r="O351" s="10">
        <v>2008</v>
      </c>
      <c r="P351" s="8">
        <v>42794</v>
      </c>
      <c r="Q351" s="12" t="s">
        <v>1128</v>
      </c>
    </row>
    <row r="352" spans="1:17" x14ac:dyDescent="0.2">
      <c r="A352">
        <f t="shared" si="5"/>
        <v>1610032</v>
      </c>
      <c r="B352" s="7" t="s">
        <v>1244</v>
      </c>
      <c r="C352" s="8">
        <v>42653.644065972221</v>
      </c>
      <c r="D352" s="8">
        <v>42665</v>
      </c>
      <c r="E352" s="9" t="s">
        <v>39</v>
      </c>
      <c r="F352" s="10" t="s">
        <v>16</v>
      </c>
      <c r="G352" s="10" t="s">
        <v>225</v>
      </c>
      <c r="H352" s="10" t="s">
        <v>1245</v>
      </c>
      <c r="I352" s="10" t="s">
        <v>506</v>
      </c>
      <c r="J352" s="11">
        <v>943390847</v>
      </c>
      <c r="K352" s="11">
        <v>824555651</v>
      </c>
      <c r="L352" s="10" t="s">
        <v>1246</v>
      </c>
      <c r="M352" s="10" t="s">
        <v>93</v>
      </c>
      <c r="N352" s="10" t="s">
        <v>155</v>
      </c>
      <c r="O352" s="10">
        <v>2010</v>
      </c>
      <c r="P352" s="8">
        <v>42755</v>
      </c>
      <c r="Q352" s="12" t="s">
        <v>1247</v>
      </c>
    </row>
    <row r="353" spans="1:17" x14ac:dyDescent="0.2">
      <c r="A353">
        <f t="shared" si="5"/>
        <v>1610033</v>
      </c>
      <c r="B353" s="7" t="s">
        <v>1248</v>
      </c>
      <c r="C353" s="8">
        <v>42654.728776620374</v>
      </c>
      <c r="D353" s="8">
        <v>42663</v>
      </c>
      <c r="E353" s="9" t="s">
        <v>39</v>
      </c>
      <c r="F353" s="10" t="s">
        <v>16</v>
      </c>
      <c r="G353" s="10" t="s">
        <v>202</v>
      </c>
      <c r="H353" s="10" t="s">
        <v>1249</v>
      </c>
      <c r="I353" s="10" t="s">
        <v>243</v>
      </c>
      <c r="J353" s="11">
        <v>808691159</v>
      </c>
      <c r="K353" s="11"/>
      <c r="L353" s="10" t="s">
        <v>1250</v>
      </c>
      <c r="M353" s="10" t="s">
        <v>126</v>
      </c>
      <c r="N353" s="10" t="s">
        <v>297</v>
      </c>
      <c r="O353" s="10">
        <v>2011</v>
      </c>
      <c r="P353" s="8">
        <v>42792</v>
      </c>
      <c r="Q353" s="12" t="s">
        <v>797</v>
      </c>
    </row>
    <row r="354" spans="1:17" x14ac:dyDescent="0.2">
      <c r="A354">
        <f t="shared" si="5"/>
        <v>1610034</v>
      </c>
      <c r="B354" s="7" t="s">
        <v>1251</v>
      </c>
      <c r="C354" s="8">
        <v>42654.733875115744</v>
      </c>
      <c r="D354" s="8">
        <v>42679</v>
      </c>
      <c r="E354" s="9" t="s">
        <v>39</v>
      </c>
      <c r="F354" s="10" t="s">
        <v>16</v>
      </c>
      <c r="G354" s="10" t="s">
        <v>337</v>
      </c>
      <c r="H354" s="10" t="s">
        <v>1252</v>
      </c>
      <c r="I354" s="10" t="s">
        <v>286</v>
      </c>
      <c r="J354" s="11">
        <v>924348880</v>
      </c>
      <c r="K354" s="11"/>
      <c r="L354" s="10" t="s">
        <v>1253</v>
      </c>
      <c r="M354" s="10" t="s">
        <v>47</v>
      </c>
      <c r="N354" s="10" t="s">
        <v>106</v>
      </c>
      <c r="O354" s="10">
        <v>2010</v>
      </c>
      <c r="P354" s="8">
        <v>42776</v>
      </c>
      <c r="Q354" s="12" t="s">
        <v>288</v>
      </c>
    </row>
    <row r="355" spans="1:17" x14ac:dyDescent="0.2">
      <c r="A355">
        <f t="shared" si="5"/>
        <v>1610035</v>
      </c>
      <c r="B355" s="7" t="s">
        <v>1254</v>
      </c>
      <c r="C355" s="8">
        <v>42655.446883217592</v>
      </c>
      <c r="D355" s="8">
        <v>42661</v>
      </c>
      <c r="E355" s="9" t="s">
        <v>39</v>
      </c>
      <c r="F355" s="10" t="s">
        <v>16</v>
      </c>
      <c r="G355" s="10" t="s">
        <v>337</v>
      </c>
      <c r="H355" s="10" t="s">
        <v>1255</v>
      </c>
      <c r="I355" s="10" t="s">
        <v>263</v>
      </c>
      <c r="J355" s="11">
        <v>8467777929</v>
      </c>
      <c r="K355" s="11"/>
      <c r="L355" s="10" t="s">
        <v>1256</v>
      </c>
      <c r="M355" s="10" t="s">
        <v>58</v>
      </c>
      <c r="N355" s="10" t="s">
        <v>414</v>
      </c>
      <c r="O355" s="10">
        <v>2014</v>
      </c>
      <c r="P355" s="8">
        <v>42728</v>
      </c>
      <c r="Q355" s="12" t="s">
        <v>499</v>
      </c>
    </row>
    <row r="356" spans="1:17" x14ac:dyDescent="0.2">
      <c r="A356">
        <f t="shared" si="5"/>
        <v>1610036</v>
      </c>
      <c r="B356" s="7" t="s">
        <v>1257</v>
      </c>
      <c r="C356" s="8">
        <v>42655.671082638888</v>
      </c>
      <c r="D356" s="8">
        <v>42663</v>
      </c>
      <c r="E356" s="9" t="s">
        <v>39</v>
      </c>
      <c r="F356" s="10" t="s">
        <v>16</v>
      </c>
      <c r="G356" s="10" t="s">
        <v>231</v>
      </c>
      <c r="H356" s="10" t="s">
        <v>1258</v>
      </c>
      <c r="I356" s="10" t="s">
        <v>979</v>
      </c>
      <c r="J356" s="11">
        <v>819068428</v>
      </c>
      <c r="K356" s="11"/>
      <c r="L356" s="10" t="s">
        <v>1259</v>
      </c>
      <c r="M356" s="10" t="s">
        <v>47</v>
      </c>
      <c r="N356" s="10" t="s">
        <v>99</v>
      </c>
      <c r="O356" s="10"/>
      <c r="P356" s="8">
        <v>42889</v>
      </c>
      <c r="Q356" s="12" t="s">
        <v>571</v>
      </c>
    </row>
    <row r="357" spans="1:17" x14ac:dyDescent="0.2">
      <c r="A357">
        <f t="shared" si="5"/>
        <v>1610037</v>
      </c>
      <c r="B357" s="7" t="s">
        <v>1273</v>
      </c>
      <c r="C357" s="8">
        <v>42656.682677430559</v>
      </c>
      <c r="D357" s="8">
        <v>42679</v>
      </c>
      <c r="E357" s="9" t="s">
        <v>39</v>
      </c>
      <c r="F357" s="10" t="s">
        <v>16</v>
      </c>
      <c r="G357" s="10" t="s">
        <v>207</v>
      </c>
      <c r="H357" s="10" t="s">
        <v>1274</v>
      </c>
      <c r="I357" s="10" t="s">
        <v>506</v>
      </c>
      <c r="J357" s="11">
        <v>948637676</v>
      </c>
      <c r="K357" s="11"/>
      <c r="L357" s="10" t="s">
        <v>1275</v>
      </c>
      <c r="M357" s="10" t="s">
        <v>47</v>
      </c>
      <c r="N357" s="10" t="s">
        <v>51</v>
      </c>
      <c r="O357" s="10">
        <v>2011</v>
      </c>
      <c r="P357" s="8">
        <v>42442</v>
      </c>
      <c r="Q357" s="12" t="s">
        <v>288</v>
      </c>
    </row>
    <row r="358" spans="1:17" x14ac:dyDescent="0.2">
      <c r="A358">
        <f t="shared" si="5"/>
        <v>1610038</v>
      </c>
      <c r="B358" s="7" t="s">
        <v>1276</v>
      </c>
      <c r="C358" s="8">
        <v>42656.736719328706</v>
      </c>
      <c r="D358" s="8">
        <v>42674</v>
      </c>
      <c r="E358" s="9" t="s">
        <v>39</v>
      </c>
      <c r="F358" s="10" t="s">
        <v>16</v>
      </c>
      <c r="G358" s="10" t="s">
        <v>225</v>
      </c>
      <c r="H358" s="10" t="s">
        <v>1277</v>
      </c>
      <c r="I358" s="10" t="s">
        <v>267</v>
      </c>
      <c r="J358" s="11">
        <v>863536226</v>
      </c>
      <c r="K358" s="11"/>
      <c r="L358" s="10" t="s">
        <v>1278</v>
      </c>
      <c r="M358" s="10" t="s">
        <v>126</v>
      </c>
      <c r="N358" s="10" t="s">
        <v>1279</v>
      </c>
      <c r="O358" s="10">
        <v>2004</v>
      </c>
      <c r="P358" s="8">
        <v>42719</v>
      </c>
      <c r="Q358" s="12" t="s">
        <v>925</v>
      </c>
    </row>
    <row r="359" spans="1:17" x14ac:dyDescent="0.2">
      <c r="A359">
        <f t="shared" si="5"/>
        <v>1610039</v>
      </c>
      <c r="B359" s="7" t="s">
        <v>1280</v>
      </c>
      <c r="C359" s="8">
        <v>42657.602722685187</v>
      </c>
      <c r="D359" s="8">
        <v>42657</v>
      </c>
      <c r="E359" s="9" t="s">
        <v>39</v>
      </c>
      <c r="F359" s="10" t="s">
        <v>16</v>
      </c>
      <c r="G359" s="10" t="s">
        <v>207</v>
      </c>
      <c r="H359" s="10" t="s">
        <v>1281</v>
      </c>
      <c r="I359" s="10" t="s">
        <v>243</v>
      </c>
      <c r="J359" s="11">
        <v>875563966</v>
      </c>
      <c r="K359" s="11"/>
      <c r="L359" s="10" t="s">
        <v>1282</v>
      </c>
      <c r="M359" s="10" t="s">
        <v>58</v>
      </c>
      <c r="N359" s="10" t="s">
        <v>414</v>
      </c>
      <c r="O359" s="10">
        <v>2013</v>
      </c>
      <c r="P359" s="8">
        <v>42914</v>
      </c>
      <c r="Q359" s="12" t="s">
        <v>540</v>
      </c>
    </row>
    <row r="360" spans="1:17" x14ac:dyDescent="0.2">
      <c r="A360">
        <f t="shared" si="5"/>
        <v>1610040</v>
      </c>
      <c r="B360" s="7" t="s">
        <v>1283</v>
      </c>
      <c r="C360" s="8">
        <v>42658.437941782409</v>
      </c>
      <c r="D360" s="8">
        <v>42665</v>
      </c>
      <c r="E360" s="9" t="s">
        <v>39</v>
      </c>
      <c r="F360" s="10" t="s">
        <v>16</v>
      </c>
      <c r="G360" s="10" t="s">
        <v>207</v>
      </c>
      <c r="H360" s="10" t="s">
        <v>1284</v>
      </c>
      <c r="I360" s="10" t="s">
        <v>286</v>
      </c>
      <c r="J360" s="11">
        <v>878021977</v>
      </c>
      <c r="K360" s="11"/>
      <c r="L360" s="10" t="s">
        <v>1285</v>
      </c>
      <c r="M360" s="10" t="s">
        <v>58</v>
      </c>
      <c r="N360" s="10" t="s">
        <v>647</v>
      </c>
      <c r="O360" s="10">
        <v>2012</v>
      </c>
      <c r="P360" s="8">
        <v>42641</v>
      </c>
      <c r="Q360" s="12" t="s">
        <v>499</v>
      </c>
    </row>
    <row r="361" spans="1:17" x14ac:dyDescent="0.2">
      <c r="A361">
        <f t="shared" si="5"/>
        <v>1610041</v>
      </c>
      <c r="B361" s="7" t="s">
        <v>1286</v>
      </c>
      <c r="C361" s="8">
        <v>42660.69060115741</v>
      </c>
      <c r="D361" s="8">
        <v>42684</v>
      </c>
      <c r="E361" s="9" t="s">
        <v>39</v>
      </c>
      <c r="F361" s="10" t="s">
        <v>16</v>
      </c>
      <c r="G361" s="10" t="s">
        <v>202</v>
      </c>
      <c r="H361" s="10" t="s">
        <v>1287</v>
      </c>
      <c r="I361" s="10" t="s">
        <v>243</v>
      </c>
      <c r="J361" s="11">
        <v>860290796</v>
      </c>
      <c r="K361" s="11"/>
      <c r="L361" s="10" t="s">
        <v>1288</v>
      </c>
      <c r="M361" s="10" t="s">
        <v>47</v>
      </c>
      <c r="N361" s="10" t="s">
        <v>106</v>
      </c>
      <c r="O361" s="10">
        <v>2005</v>
      </c>
      <c r="P361" s="8">
        <v>42791</v>
      </c>
      <c r="Q361" s="12" t="s">
        <v>335</v>
      </c>
    </row>
    <row r="362" spans="1:17" x14ac:dyDescent="0.2">
      <c r="A362">
        <f t="shared" si="5"/>
        <v>1610042</v>
      </c>
      <c r="B362" s="7" t="s">
        <v>1289</v>
      </c>
      <c r="C362" s="8">
        <v>42660.695118981479</v>
      </c>
      <c r="D362" s="8">
        <v>42667</v>
      </c>
      <c r="E362" s="9" t="s">
        <v>39</v>
      </c>
      <c r="F362" s="10" t="s">
        <v>16</v>
      </c>
      <c r="G362" s="10" t="s">
        <v>202</v>
      </c>
      <c r="H362" s="10" t="s">
        <v>1290</v>
      </c>
      <c r="I362" s="10" t="s">
        <v>506</v>
      </c>
      <c r="J362" s="11">
        <v>845358588</v>
      </c>
      <c r="K362" s="11"/>
      <c r="L362" s="10" t="s">
        <v>1291</v>
      </c>
      <c r="M362" s="10" t="s">
        <v>47</v>
      </c>
      <c r="N362" s="10" t="s">
        <v>51</v>
      </c>
      <c r="O362" s="10">
        <v>2013</v>
      </c>
      <c r="P362" s="8" t="s">
        <v>1120</v>
      </c>
      <c r="Q362" s="12"/>
    </row>
    <row r="363" spans="1:17" x14ac:dyDescent="0.2">
      <c r="A363">
        <f t="shared" si="5"/>
        <v>1610043</v>
      </c>
      <c r="B363" s="7" t="s">
        <v>1292</v>
      </c>
      <c r="C363" s="8">
        <v>42660.697632986114</v>
      </c>
      <c r="D363" s="8">
        <v>42686</v>
      </c>
      <c r="E363" s="9" t="s">
        <v>39</v>
      </c>
      <c r="F363" s="10" t="s">
        <v>16</v>
      </c>
      <c r="G363" s="10" t="s">
        <v>225</v>
      </c>
      <c r="H363" s="10" t="s">
        <v>1293</v>
      </c>
      <c r="I363" s="10" t="s">
        <v>267</v>
      </c>
      <c r="J363" s="11">
        <v>819435524</v>
      </c>
      <c r="K363" s="11">
        <v>922963532</v>
      </c>
      <c r="L363" s="10" t="s">
        <v>1272</v>
      </c>
      <c r="M363" s="10" t="s">
        <v>42</v>
      </c>
      <c r="N363" s="10" t="s">
        <v>43</v>
      </c>
      <c r="O363" s="10">
        <v>2010</v>
      </c>
      <c r="P363" s="8">
        <v>42855</v>
      </c>
      <c r="Q363" s="12" t="s">
        <v>335</v>
      </c>
    </row>
    <row r="364" spans="1:17" x14ac:dyDescent="0.2">
      <c r="A364">
        <f t="shared" si="5"/>
        <v>1610044</v>
      </c>
      <c r="B364" s="7" t="s">
        <v>1294</v>
      </c>
      <c r="C364" s="8">
        <v>42660.70298425926</v>
      </c>
      <c r="D364" s="8">
        <v>42665</v>
      </c>
      <c r="E364" s="9" t="s">
        <v>39</v>
      </c>
      <c r="F364" s="10" t="s">
        <v>16</v>
      </c>
      <c r="G364" s="10" t="s">
        <v>303</v>
      </c>
      <c r="H364" s="10" t="s">
        <v>1295</v>
      </c>
      <c r="I364" s="10" t="s">
        <v>305</v>
      </c>
      <c r="J364" s="11">
        <v>896990795</v>
      </c>
      <c r="K364" s="11"/>
      <c r="L364" s="10" t="s">
        <v>1296</v>
      </c>
      <c r="M364" s="10" t="s">
        <v>54</v>
      </c>
      <c r="N364" s="10" t="s">
        <v>837</v>
      </c>
      <c r="O364" s="10">
        <v>2009</v>
      </c>
      <c r="P364" s="8" t="s">
        <v>1120</v>
      </c>
      <c r="Q364" s="12"/>
    </row>
    <row r="365" spans="1:17" x14ac:dyDescent="0.2">
      <c r="A365">
        <f t="shared" si="5"/>
        <v>1610045</v>
      </c>
      <c r="B365" s="7" t="s">
        <v>1297</v>
      </c>
      <c r="C365" s="8">
        <v>42661.67527615741</v>
      </c>
      <c r="D365" s="8">
        <v>42661</v>
      </c>
      <c r="E365" s="9" t="s">
        <v>39</v>
      </c>
      <c r="F365" s="10" t="s">
        <v>16</v>
      </c>
      <c r="G365" s="10" t="s">
        <v>207</v>
      </c>
      <c r="H365" s="10" t="s">
        <v>1298</v>
      </c>
      <c r="I365" s="10" t="s">
        <v>254</v>
      </c>
      <c r="J365" s="11">
        <v>950572610</v>
      </c>
      <c r="K365" s="11"/>
      <c r="L365" s="10" t="s">
        <v>1299</v>
      </c>
      <c r="M365" s="10" t="s">
        <v>47</v>
      </c>
      <c r="N365" s="10" t="s">
        <v>106</v>
      </c>
      <c r="O365" s="10">
        <v>2011</v>
      </c>
      <c r="P365" s="8">
        <v>42733</v>
      </c>
      <c r="Q365" s="12" t="s">
        <v>466</v>
      </c>
    </row>
    <row r="366" spans="1:17" x14ac:dyDescent="0.2">
      <c r="A366">
        <f t="shared" si="5"/>
        <v>1610046</v>
      </c>
      <c r="B366" s="7" t="s">
        <v>1300</v>
      </c>
      <c r="C366" s="8">
        <v>42661.68650891204</v>
      </c>
      <c r="D366" s="8"/>
      <c r="E366" s="9" t="s">
        <v>37</v>
      </c>
      <c r="F366" s="10" t="s">
        <v>16</v>
      </c>
      <c r="G366" s="10" t="s">
        <v>337</v>
      </c>
      <c r="H366" s="10" t="s">
        <v>1301</v>
      </c>
      <c r="I366" s="10" t="s">
        <v>429</v>
      </c>
      <c r="J366" s="11">
        <v>850656325</v>
      </c>
      <c r="K366" s="11"/>
      <c r="L366" s="10" t="s">
        <v>1302</v>
      </c>
      <c r="M366" s="10" t="s">
        <v>282</v>
      </c>
      <c r="N366" s="10" t="s">
        <v>1303</v>
      </c>
      <c r="O366" s="10">
        <v>2014</v>
      </c>
      <c r="P366" s="8">
        <v>42653</v>
      </c>
      <c r="Q366" s="12" t="s">
        <v>260</v>
      </c>
    </row>
    <row r="367" spans="1:17" x14ac:dyDescent="0.2">
      <c r="A367">
        <f t="shared" si="5"/>
        <v>1610047</v>
      </c>
      <c r="B367" s="7" t="s">
        <v>1304</v>
      </c>
      <c r="C367" s="8">
        <v>42661.691447106481</v>
      </c>
      <c r="D367" s="8">
        <v>42669</v>
      </c>
      <c r="E367" s="9" t="s">
        <v>39</v>
      </c>
      <c r="F367" s="10" t="s">
        <v>16</v>
      </c>
      <c r="G367" s="10" t="s">
        <v>580</v>
      </c>
      <c r="H367" s="10" t="s">
        <v>1305</v>
      </c>
      <c r="I367" s="10" t="s">
        <v>233</v>
      </c>
      <c r="J367" s="11">
        <v>898112631</v>
      </c>
      <c r="K367" s="11">
        <v>890334605</v>
      </c>
      <c r="L367" s="10" t="s">
        <v>1306</v>
      </c>
      <c r="M367" s="10" t="s">
        <v>58</v>
      </c>
      <c r="N367" s="10" t="s">
        <v>414</v>
      </c>
      <c r="O367" s="10">
        <v>2010</v>
      </c>
      <c r="P367" s="8">
        <v>42878</v>
      </c>
      <c r="Q367" s="12" t="s">
        <v>256</v>
      </c>
    </row>
    <row r="368" spans="1:17" x14ac:dyDescent="0.2">
      <c r="A368">
        <f t="shared" si="5"/>
        <v>1610048</v>
      </c>
      <c r="B368" s="7" t="s">
        <v>1307</v>
      </c>
      <c r="C368" s="8">
        <v>42661.715574074071</v>
      </c>
      <c r="D368" s="8">
        <v>42686</v>
      </c>
      <c r="E368" s="9" t="s">
        <v>39</v>
      </c>
      <c r="F368" s="10" t="s">
        <v>16</v>
      </c>
      <c r="G368" s="10" t="s">
        <v>207</v>
      </c>
      <c r="H368" s="10" t="s">
        <v>1308</v>
      </c>
      <c r="I368" s="10" t="s">
        <v>433</v>
      </c>
      <c r="J368" s="11">
        <v>866114892</v>
      </c>
      <c r="K368" s="11"/>
      <c r="L368" s="10" t="s">
        <v>1309</v>
      </c>
      <c r="M368" s="10" t="s">
        <v>47</v>
      </c>
      <c r="N368" s="10" t="s">
        <v>99</v>
      </c>
      <c r="O368" s="10">
        <v>2000</v>
      </c>
      <c r="P368" s="8">
        <v>42634</v>
      </c>
      <c r="Q368" s="12" t="s">
        <v>1310</v>
      </c>
    </row>
    <row r="369" spans="1:17" x14ac:dyDescent="0.2">
      <c r="A369">
        <f t="shared" si="5"/>
        <v>1610049</v>
      </c>
      <c r="B369" s="7" t="s">
        <v>1311</v>
      </c>
      <c r="C369" s="8">
        <v>42661.72416539352</v>
      </c>
      <c r="D369" s="8">
        <v>42674</v>
      </c>
      <c r="E369" s="9" t="s">
        <v>39</v>
      </c>
      <c r="F369" s="10" t="s">
        <v>16</v>
      </c>
      <c r="G369" s="10" t="s">
        <v>303</v>
      </c>
      <c r="H369" s="10" t="s">
        <v>1312</v>
      </c>
      <c r="I369" s="10" t="s">
        <v>305</v>
      </c>
      <c r="J369" s="11">
        <v>818679428</v>
      </c>
      <c r="K369" s="11"/>
      <c r="L369" s="10" t="s">
        <v>1313</v>
      </c>
      <c r="M369" s="10" t="s">
        <v>54</v>
      </c>
      <c r="N369" s="10" t="s">
        <v>837</v>
      </c>
      <c r="O369" s="10">
        <v>2011</v>
      </c>
      <c r="P369" s="8">
        <v>42903</v>
      </c>
      <c r="Q369" s="12" t="s">
        <v>389</v>
      </c>
    </row>
    <row r="370" spans="1:17" x14ac:dyDescent="0.2">
      <c r="A370">
        <f t="shared" si="5"/>
        <v>1610050</v>
      </c>
      <c r="B370" s="7" t="s">
        <v>1314</v>
      </c>
      <c r="C370" s="8">
        <v>42661.726874305554</v>
      </c>
      <c r="D370" s="8"/>
      <c r="E370" s="9" t="s">
        <v>37</v>
      </c>
      <c r="F370" s="10" t="s">
        <v>16</v>
      </c>
      <c r="G370" s="10" t="s">
        <v>207</v>
      </c>
      <c r="H370" s="10" t="s">
        <v>1315</v>
      </c>
      <c r="I370" s="10" t="s">
        <v>1316</v>
      </c>
      <c r="J370" s="11">
        <v>984715011</v>
      </c>
      <c r="K370" s="11"/>
      <c r="L370" s="10" t="s">
        <v>1317</v>
      </c>
      <c r="M370" s="10" t="s">
        <v>47</v>
      </c>
      <c r="N370" s="10" t="s">
        <v>48</v>
      </c>
      <c r="O370" s="10"/>
      <c r="P370" s="8"/>
      <c r="Q370" s="12"/>
    </row>
    <row r="371" spans="1:17" x14ac:dyDescent="0.2">
      <c r="A371">
        <f t="shared" si="5"/>
        <v>1610051</v>
      </c>
      <c r="B371" s="7" t="s">
        <v>1318</v>
      </c>
      <c r="C371" s="8">
        <v>42661.732360879629</v>
      </c>
      <c r="D371" s="8"/>
      <c r="E371" s="9" t="s">
        <v>39</v>
      </c>
      <c r="F371" s="10" t="s">
        <v>16</v>
      </c>
      <c r="G371" s="10" t="s">
        <v>231</v>
      </c>
      <c r="H371" s="10" t="s">
        <v>1319</v>
      </c>
      <c r="I371" s="10" t="s">
        <v>305</v>
      </c>
      <c r="J371" s="11">
        <v>638282534</v>
      </c>
      <c r="K371" s="11"/>
      <c r="L371" s="10" t="s">
        <v>1320</v>
      </c>
      <c r="M371" s="10" t="s">
        <v>47</v>
      </c>
      <c r="N371" s="10" t="s">
        <v>51</v>
      </c>
      <c r="O371" s="10">
        <v>2010</v>
      </c>
      <c r="P371" s="8">
        <v>42724</v>
      </c>
      <c r="Q371" s="12" t="s">
        <v>288</v>
      </c>
    </row>
    <row r="372" spans="1:17" x14ac:dyDescent="0.2">
      <c r="A372">
        <f t="shared" si="5"/>
        <v>1610052</v>
      </c>
      <c r="B372" s="7" t="s">
        <v>1321</v>
      </c>
      <c r="C372" s="8">
        <v>42662.65626747685</v>
      </c>
      <c r="D372" s="8">
        <v>42670</v>
      </c>
      <c r="E372" s="9" t="s">
        <v>39</v>
      </c>
      <c r="F372" s="10" t="s">
        <v>16</v>
      </c>
      <c r="G372" s="10" t="s">
        <v>580</v>
      </c>
      <c r="H372" s="10" t="s">
        <v>1322</v>
      </c>
      <c r="I372" s="10" t="s">
        <v>305</v>
      </c>
      <c r="J372" s="11">
        <v>992638899</v>
      </c>
      <c r="K372" s="11"/>
      <c r="L372" s="10" t="s">
        <v>1323</v>
      </c>
      <c r="M372" s="10" t="s">
        <v>47</v>
      </c>
      <c r="N372" s="10" t="s">
        <v>106</v>
      </c>
      <c r="O372" s="10">
        <v>2012</v>
      </c>
      <c r="P372" s="8">
        <v>42971</v>
      </c>
      <c r="Q372" s="12" t="s">
        <v>1324</v>
      </c>
    </row>
    <row r="373" spans="1:17" x14ac:dyDescent="0.2">
      <c r="A373">
        <f t="shared" si="5"/>
        <v>1610053</v>
      </c>
      <c r="B373" s="7" t="s">
        <v>1325</v>
      </c>
      <c r="C373" s="8">
        <v>42662.713185300927</v>
      </c>
      <c r="D373" s="8">
        <v>42670</v>
      </c>
      <c r="E373" s="9" t="s">
        <v>39</v>
      </c>
      <c r="F373" s="10" t="s">
        <v>16</v>
      </c>
      <c r="G373" s="10" t="s">
        <v>337</v>
      </c>
      <c r="H373" s="10" t="s">
        <v>1326</v>
      </c>
      <c r="I373" s="10" t="s">
        <v>233</v>
      </c>
      <c r="J373" s="11">
        <v>925218833</v>
      </c>
      <c r="K373" s="11"/>
      <c r="L373" s="10" t="s">
        <v>1327</v>
      </c>
      <c r="M373" s="10" t="s">
        <v>58</v>
      </c>
      <c r="N373" s="10" t="s">
        <v>1233</v>
      </c>
      <c r="O373" s="10">
        <v>2008</v>
      </c>
      <c r="P373" s="8">
        <v>42565</v>
      </c>
      <c r="Q373" s="12" t="s">
        <v>571</v>
      </c>
    </row>
    <row r="374" spans="1:17" x14ac:dyDescent="0.2">
      <c r="A374">
        <f t="shared" si="5"/>
        <v>1610054</v>
      </c>
      <c r="B374" s="7" t="s">
        <v>1328</v>
      </c>
      <c r="C374" s="8">
        <v>42664.405825578702</v>
      </c>
      <c r="D374" s="8">
        <v>42672</v>
      </c>
      <c r="E374" s="9" t="s">
        <v>39</v>
      </c>
      <c r="F374" s="10" t="s">
        <v>16</v>
      </c>
      <c r="G374" s="10" t="s">
        <v>207</v>
      </c>
      <c r="H374" s="10" t="s">
        <v>1329</v>
      </c>
      <c r="I374" s="10" t="s">
        <v>1330</v>
      </c>
      <c r="J374" s="11">
        <v>854582979</v>
      </c>
      <c r="K374" s="11"/>
      <c r="L374" s="10" t="s">
        <v>1331</v>
      </c>
      <c r="M374" s="10" t="s">
        <v>42</v>
      </c>
      <c r="N374" s="10" t="s">
        <v>75</v>
      </c>
      <c r="O374" s="10">
        <v>2012</v>
      </c>
      <c r="P374" s="8">
        <v>42903</v>
      </c>
      <c r="Q374" s="12" t="s">
        <v>877</v>
      </c>
    </row>
    <row r="375" spans="1:17" x14ac:dyDescent="0.2">
      <c r="A375">
        <f t="shared" si="5"/>
        <v>1610055</v>
      </c>
      <c r="B375" s="7" t="s">
        <v>1332</v>
      </c>
      <c r="C375" s="8">
        <v>42665.635631597223</v>
      </c>
      <c r="D375" s="8">
        <v>42665</v>
      </c>
      <c r="E375" s="9" t="s">
        <v>39</v>
      </c>
      <c r="F375" s="10" t="s">
        <v>16</v>
      </c>
      <c r="G375" s="10" t="s">
        <v>207</v>
      </c>
      <c r="H375" s="10" t="s">
        <v>1333</v>
      </c>
      <c r="I375" s="10" t="s">
        <v>254</v>
      </c>
      <c r="J375" s="11">
        <v>813838406</v>
      </c>
      <c r="K375" s="11"/>
      <c r="L375" s="10" t="s">
        <v>1334</v>
      </c>
      <c r="M375" s="10" t="s">
        <v>1335</v>
      </c>
      <c r="N375" s="10" t="s">
        <v>212</v>
      </c>
      <c r="O375" s="10">
        <v>2008</v>
      </c>
      <c r="P375" s="8">
        <v>42956</v>
      </c>
      <c r="Q375" s="12" t="s">
        <v>256</v>
      </c>
    </row>
    <row r="376" spans="1:17" x14ac:dyDescent="0.2">
      <c r="A376">
        <f t="shared" si="5"/>
        <v>1610056</v>
      </c>
      <c r="B376" s="7" t="s">
        <v>1336</v>
      </c>
      <c r="C376" s="8">
        <v>42667.57808032407</v>
      </c>
      <c r="D376" s="8">
        <v>42674</v>
      </c>
      <c r="E376" s="9" t="s">
        <v>39</v>
      </c>
      <c r="F376" s="10" t="s">
        <v>16</v>
      </c>
      <c r="G376" s="10" t="s">
        <v>202</v>
      </c>
      <c r="H376" s="10" t="s">
        <v>1337</v>
      </c>
      <c r="I376" s="10" t="s">
        <v>506</v>
      </c>
      <c r="J376" s="11">
        <v>994515791</v>
      </c>
      <c r="K376" s="11">
        <v>897877024</v>
      </c>
      <c r="L376" s="10" t="s">
        <v>1338</v>
      </c>
      <c r="M376" s="10" t="s">
        <v>54</v>
      </c>
      <c r="N376" s="10" t="s">
        <v>72</v>
      </c>
      <c r="O376" s="10">
        <v>2013</v>
      </c>
      <c r="P376" s="8">
        <v>42675</v>
      </c>
      <c r="Q376" s="12" t="s">
        <v>571</v>
      </c>
    </row>
    <row r="377" spans="1:17" x14ac:dyDescent="0.2">
      <c r="A377">
        <f t="shared" si="5"/>
        <v>1610057</v>
      </c>
      <c r="B377" s="7" t="s">
        <v>1339</v>
      </c>
      <c r="C377" s="8">
        <v>42667.582402662039</v>
      </c>
      <c r="D377" s="8">
        <v>42691</v>
      </c>
      <c r="E377" s="9" t="s">
        <v>39</v>
      </c>
      <c r="F377" s="10" t="s">
        <v>16</v>
      </c>
      <c r="G377" s="10" t="s">
        <v>207</v>
      </c>
      <c r="H377" s="10" t="s">
        <v>1340</v>
      </c>
      <c r="I377" s="10" t="s">
        <v>506</v>
      </c>
      <c r="J377" s="11">
        <v>800785190</v>
      </c>
      <c r="K377" s="11"/>
      <c r="L377" s="10" t="s">
        <v>1341</v>
      </c>
      <c r="M377" s="10" t="s">
        <v>42</v>
      </c>
      <c r="N377" s="10" t="s">
        <v>43</v>
      </c>
      <c r="O377" s="10">
        <v>2008</v>
      </c>
      <c r="P377" s="8">
        <v>42920</v>
      </c>
      <c r="Q377" s="12" t="s">
        <v>236</v>
      </c>
    </row>
    <row r="378" spans="1:17" x14ac:dyDescent="0.2">
      <c r="A378">
        <f t="shared" si="5"/>
        <v>1610058</v>
      </c>
      <c r="B378" s="7" t="s">
        <v>1342</v>
      </c>
      <c r="C378" s="8">
        <v>42667.586603009258</v>
      </c>
      <c r="D378" s="8">
        <v>42671</v>
      </c>
      <c r="E378" s="9" t="s">
        <v>39</v>
      </c>
      <c r="F378" s="10" t="s">
        <v>16</v>
      </c>
      <c r="G378" s="10" t="s">
        <v>207</v>
      </c>
      <c r="H378" s="10" t="s">
        <v>1343</v>
      </c>
      <c r="I378" s="10" t="s">
        <v>286</v>
      </c>
      <c r="J378" s="11">
        <v>987609169</v>
      </c>
      <c r="K378" s="11"/>
      <c r="L378" s="10" t="s">
        <v>1344</v>
      </c>
      <c r="M378" s="10" t="s">
        <v>47</v>
      </c>
      <c r="N378" s="10" t="s">
        <v>106</v>
      </c>
      <c r="O378" s="10">
        <v>2010</v>
      </c>
      <c r="P378" s="8" t="s">
        <v>1120</v>
      </c>
      <c r="Q378" s="12"/>
    </row>
    <row r="379" spans="1:17" x14ac:dyDescent="0.2">
      <c r="A379">
        <f t="shared" si="5"/>
        <v>1610059</v>
      </c>
      <c r="B379" s="7" t="s">
        <v>1345</v>
      </c>
      <c r="C379" s="8">
        <v>42668.680442245372</v>
      </c>
      <c r="D379" s="8">
        <v>42679</v>
      </c>
      <c r="E379" s="9" t="s">
        <v>39</v>
      </c>
      <c r="F379" s="10" t="s">
        <v>16</v>
      </c>
      <c r="G379" s="10" t="s">
        <v>207</v>
      </c>
      <c r="H379" s="10" t="s">
        <v>1346</v>
      </c>
      <c r="I379" s="10" t="s">
        <v>305</v>
      </c>
      <c r="J379" s="11">
        <v>800451012</v>
      </c>
      <c r="K379" s="11"/>
      <c r="L379" s="10" t="s">
        <v>1347</v>
      </c>
      <c r="M379" s="10" t="s">
        <v>58</v>
      </c>
      <c r="N379" s="10" t="s">
        <v>647</v>
      </c>
      <c r="O379" s="10">
        <v>2015</v>
      </c>
      <c r="P379" s="8" t="s">
        <v>1120</v>
      </c>
      <c r="Q379" s="12"/>
    </row>
    <row r="380" spans="1:17" x14ac:dyDescent="0.2">
      <c r="A380">
        <f t="shared" si="5"/>
        <v>1610060</v>
      </c>
      <c r="B380" s="7" t="s">
        <v>1348</v>
      </c>
      <c r="C380" s="8">
        <v>42668.682435069444</v>
      </c>
      <c r="D380" s="8"/>
      <c r="E380" s="9" t="s">
        <v>37</v>
      </c>
      <c r="F380" s="10" t="s">
        <v>16</v>
      </c>
      <c r="G380" s="10" t="s">
        <v>337</v>
      </c>
      <c r="H380" s="10" t="s">
        <v>1349</v>
      </c>
      <c r="I380" s="10" t="s">
        <v>1192</v>
      </c>
      <c r="J380" s="11">
        <v>635951479</v>
      </c>
      <c r="K380" s="11">
        <v>891799711</v>
      </c>
      <c r="L380" s="10" t="s">
        <v>1350</v>
      </c>
      <c r="M380" s="10" t="s">
        <v>42</v>
      </c>
      <c r="N380" s="10" t="s">
        <v>84</v>
      </c>
      <c r="O380" s="10">
        <v>2005</v>
      </c>
      <c r="P380" s="8" t="s">
        <v>1120</v>
      </c>
      <c r="Q380" s="12"/>
    </row>
    <row r="381" spans="1:17" x14ac:dyDescent="0.2">
      <c r="A381">
        <f t="shared" si="5"/>
        <v>1610061</v>
      </c>
      <c r="B381" s="7" t="s">
        <v>1351</v>
      </c>
      <c r="C381" s="8">
        <v>42668.740010300928</v>
      </c>
      <c r="D381" s="8">
        <v>42690</v>
      </c>
      <c r="E381" s="9" t="s">
        <v>39</v>
      </c>
      <c r="F381" s="10" t="s">
        <v>16</v>
      </c>
      <c r="G381" s="10" t="s">
        <v>207</v>
      </c>
      <c r="H381" s="10" t="s">
        <v>1352</v>
      </c>
      <c r="I381" s="10" t="s">
        <v>243</v>
      </c>
      <c r="J381" s="11">
        <v>895115593</v>
      </c>
      <c r="K381" s="11">
        <v>852426959</v>
      </c>
      <c r="L381" s="10" t="s">
        <v>1353</v>
      </c>
      <c r="M381" s="10" t="s">
        <v>58</v>
      </c>
      <c r="N381" s="10" t="s">
        <v>414</v>
      </c>
      <c r="O381" s="10">
        <v>2007</v>
      </c>
      <c r="P381" s="8">
        <v>42805</v>
      </c>
      <c r="Q381" s="12" t="s">
        <v>763</v>
      </c>
    </row>
    <row r="382" spans="1:17" x14ac:dyDescent="0.2">
      <c r="A382">
        <f t="shared" si="5"/>
        <v>1610062</v>
      </c>
      <c r="B382" s="7" t="s">
        <v>1354</v>
      </c>
      <c r="C382" s="8">
        <v>42669.563038078704</v>
      </c>
      <c r="D382" s="8">
        <v>42676</v>
      </c>
      <c r="E382" s="9" t="s">
        <v>39</v>
      </c>
      <c r="F382" s="10" t="s">
        <v>16</v>
      </c>
      <c r="G382" s="10" t="s">
        <v>207</v>
      </c>
      <c r="H382" s="10" t="s">
        <v>1355</v>
      </c>
      <c r="I382" s="10" t="s">
        <v>254</v>
      </c>
      <c r="J382" s="11">
        <v>942424448</v>
      </c>
      <c r="K382" s="11">
        <v>937475666</v>
      </c>
      <c r="L382" s="10" t="s">
        <v>1356</v>
      </c>
      <c r="M382" s="10" t="s">
        <v>47</v>
      </c>
      <c r="N382" s="10" t="s">
        <v>121</v>
      </c>
      <c r="O382" s="10">
        <v>2008</v>
      </c>
      <c r="P382" s="8">
        <v>42951</v>
      </c>
      <c r="Q382" s="12" t="s">
        <v>382</v>
      </c>
    </row>
    <row r="383" spans="1:17" x14ac:dyDescent="0.2">
      <c r="A383">
        <f t="shared" si="5"/>
        <v>1610063</v>
      </c>
      <c r="B383" s="7" t="s">
        <v>1357</v>
      </c>
      <c r="C383" s="8">
        <v>42670.498076620373</v>
      </c>
      <c r="D383" s="8">
        <v>42674</v>
      </c>
      <c r="E383" s="9">
        <v>3.5019233796265326</v>
      </c>
      <c r="F383" s="10" t="s">
        <v>16</v>
      </c>
      <c r="G383" s="10" t="s">
        <v>207</v>
      </c>
      <c r="H383" s="10" t="s">
        <v>886</v>
      </c>
      <c r="I383" s="10" t="s">
        <v>1358</v>
      </c>
      <c r="J383" s="11">
        <v>846723741</v>
      </c>
      <c r="K383" s="11"/>
      <c r="L383" s="10" t="s">
        <v>887</v>
      </c>
      <c r="M383" s="10" t="s">
        <v>47</v>
      </c>
      <c r="N383" s="10" t="s">
        <v>51</v>
      </c>
      <c r="O383" s="10">
        <v>2002</v>
      </c>
      <c r="P383" s="8"/>
      <c r="Q383" s="12"/>
    </row>
    <row r="384" spans="1:17" x14ac:dyDescent="0.2">
      <c r="A384">
        <f t="shared" si="5"/>
        <v>1610064</v>
      </c>
      <c r="B384" s="7" t="s">
        <v>1359</v>
      </c>
      <c r="C384" s="8">
        <v>42671.492409606479</v>
      </c>
      <c r="D384" s="8"/>
      <c r="E384" s="9" t="s">
        <v>39</v>
      </c>
      <c r="F384" s="10" t="s">
        <v>16</v>
      </c>
      <c r="G384" s="10" t="s">
        <v>337</v>
      </c>
      <c r="H384" s="10" t="s">
        <v>1360</v>
      </c>
      <c r="I384" s="10" t="s">
        <v>263</v>
      </c>
      <c r="J384" s="11">
        <v>898237511</v>
      </c>
      <c r="K384" s="11"/>
      <c r="L384" s="10" t="s">
        <v>1361</v>
      </c>
      <c r="M384" s="10" t="s">
        <v>42</v>
      </c>
      <c r="N384" s="10" t="s">
        <v>43</v>
      </c>
      <c r="O384" s="10">
        <v>2010</v>
      </c>
      <c r="P384" s="8">
        <v>42894</v>
      </c>
      <c r="Q384" s="12" t="s">
        <v>256</v>
      </c>
    </row>
    <row r="385" spans="1:17" x14ac:dyDescent="0.2">
      <c r="A385">
        <f t="shared" si="5"/>
        <v>1610065</v>
      </c>
      <c r="B385" s="7" t="s">
        <v>1362</v>
      </c>
      <c r="C385" s="8">
        <v>42671.572212847219</v>
      </c>
      <c r="D385" s="8"/>
      <c r="E385" s="9" t="s">
        <v>37</v>
      </c>
      <c r="F385" s="10" t="s">
        <v>16</v>
      </c>
      <c r="G385" s="10" t="s">
        <v>207</v>
      </c>
      <c r="H385" s="10" t="s">
        <v>1363</v>
      </c>
      <c r="I385" s="10" t="s">
        <v>1364</v>
      </c>
      <c r="J385" s="11">
        <v>824589888</v>
      </c>
      <c r="K385" s="11">
        <v>634379229</v>
      </c>
      <c r="L385" s="10" t="s">
        <v>1365</v>
      </c>
      <c r="M385" s="10" t="s">
        <v>42</v>
      </c>
      <c r="N385" s="10" t="s">
        <v>1366</v>
      </c>
      <c r="O385" s="10">
        <v>2013</v>
      </c>
      <c r="P385" s="8" t="s">
        <v>1120</v>
      </c>
      <c r="Q385" s="12"/>
    </row>
    <row r="386" spans="1:17" x14ac:dyDescent="0.2">
      <c r="A386">
        <f t="shared" si="5"/>
        <v>1610066</v>
      </c>
      <c r="B386" s="7" t="s">
        <v>1367</v>
      </c>
      <c r="C386" s="8">
        <v>42672.490666203703</v>
      </c>
      <c r="D386" s="8">
        <v>42677</v>
      </c>
      <c r="E386" s="9" t="s">
        <v>39</v>
      </c>
      <c r="F386" s="10" t="s">
        <v>159</v>
      </c>
      <c r="G386" s="10" t="s">
        <v>40</v>
      </c>
      <c r="H386" s="10" t="s">
        <v>1368</v>
      </c>
      <c r="I386" s="10" t="s">
        <v>243</v>
      </c>
      <c r="J386" s="11">
        <v>852108702</v>
      </c>
      <c r="K386" s="11"/>
      <c r="L386" s="10" t="s">
        <v>1369</v>
      </c>
      <c r="M386" s="10" t="s">
        <v>87</v>
      </c>
      <c r="N386" s="10">
        <v>2</v>
      </c>
      <c r="O386" s="10"/>
      <c r="P386" s="8"/>
      <c r="Q386" s="12"/>
    </row>
    <row r="387" spans="1:17" x14ac:dyDescent="0.2">
      <c r="A387">
        <f t="shared" si="5"/>
        <v>1610067</v>
      </c>
      <c r="B387" s="7" t="s">
        <v>1370</v>
      </c>
      <c r="C387" s="8">
        <v>42674.492791087963</v>
      </c>
      <c r="D387" s="8">
        <v>42676</v>
      </c>
      <c r="E387" s="9" t="s">
        <v>39</v>
      </c>
      <c r="F387" s="10" t="s">
        <v>159</v>
      </c>
      <c r="G387" s="10" t="s">
        <v>40</v>
      </c>
      <c r="H387" s="10" t="s">
        <v>1371</v>
      </c>
      <c r="I387" s="10" t="s">
        <v>233</v>
      </c>
      <c r="J387" s="11">
        <v>891052655</v>
      </c>
      <c r="K387" s="11"/>
      <c r="L387" s="10" t="s">
        <v>1372</v>
      </c>
      <c r="M387" s="10" t="s">
        <v>47</v>
      </c>
      <c r="N387" s="10"/>
      <c r="O387" s="10"/>
      <c r="P387" s="8"/>
      <c r="Q387" s="12"/>
    </row>
    <row r="388" spans="1:17" x14ac:dyDescent="0.2">
      <c r="A388">
        <f t="shared" ref="A388:A451" si="6">VALUE(B388)</f>
        <v>1610068</v>
      </c>
      <c r="B388" s="7" t="s">
        <v>1373</v>
      </c>
      <c r="C388" s="8">
        <v>42674.699732291665</v>
      </c>
      <c r="D388" s="8">
        <v>42677</v>
      </c>
      <c r="E388" s="9" t="s">
        <v>39</v>
      </c>
      <c r="F388" s="10" t="s">
        <v>159</v>
      </c>
      <c r="G388" s="10" t="s">
        <v>40</v>
      </c>
      <c r="H388" s="10" t="s">
        <v>725</v>
      </c>
      <c r="I388" s="10" t="s">
        <v>492</v>
      </c>
      <c r="J388" s="11">
        <v>813739447</v>
      </c>
      <c r="K388" s="11"/>
      <c r="L388" s="10" t="s">
        <v>726</v>
      </c>
      <c r="M388" s="10" t="s">
        <v>47</v>
      </c>
      <c r="N388" s="10" t="s">
        <v>78</v>
      </c>
      <c r="O388" s="10">
        <v>2010</v>
      </c>
      <c r="P388" s="8"/>
      <c r="Q388" s="12"/>
    </row>
    <row r="389" spans="1:17" x14ac:dyDescent="0.2">
      <c r="A389">
        <f t="shared" si="6"/>
        <v>1610069</v>
      </c>
      <c r="B389" s="7" t="s">
        <v>1374</v>
      </c>
      <c r="C389" s="8">
        <v>42674.704341319448</v>
      </c>
      <c r="D389" s="8">
        <v>42678</v>
      </c>
      <c r="E389" s="9" t="s">
        <v>39</v>
      </c>
      <c r="F389" s="10" t="s">
        <v>16</v>
      </c>
      <c r="G389" s="10" t="s">
        <v>207</v>
      </c>
      <c r="H389" s="10" t="s">
        <v>1375</v>
      </c>
      <c r="I389" s="10" t="s">
        <v>492</v>
      </c>
      <c r="J389" s="11">
        <v>983364547</v>
      </c>
      <c r="K389" s="11">
        <v>990031339</v>
      </c>
      <c r="L389" s="10" t="s">
        <v>1376</v>
      </c>
      <c r="M389" s="10" t="s">
        <v>47</v>
      </c>
      <c r="N389" s="10" t="s">
        <v>48</v>
      </c>
      <c r="O389" s="10">
        <v>2004</v>
      </c>
      <c r="P389" s="8">
        <v>42771</v>
      </c>
      <c r="Q389" s="12" t="s">
        <v>1377</v>
      </c>
    </row>
    <row r="390" spans="1:17" x14ac:dyDescent="0.2">
      <c r="A390">
        <f t="shared" si="6"/>
        <v>1610070</v>
      </c>
      <c r="B390" s="7" t="s">
        <v>1378</v>
      </c>
      <c r="C390" s="8">
        <v>42674.715521527774</v>
      </c>
      <c r="D390" s="8">
        <v>42681</v>
      </c>
      <c r="E390" s="9" t="s">
        <v>39</v>
      </c>
      <c r="F390" s="10" t="s">
        <v>16</v>
      </c>
      <c r="G390" s="10" t="s">
        <v>202</v>
      </c>
      <c r="H390" s="10" t="s">
        <v>1379</v>
      </c>
      <c r="I390" s="10" t="s">
        <v>979</v>
      </c>
      <c r="J390" s="11">
        <v>972121919</v>
      </c>
      <c r="K390" s="11"/>
      <c r="L390" s="10" t="s">
        <v>863</v>
      </c>
      <c r="M390" s="10" t="s">
        <v>42</v>
      </c>
      <c r="N390" s="10" t="s">
        <v>75</v>
      </c>
      <c r="O390" s="10">
        <v>2013</v>
      </c>
      <c r="P390" s="8">
        <v>42419</v>
      </c>
      <c r="Q390" s="12" t="s">
        <v>540</v>
      </c>
    </row>
    <row r="391" spans="1:17" x14ac:dyDescent="0.2">
      <c r="A391">
        <f t="shared" si="6"/>
        <v>1610071</v>
      </c>
      <c r="B391" s="7" t="s">
        <v>1380</v>
      </c>
      <c r="C391" s="8">
        <v>42674.727300231483</v>
      </c>
      <c r="D391" s="8">
        <v>42684</v>
      </c>
      <c r="E391" s="9" t="s">
        <v>39</v>
      </c>
      <c r="F391" s="10" t="s">
        <v>16</v>
      </c>
      <c r="G391" s="10" t="s">
        <v>196</v>
      </c>
      <c r="H391" s="10" t="s">
        <v>1381</v>
      </c>
      <c r="I391" s="10" t="s">
        <v>254</v>
      </c>
      <c r="J391" s="11">
        <v>949100383</v>
      </c>
      <c r="K391" s="11"/>
      <c r="L391" s="10" t="s">
        <v>1382</v>
      </c>
      <c r="M391" s="10" t="s">
        <v>282</v>
      </c>
      <c r="N391" s="10" t="s">
        <v>588</v>
      </c>
      <c r="O391" s="10">
        <v>2014</v>
      </c>
      <c r="P391" s="8">
        <v>42700</v>
      </c>
      <c r="Q391" s="12" t="s">
        <v>499</v>
      </c>
    </row>
    <row r="392" spans="1:17" x14ac:dyDescent="0.2">
      <c r="A392">
        <f t="shared" si="6"/>
        <v>1610072</v>
      </c>
      <c r="B392" s="7" t="s">
        <v>1383</v>
      </c>
      <c r="C392" s="8">
        <v>42674.738757407409</v>
      </c>
      <c r="D392" s="8">
        <v>42695</v>
      </c>
      <c r="E392" s="9" t="s">
        <v>39</v>
      </c>
      <c r="F392" s="10" t="s">
        <v>16</v>
      </c>
      <c r="G392" s="10" t="s">
        <v>337</v>
      </c>
      <c r="H392" s="10" t="s">
        <v>1384</v>
      </c>
      <c r="I392" s="10" t="s">
        <v>625</v>
      </c>
      <c r="J392" s="11">
        <v>815834635</v>
      </c>
      <c r="K392" s="11"/>
      <c r="L392" s="10" t="s">
        <v>1385</v>
      </c>
      <c r="M392" s="10" t="s">
        <v>58</v>
      </c>
      <c r="N392" s="10" t="s">
        <v>414</v>
      </c>
      <c r="O392" s="10">
        <v>2013</v>
      </c>
      <c r="P392" s="8">
        <v>42686</v>
      </c>
      <c r="Q392" s="12" t="s">
        <v>1042</v>
      </c>
    </row>
    <row r="393" spans="1:17" x14ac:dyDescent="0.2">
      <c r="A393">
        <f t="shared" si="6"/>
        <v>1611001</v>
      </c>
      <c r="B393" s="7" t="s">
        <v>1386</v>
      </c>
      <c r="C393" s="8">
        <v>42675.667871990743</v>
      </c>
      <c r="D393" s="8">
        <v>42683</v>
      </c>
      <c r="E393" s="9" t="s">
        <v>39</v>
      </c>
      <c r="F393" s="10" t="s">
        <v>16</v>
      </c>
      <c r="G393" s="10" t="s">
        <v>231</v>
      </c>
      <c r="H393" s="10" t="s">
        <v>1387</v>
      </c>
      <c r="I393" s="10" t="s">
        <v>286</v>
      </c>
      <c r="J393" s="11">
        <v>800790945</v>
      </c>
      <c r="K393" s="11"/>
      <c r="L393" s="10" t="s">
        <v>1388</v>
      </c>
      <c r="M393" s="10" t="s">
        <v>58</v>
      </c>
      <c r="N393" s="10" t="s">
        <v>414</v>
      </c>
      <c r="O393" s="10">
        <v>2008</v>
      </c>
      <c r="P393" s="8">
        <v>42849</v>
      </c>
      <c r="Q393" s="12" t="s">
        <v>256</v>
      </c>
    </row>
    <row r="394" spans="1:17" x14ac:dyDescent="0.2">
      <c r="A394">
        <f t="shared" si="6"/>
        <v>1611002</v>
      </c>
      <c r="B394" s="7" t="s">
        <v>1389</v>
      </c>
      <c r="C394" s="8">
        <v>42676.393010648149</v>
      </c>
      <c r="D394" s="8">
        <v>42685</v>
      </c>
      <c r="E394" s="9" t="s">
        <v>39</v>
      </c>
      <c r="F394" s="10" t="s">
        <v>16</v>
      </c>
      <c r="G394" s="10" t="s">
        <v>225</v>
      </c>
      <c r="H394" s="10" t="s">
        <v>1390</v>
      </c>
      <c r="I394" s="10" t="s">
        <v>1391</v>
      </c>
      <c r="J394" s="11">
        <v>943341203</v>
      </c>
      <c r="K394" s="11"/>
      <c r="L394" s="10" t="s">
        <v>1392</v>
      </c>
      <c r="M394" s="10" t="s">
        <v>58</v>
      </c>
      <c r="N394" s="10" t="s">
        <v>414</v>
      </c>
      <c r="O394" s="10">
        <v>2014</v>
      </c>
      <c r="P394" s="8">
        <v>42764</v>
      </c>
      <c r="Q394" s="12" t="s">
        <v>877</v>
      </c>
    </row>
    <row r="395" spans="1:17" x14ac:dyDescent="0.2">
      <c r="A395">
        <f t="shared" si="6"/>
        <v>1611003</v>
      </c>
      <c r="B395" s="7" t="s">
        <v>1393</v>
      </c>
      <c r="C395" s="8">
        <v>42676.702863541665</v>
      </c>
      <c r="D395" s="8">
        <v>42686</v>
      </c>
      <c r="E395" s="9" t="s">
        <v>39</v>
      </c>
      <c r="F395" s="10" t="s">
        <v>16</v>
      </c>
      <c r="G395" s="10" t="s">
        <v>337</v>
      </c>
      <c r="H395" s="10" t="s">
        <v>1394</v>
      </c>
      <c r="I395" s="10" t="s">
        <v>243</v>
      </c>
      <c r="J395" s="11">
        <v>985275066</v>
      </c>
      <c r="K395" s="11"/>
      <c r="L395" s="10" t="s">
        <v>1395</v>
      </c>
      <c r="M395" s="10" t="s">
        <v>109</v>
      </c>
      <c r="N395" s="10" t="s">
        <v>240</v>
      </c>
      <c r="O395" s="10">
        <v>2014</v>
      </c>
      <c r="P395" s="8">
        <v>42683</v>
      </c>
      <c r="Q395" s="12" t="s">
        <v>1013</v>
      </c>
    </row>
    <row r="396" spans="1:17" x14ac:dyDescent="0.2">
      <c r="A396">
        <f t="shared" si="6"/>
        <v>1611004</v>
      </c>
      <c r="B396" s="7" t="s">
        <v>1396</v>
      </c>
      <c r="C396" s="8">
        <v>42676.706121759256</v>
      </c>
      <c r="D396" s="8">
        <v>42699</v>
      </c>
      <c r="E396" s="9" t="s">
        <v>39</v>
      </c>
      <c r="F396" s="10" t="s">
        <v>16</v>
      </c>
      <c r="G396" s="10" t="s">
        <v>202</v>
      </c>
      <c r="H396" s="10" t="s">
        <v>1397</v>
      </c>
      <c r="I396" s="10" t="s">
        <v>305</v>
      </c>
      <c r="J396" s="11">
        <v>808130515</v>
      </c>
      <c r="K396" s="11"/>
      <c r="L396" s="10" t="s">
        <v>1398</v>
      </c>
      <c r="M396" s="10" t="s">
        <v>47</v>
      </c>
      <c r="N396" s="10" t="s">
        <v>106</v>
      </c>
      <c r="O396" s="10">
        <v>2006</v>
      </c>
      <c r="P396" s="8">
        <v>42892</v>
      </c>
      <c r="Q396" s="12" t="s">
        <v>763</v>
      </c>
    </row>
    <row r="397" spans="1:17" x14ac:dyDescent="0.2">
      <c r="A397">
        <f t="shared" si="6"/>
        <v>1611005</v>
      </c>
      <c r="B397" s="7" t="s">
        <v>1399</v>
      </c>
      <c r="C397" s="8">
        <v>42676.712347569446</v>
      </c>
      <c r="D397" s="8">
        <v>42691</v>
      </c>
      <c r="E397" s="9" t="s">
        <v>39</v>
      </c>
      <c r="F397" s="10" t="s">
        <v>16</v>
      </c>
      <c r="G397" s="10" t="s">
        <v>202</v>
      </c>
      <c r="H397" s="10" t="s">
        <v>1400</v>
      </c>
      <c r="I397" s="10" t="s">
        <v>1401</v>
      </c>
      <c r="J397" s="11">
        <v>616159099</v>
      </c>
      <c r="K397" s="11">
        <v>813822502</v>
      </c>
      <c r="L397" s="10" t="s">
        <v>1402</v>
      </c>
      <c r="M397" s="10" t="s">
        <v>42</v>
      </c>
      <c r="N397" s="10" t="s">
        <v>84</v>
      </c>
      <c r="O397" s="10">
        <v>2006</v>
      </c>
      <c r="P397" s="8">
        <v>42766</v>
      </c>
      <c r="Q397" s="12" t="s">
        <v>236</v>
      </c>
    </row>
    <row r="398" spans="1:17" x14ac:dyDescent="0.2">
      <c r="A398">
        <f t="shared" si="6"/>
        <v>1611006</v>
      </c>
      <c r="B398" s="7" t="s">
        <v>1403</v>
      </c>
      <c r="C398" s="8">
        <v>42677.664345254627</v>
      </c>
      <c r="D398" s="8">
        <v>42689</v>
      </c>
      <c r="E398" s="9" t="s">
        <v>39</v>
      </c>
      <c r="F398" s="10" t="s">
        <v>16</v>
      </c>
      <c r="G398" s="10" t="s">
        <v>337</v>
      </c>
      <c r="H398" s="10" t="s">
        <v>1404</v>
      </c>
      <c r="I398" s="10" t="s">
        <v>305</v>
      </c>
      <c r="J398" s="11">
        <v>816461897</v>
      </c>
      <c r="K398" s="11"/>
      <c r="L398" s="10" t="s">
        <v>1405</v>
      </c>
      <c r="M398" s="10" t="s">
        <v>47</v>
      </c>
      <c r="N398" s="10" t="s">
        <v>78</v>
      </c>
      <c r="O398" s="10">
        <v>2013</v>
      </c>
      <c r="P398" s="8">
        <v>42945</v>
      </c>
      <c r="Q398" s="12" t="s">
        <v>1406</v>
      </c>
    </row>
    <row r="399" spans="1:17" x14ac:dyDescent="0.2">
      <c r="A399">
        <f t="shared" si="6"/>
        <v>1611007</v>
      </c>
      <c r="B399" s="7" t="s">
        <v>1407</v>
      </c>
      <c r="C399" s="8">
        <v>42677.68728726852</v>
      </c>
      <c r="D399" s="8">
        <v>42686</v>
      </c>
      <c r="E399" s="9" t="s">
        <v>39</v>
      </c>
      <c r="F399" s="10" t="s">
        <v>16</v>
      </c>
      <c r="G399" s="10" t="s">
        <v>207</v>
      </c>
      <c r="H399" s="10" t="s">
        <v>1408</v>
      </c>
      <c r="I399" s="10" t="s">
        <v>1409</v>
      </c>
      <c r="J399" s="11">
        <v>852824948</v>
      </c>
      <c r="K399" s="11"/>
      <c r="L399" s="10" t="s">
        <v>1410</v>
      </c>
      <c r="M399" s="10" t="s">
        <v>42</v>
      </c>
      <c r="N399" s="10" t="s">
        <v>84</v>
      </c>
      <c r="O399" s="10">
        <v>2010</v>
      </c>
      <c r="P399" s="8">
        <v>42864</v>
      </c>
      <c r="Q399" s="12" t="s">
        <v>1411</v>
      </c>
    </row>
    <row r="400" spans="1:17" x14ac:dyDescent="0.2">
      <c r="A400">
        <f t="shared" si="6"/>
        <v>1611008</v>
      </c>
      <c r="B400" s="7" t="s">
        <v>1412</v>
      </c>
      <c r="C400" s="8">
        <v>42677.692062152775</v>
      </c>
      <c r="D400" s="8">
        <v>42682</v>
      </c>
      <c r="E400" s="9" t="s">
        <v>39</v>
      </c>
      <c r="F400" s="10" t="s">
        <v>16</v>
      </c>
      <c r="G400" s="10" t="s">
        <v>231</v>
      </c>
      <c r="H400" s="10" t="s">
        <v>1413</v>
      </c>
      <c r="I400" s="10" t="s">
        <v>233</v>
      </c>
      <c r="J400" s="11">
        <v>903177273</v>
      </c>
      <c r="K400" s="11"/>
      <c r="L400" s="10" t="s">
        <v>1414</v>
      </c>
      <c r="M400" s="10" t="s">
        <v>93</v>
      </c>
      <c r="N400" s="10" t="s">
        <v>155</v>
      </c>
      <c r="O400" s="10">
        <v>2014</v>
      </c>
      <c r="P400" s="8">
        <v>42756</v>
      </c>
      <c r="Q400" s="12" t="s">
        <v>1080</v>
      </c>
    </row>
    <row r="401" spans="1:17" x14ac:dyDescent="0.2">
      <c r="A401">
        <f t="shared" si="6"/>
        <v>1611009</v>
      </c>
      <c r="B401" s="7" t="s">
        <v>1415</v>
      </c>
      <c r="C401" s="8">
        <v>42678.493202083337</v>
      </c>
      <c r="D401" s="8">
        <v>42689</v>
      </c>
      <c r="E401" s="9" t="s">
        <v>39</v>
      </c>
      <c r="F401" s="10" t="s">
        <v>16</v>
      </c>
      <c r="G401" s="10" t="s">
        <v>337</v>
      </c>
      <c r="H401" s="10" t="s">
        <v>1416</v>
      </c>
      <c r="I401" s="10" t="s">
        <v>233</v>
      </c>
      <c r="J401" s="11">
        <v>892253837</v>
      </c>
      <c r="K401" s="11">
        <v>818558615</v>
      </c>
      <c r="L401" s="10" t="s">
        <v>1417</v>
      </c>
      <c r="M401" s="10" t="s">
        <v>58</v>
      </c>
      <c r="N401" s="10" t="s">
        <v>414</v>
      </c>
      <c r="O401" s="10">
        <v>2013</v>
      </c>
      <c r="P401" s="8">
        <v>42829</v>
      </c>
      <c r="Q401" s="12" t="s">
        <v>499</v>
      </c>
    </row>
    <row r="402" spans="1:17" x14ac:dyDescent="0.2">
      <c r="A402">
        <f t="shared" si="6"/>
        <v>1611010</v>
      </c>
      <c r="B402" s="7" t="s">
        <v>1418</v>
      </c>
      <c r="C402" s="8">
        <v>42678.563776620373</v>
      </c>
      <c r="D402" s="8"/>
      <c r="E402" s="9" t="s">
        <v>39</v>
      </c>
      <c r="F402" s="10" t="s">
        <v>16</v>
      </c>
      <c r="G402" s="10" t="s">
        <v>202</v>
      </c>
      <c r="H402" s="10" t="s">
        <v>1419</v>
      </c>
      <c r="I402" s="10" t="s">
        <v>263</v>
      </c>
      <c r="J402" s="11">
        <v>830617874</v>
      </c>
      <c r="K402" s="11"/>
      <c r="L402" s="10" t="s">
        <v>1420</v>
      </c>
      <c r="M402" s="10" t="s">
        <v>58</v>
      </c>
      <c r="N402" s="10" t="s">
        <v>414</v>
      </c>
      <c r="O402" s="10">
        <v>2009</v>
      </c>
      <c r="P402" s="8">
        <v>43008</v>
      </c>
      <c r="Q402" s="12" t="s">
        <v>292</v>
      </c>
    </row>
    <row r="403" spans="1:17" x14ac:dyDescent="0.2">
      <c r="A403">
        <f t="shared" si="6"/>
        <v>1611011</v>
      </c>
      <c r="B403" s="7" t="s">
        <v>1421</v>
      </c>
      <c r="C403" s="8">
        <v>42678.614170370369</v>
      </c>
      <c r="D403" s="8">
        <v>42699</v>
      </c>
      <c r="E403" s="9" t="s">
        <v>39</v>
      </c>
      <c r="F403" s="10" t="s">
        <v>16</v>
      </c>
      <c r="G403" s="10" t="s">
        <v>207</v>
      </c>
      <c r="H403" s="10" t="s">
        <v>1422</v>
      </c>
      <c r="I403" s="10" t="s">
        <v>243</v>
      </c>
      <c r="J403" s="11">
        <v>813749387</v>
      </c>
      <c r="K403" s="11"/>
      <c r="L403" s="10" t="s">
        <v>1423</v>
      </c>
      <c r="M403" s="10" t="s">
        <v>58</v>
      </c>
      <c r="N403" s="10" t="s">
        <v>1424</v>
      </c>
      <c r="O403" s="10">
        <v>2005</v>
      </c>
      <c r="P403" s="8">
        <v>42836</v>
      </c>
      <c r="Q403" s="12" t="s">
        <v>236</v>
      </c>
    </row>
    <row r="404" spans="1:17" x14ac:dyDescent="0.2">
      <c r="A404">
        <f t="shared" si="6"/>
        <v>1611012</v>
      </c>
      <c r="B404" s="7" t="s">
        <v>1425</v>
      </c>
      <c r="C404" s="8">
        <v>42679.747206712964</v>
      </c>
      <c r="D404" s="8">
        <v>42700</v>
      </c>
      <c r="E404" s="9" t="s">
        <v>39</v>
      </c>
      <c r="F404" s="10" t="s">
        <v>16</v>
      </c>
      <c r="G404" s="10" t="s">
        <v>337</v>
      </c>
      <c r="H404" s="10" t="s">
        <v>1426</v>
      </c>
      <c r="I404" s="10" t="s">
        <v>222</v>
      </c>
      <c r="J404" s="11">
        <v>922605592</v>
      </c>
      <c r="K404" s="11"/>
      <c r="L404" s="10" t="s">
        <v>1427</v>
      </c>
      <c r="M404" s="10" t="s">
        <v>47</v>
      </c>
      <c r="N404" s="10" t="s">
        <v>106</v>
      </c>
      <c r="O404" s="10">
        <v>2010</v>
      </c>
      <c r="P404" s="8">
        <v>42707</v>
      </c>
      <c r="Q404" s="12" t="s">
        <v>260</v>
      </c>
    </row>
    <row r="405" spans="1:17" x14ac:dyDescent="0.2">
      <c r="A405">
        <f t="shared" si="6"/>
        <v>1611013</v>
      </c>
      <c r="B405" s="7" t="s">
        <v>1428</v>
      </c>
      <c r="C405" s="8">
        <v>42679.755756944447</v>
      </c>
      <c r="D405" s="8">
        <v>42700</v>
      </c>
      <c r="E405" s="9">
        <v>20.244243055552943</v>
      </c>
      <c r="F405" s="10" t="s">
        <v>16</v>
      </c>
      <c r="G405" s="10" t="s">
        <v>202</v>
      </c>
      <c r="H405" s="10" t="s">
        <v>1429</v>
      </c>
      <c r="I405" s="10" t="s">
        <v>429</v>
      </c>
      <c r="J405" s="11">
        <v>859199592</v>
      </c>
      <c r="K405" s="11"/>
      <c r="L405" s="10" t="s">
        <v>1430</v>
      </c>
      <c r="M405" s="10" t="s">
        <v>47</v>
      </c>
      <c r="N405" s="10" t="s">
        <v>48</v>
      </c>
      <c r="O405" s="10">
        <v>2007</v>
      </c>
      <c r="P405" s="8">
        <v>42834</v>
      </c>
      <c r="Q405" s="12" t="s">
        <v>531</v>
      </c>
    </row>
    <row r="406" spans="1:17" x14ac:dyDescent="0.2">
      <c r="A406">
        <f t="shared" si="6"/>
        <v>1611014</v>
      </c>
      <c r="B406" s="7" t="s">
        <v>1431</v>
      </c>
      <c r="C406" s="8">
        <v>42681.452976504632</v>
      </c>
      <c r="D406" s="8">
        <v>42688</v>
      </c>
      <c r="E406" s="9" t="s">
        <v>39</v>
      </c>
      <c r="F406" s="10" t="s">
        <v>16</v>
      </c>
      <c r="G406" s="10" t="s">
        <v>337</v>
      </c>
      <c r="H406" s="10" t="s">
        <v>1432</v>
      </c>
      <c r="I406" s="10" t="s">
        <v>254</v>
      </c>
      <c r="J406" s="11">
        <v>987825692</v>
      </c>
      <c r="K406" s="11">
        <v>858353283</v>
      </c>
      <c r="L406" s="10" t="s">
        <v>1433</v>
      </c>
      <c r="M406" s="10" t="s">
        <v>42</v>
      </c>
      <c r="N406" s="10" t="s">
        <v>1434</v>
      </c>
      <c r="O406" s="10">
        <v>2010</v>
      </c>
      <c r="P406" s="8">
        <v>42794</v>
      </c>
      <c r="Q406" s="12" t="s">
        <v>256</v>
      </c>
    </row>
    <row r="407" spans="1:17" x14ac:dyDescent="0.2">
      <c r="A407">
        <f t="shared" si="6"/>
        <v>1611015</v>
      </c>
      <c r="B407" s="7" t="s">
        <v>1435</v>
      </c>
      <c r="C407" s="8">
        <v>42681.466687384258</v>
      </c>
      <c r="D407" s="8">
        <v>42684</v>
      </c>
      <c r="E407" s="9" t="s">
        <v>39</v>
      </c>
      <c r="F407" s="10" t="s">
        <v>16</v>
      </c>
      <c r="G407" s="10" t="s">
        <v>337</v>
      </c>
      <c r="H407" s="10" t="s">
        <v>1436</v>
      </c>
      <c r="I407" s="10" t="s">
        <v>233</v>
      </c>
      <c r="J407" s="11">
        <v>909732529</v>
      </c>
      <c r="K407" s="11"/>
      <c r="L407" s="10" t="s">
        <v>1437</v>
      </c>
      <c r="M407" s="10" t="s">
        <v>47</v>
      </c>
      <c r="N407" s="10" t="s">
        <v>48</v>
      </c>
      <c r="O407" s="10">
        <v>2011</v>
      </c>
      <c r="P407" s="8">
        <v>42980</v>
      </c>
      <c r="Q407" s="12" t="s">
        <v>260</v>
      </c>
    </row>
    <row r="408" spans="1:17" x14ac:dyDescent="0.2">
      <c r="A408">
        <f t="shared" si="6"/>
        <v>1611016</v>
      </c>
      <c r="B408" s="7" t="s">
        <v>1438</v>
      </c>
      <c r="C408" s="8">
        <v>42681.687076041664</v>
      </c>
      <c r="D408" s="8">
        <v>42702</v>
      </c>
      <c r="E408" s="9" t="s">
        <v>39</v>
      </c>
      <c r="F408" s="10" t="s">
        <v>16</v>
      </c>
      <c r="G408" s="10" t="s">
        <v>225</v>
      </c>
      <c r="H408" s="10" t="s">
        <v>1439</v>
      </c>
      <c r="I408" s="10" t="s">
        <v>506</v>
      </c>
      <c r="J408" s="11">
        <v>892025531</v>
      </c>
      <c r="K408" s="11"/>
      <c r="L408" s="10" t="s">
        <v>1440</v>
      </c>
      <c r="M408" s="10" t="s">
        <v>47</v>
      </c>
      <c r="N408" s="10" t="s">
        <v>106</v>
      </c>
      <c r="O408" s="10">
        <v>2008</v>
      </c>
      <c r="P408" s="8">
        <v>42896</v>
      </c>
      <c r="Q408" s="12" t="s">
        <v>335</v>
      </c>
    </row>
    <row r="409" spans="1:17" x14ac:dyDescent="0.2">
      <c r="A409">
        <f t="shared" si="6"/>
        <v>1611017</v>
      </c>
      <c r="B409" s="7" t="s">
        <v>1441</v>
      </c>
      <c r="C409" s="8">
        <v>42681.697249652774</v>
      </c>
      <c r="D409" s="8">
        <v>42689</v>
      </c>
      <c r="E409" s="9" t="s">
        <v>39</v>
      </c>
      <c r="F409" s="10" t="s">
        <v>16</v>
      </c>
      <c r="G409" s="10" t="s">
        <v>202</v>
      </c>
      <c r="H409" s="10" t="s">
        <v>1442</v>
      </c>
      <c r="I409" s="10" t="s">
        <v>254</v>
      </c>
      <c r="J409" s="11">
        <v>811403396</v>
      </c>
      <c r="K409" s="11"/>
      <c r="L409" s="10" t="s">
        <v>1443</v>
      </c>
      <c r="M409" s="10" t="s">
        <v>58</v>
      </c>
      <c r="N409" s="10" t="s">
        <v>414</v>
      </c>
      <c r="O409" s="10">
        <v>1997</v>
      </c>
      <c r="P409" s="8">
        <v>42681</v>
      </c>
      <c r="Q409" s="12" t="s">
        <v>301</v>
      </c>
    </row>
    <row r="410" spans="1:17" x14ac:dyDescent="0.2">
      <c r="A410">
        <f t="shared" si="6"/>
        <v>1611018</v>
      </c>
      <c r="B410" s="7" t="s">
        <v>1444</v>
      </c>
      <c r="C410" s="8">
        <v>42682.708399768519</v>
      </c>
      <c r="D410" s="8">
        <v>42682</v>
      </c>
      <c r="E410" s="9" t="s">
        <v>39</v>
      </c>
      <c r="F410" s="10" t="s">
        <v>16</v>
      </c>
      <c r="G410" s="10" t="s">
        <v>202</v>
      </c>
      <c r="H410" s="10" t="s">
        <v>1445</v>
      </c>
      <c r="I410" s="10" t="s">
        <v>243</v>
      </c>
      <c r="J410" s="11">
        <v>970348777</v>
      </c>
      <c r="K410" s="11"/>
      <c r="L410" s="10" t="s">
        <v>1446</v>
      </c>
      <c r="M410" s="10" t="s">
        <v>58</v>
      </c>
      <c r="N410" s="10" t="s">
        <v>414</v>
      </c>
      <c r="O410" s="10"/>
      <c r="P410" s="8" t="s">
        <v>1120</v>
      </c>
      <c r="Q410" s="12"/>
    </row>
    <row r="411" spans="1:17" x14ac:dyDescent="0.2">
      <c r="A411">
        <f t="shared" si="6"/>
        <v>1611019</v>
      </c>
      <c r="B411" s="7" t="s">
        <v>1447</v>
      </c>
      <c r="C411" s="8">
        <v>42682.712993402776</v>
      </c>
      <c r="D411" s="8">
        <v>42697</v>
      </c>
      <c r="E411" s="9" t="s">
        <v>39</v>
      </c>
      <c r="F411" s="10" t="s">
        <v>16</v>
      </c>
      <c r="G411" s="10" t="s">
        <v>202</v>
      </c>
      <c r="H411" s="10" t="s">
        <v>1448</v>
      </c>
      <c r="I411" s="10" t="s">
        <v>286</v>
      </c>
      <c r="J411" s="11">
        <v>894797580</v>
      </c>
      <c r="K411" s="11"/>
      <c r="L411" s="10" t="s">
        <v>1449</v>
      </c>
      <c r="M411" s="10" t="s">
        <v>126</v>
      </c>
      <c r="N411" s="10" t="s">
        <v>297</v>
      </c>
      <c r="O411" s="10">
        <v>2012</v>
      </c>
      <c r="P411" s="8">
        <v>42825</v>
      </c>
      <c r="Q411" s="12" t="s">
        <v>531</v>
      </c>
    </row>
    <row r="412" spans="1:17" x14ac:dyDescent="0.2">
      <c r="A412">
        <f t="shared" si="6"/>
        <v>1611020</v>
      </c>
      <c r="B412" s="7" t="s">
        <v>1450</v>
      </c>
      <c r="C412" s="8">
        <v>42683.727599768521</v>
      </c>
      <c r="D412" s="8">
        <v>42702</v>
      </c>
      <c r="E412" s="9">
        <v>18.272400231478969</v>
      </c>
      <c r="F412" s="10" t="s">
        <v>16</v>
      </c>
      <c r="G412" s="10" t="s">
        <v>202</v>
      </c>
      <c r="H412" s="10" t="s">
        <v>1451</v>
      </c>
      <c r="I412" s="10" t="s">
        <v>243</v>
      </c>
      <c r="J412" s="11">
        <v>813127376</v>
      </c>
      <c r="K412" s="11"/>
      <c r="L412" s="10" t="s">
        <v>1452</v>
      </c>
      <c r="M412" s="10" t="s">
        <v>58</v>
      </c>
      <c r="N412" s="10" t="s">
        <v>414</v>
      </c>
      <c r="O412" s="10">
        <v>2005</v>
      </c>
      <c r="P412" s="8">
        <v>42848</v>
      </c>
      <c r="Q412" s="12" t="s">
        <v>763</v>
      </c>
    </row>
    <row r="413" spans="1:17" x14ac:dyDescent="0.2">
      <c r="A413">
        <f t="shared" si="6"/>
        <v>1611021</v>
      </c>
      <c r="B413" s="7" t="s">
        <v>1453</v>
      </c>
      <c r="C413" s="8">
        <v>42683.730357870372</v>
      </c>
      <c r="D413" s="8"/>
      <c r="E413" s="9" t="s">
        <v>37</v>
      </c>
      <c r="F413" s="10" t="s">
        <v>16</v>
      </c>
      <c r="G413" s="10" t="s">
        <v>207</v>
      </c>
      <c r="H413" s="10" t="s">
        <v>1454</v>
      </c>
      <c r="I413" s="10" t="s">
        <v>1108</v>
      </c>
      <c r="J413" s="11">
        <v>880189377</v>
      </c>
      <c r="K413" s="11"/>
      <c r="L413" s="10" t="s">
        <v>1455</v>
      </c>
      <c r="M413" s="10" t="s">
        <v>47</v>
      </c>
      <c r="N413" s="10" t="s">
        <v>78</v>
      </c>
      <c r="O413" s="10">
        <v>2014</v>
      </c>
      <c r="P413" s="8" t="s">
        <v>1456</v>
      </c>
      <c r="Q413" s="12"/>
    </row>
    <row r="414" spans="1:17" x14ac:dyDescent="0.2">
      <c r="A414">
        <f t="shared" si="6"/>
        <v>1611022</v>
      </c>
      <c r="B414" s="7" t="s">
        <v>1457</v>
      </c>
      <c r="C414" s="8">
        <v>42683.731956597221</v>
      </c>
      <c r="D414" s="8"/>
      <c r="E414" s="9" t="s">
        <v>37</v>
      </c>
      <c r="F414" s="10" t="s">
        <v>16</v>
      </c>
      <c r="G414" s="10" t="s">
        <v>207</v>
      </c>
      <c r="H414" s="10" t="s">
        <v>1458</v>
      </c>
      <c r="I414" s="10" t="s">
        <v>577</v>
      </c>
      <c r="J414" s="11">
        <v>911759160</v>
      </c>
      <c r="K414" s="11">
        <v>627262277</v>
      </c>
      <c r="L414" s="10" t="s">
        <v>1459</v>
      </c>
      <c r="M414" s="10" t="s">
        <v>42</v>
      </c>
      <c r="N414" s="10" t="s">
        <v>43</v>
      </c>
      <c r="O414" s="10"/>
      <c r="P414" s="8" t="s">
        <v>1120</v>
      </c>
      <c r="Q414" s="12"/>
    </row>
    <row r="415" spans="1:17" x14ac:dyDescent="0.2">
      <c r="A415">
        <f t="shared" si="6"/>
        <v>1611023</v>
      </c>
      <c r="B415" s="7" t="s">
        <v>1460</v>
      </c>
      <c r="C415" s="8">
        <v>42684.655935763891</v>
      </c>
      <c r="D415" s="8">
        <v>42691</v>
      </c>
      <c r="E415" s="9" t="s">
        <v>39</v>
      </c>
      <c r="F415" s="10" t="s">
        <v>16</v>
      </c>
      <c r="G415" s="10" t="s">
        <v>202</v>
      </c>
      <c r="H415" s="10" t="s">
        <v>1461</v>
      </c>
      <c r="I415" s="10" t="s">
        <v>1462</v>
      </c>
      <c r="J415" s="11">
        <v>863433983</v>
      </c>
      <c r="K415" s="11"/>
      <c r="L415" s="10" t="s">
        <v>1463</v>
      </c>
      <c r="M415" s="10" t="s">
        <v>87</v>
      </c>
      <c r="N415" s="10">
        <v>3</v>
      </c>
      <c r="O415" s="10">
        <v>2014</v>
      </c>
      <c r="P415" s="8">
        <v>42975</v>
      </c>
      <c r="Q415" s="12" t="s">
        <v>779</v>
      </c>
    </row>
    <row r="416" spans="1:17" x14ac:dyDescent="0.2">
      <c r="A416">
        <f t="shared" si="6"/>
        <v>1611024</v>
      </c>
      <c r="B416" s="7" t="s">
        <v>1464</v>
      </c>
      <c r="C416" s="8">
        <v>42684.664284143517</v>
      </c>
      <c r="D416" s="8"/>
      <c r="E416" s="9" t="s">
        <v>37</v>
      </c>
      <c r="F416" s="10" t="s">
        <v>1465</v>
      </c>
      <c r="G416" s="10" t="s">
        <v>40</v>
      </c>
      <c r="H416" s="10" t="s">
        <v>1466</v>
      </c>
      <c r="I416" s="10"/>
      <c r="J416" s="11">
        <v>879941881</v>
      </c>
      <c r="K416" s="11"/>
      <c r="L416" s="10" t="s">
        <v>1467</v>
      </c>
      <c r="M416" s="10" t="s">
        <v>87</v>
      </c>
      <c r="N416" s="10" t="s">
        <v>498</v>
      </c>
      <c r="O416" s="10"/>
      <c r="P416" s="8"/>
      <c r="Q416" s="12"/>
    </row>
    <row r="417" spans="1:17" x14ac:dyDescent="0.2">
      <c r="A417">
        <f t="shared" si="6"/>
        <v>1611025</v>
      </c>
      <c r="B417" s="7" t="s">
        <v>1468</v>
      </c>
      <c r="C417" s="8">
        <v>42685.372429513889</v>
      </c>
      <c r="D417" s="8"/>
      <c r="E417" s="9" t="s">
        <v>37</v>
      </c>
      <c r="F417" s="10" t="s">
        <v>16</v>
      </c>
      <c r="G417" s="10" t="s">
        <v>337</v>
      </c>
      <c r="H417" s="10" t="s">
        <v>1469</v>
      </c>
      <c r="I417" s="10" t="s">
        <v>1108</v>
      </c>
      <c r="J417" s="11">
        <v>618585878</v>
      </c>
      <c r="K417" s="11"/>
      <c r="L417" s="10" t="s">
        <v>1470</v>
      </c>
      <c r="M417" s="10" t="s">
        <v>87</v>
      </c>
      <c r="N417" s="10">
        <v>2</v>
      </c>
      <c r="O417" s="10">
        <v>2011</v>
      </c>
      <c r="P417" s="8">
        <v>43017</v>
      </c>
      <c r="Q417" s="12" t="s">
        <v>477</v>
      </c>
    </row>
    <row r="418" spans="1:17" x14ac:dyDescent="0.2">
      <c r="A418">
        <f t="shared" si="6"/>
        <v>1611026</v>
      </c>
      <c r="B418" s="7" t="s">
        <v>1471</v>
      </c>
      <c r="C418" s="8">
        <v>42685.766124189817</v>
      </c>
      <c r="D418" s="8">
        <v>42697</v>
      </c>
      <c r="E418" s="9" t="s">
        <v>39</v>
      </c>
      <c r="F418" s="10" t="s">
        <v>16</v>
      </c>
      <c r="G418" s="10" t="s">
        <v>207</v>
      </c>
      <c r="H418" s="10" t="s">
        <v>1472</v>
      </c>
      <c r="I418" s="10" t="s">
        <v>271</v>
      </c>
      <c r="J418" s="11">
        <v>829992442</v>
      </c>
      <c r="K418" s="11"/>
      <c r="L418" s="10" t="s">
        <v>1473</v>
      </c>
      <c r="M418" s="10" t="s">
        <v>109</v>
      </c>
      <c r="N418" s="10" t="s">
        <v>110</v>
      </c>
      <c r="O418" s="10">
        <v>2011</v>
      </c>
      <c r="P418" s="8">
        <v>42782</v>
      </c>
      <c r="Q418" s="12" t="s">
        <v>477</v>
      </c>
    </row>
    <row r="419" spans="1:17" x14ac:dyDescent="0.2">
      <c r="A419">
        <f t="shared" si="6"/>
        <v>1611027</v>
      </c>
      <c r="B419" s="7" t="s">
        <v>1474</v>
      </c>
      <c r="C419" s="8">
        <v>42686.496693749999</v>
      </c>
      <c r="D419" s="8">
        <v>42692</v>
      </c>
      <c r="E419" s="9" t="s">
        <v>39</v>
      </c>
      <c r="F419" s="10" t="s">
        <v>16</v>
      </c>
      <c r="G419" s="10" t="s">
        <v>207</v>
      </c>
      <c r="H419" s="10" t="s">
        <v>1475</v>
      </c>
      <c r="I419" s="10" t="s">
        <v>267</v>
      </c>
      <c r="J419" s="11">
        <v>958969296</v>
      </c>
      <c r="K419" s="11"/>
      <c r="L419" s="10" t="s">
        <v>1476</v>
      </c>
      <c r="M419" s="10" t="s">
        <v>1477</v>
      </c>
      <c r="N419" s="10" t="s">
        <v>1478</v>
      </c>
      <c r="O419" s="10"/>
      <c r="P419" s="8" t="s">
        <v>1120</v>
      </c>
      <c r="Q419" s="12"/>
    </row>
    <row r="420" spans="1:17" x14ac:dyDescent="0.2">
      <c r="A420">
        <f t="shared" si="6"/>
        <v>1611028</v>
      </c>
      <c r="B420" s="7" t="s">
        <v>1479</v>
      </c>
      <c r="C420" s="8">
        <v>42686.736693981482</v>
      </c>
      <c r="D420" s="8">
        <v>42707</v>
      </c>
      <c r="E420" s="9" t="s">
        <v>39</v>
      </c>
      <c r="F420" s="10" t="s">
        <v>16</v>
      </c>
      <c r="G420" s="10" t="s">
        <v>207</v>
      </c>
      <c r="H420" s="10" t="s">
        <v>1480</v>
      </c>
      <c r="I420" s="10" t="s">
        <v>506</v>
      </c>
      <c r="J420" s="11">
        <v>899251762</v>
      </c>
      <c r="K420" s="11">
        <v>614869059</v>
      </c>
      <c r="L420" s="10" t="s">
        <v>1481</v>
      </c>
      <c r="M420" s="10" t="s">
        <v>47</v>
      </c>
      <c r="N420" s="10" t="s">
        <v>121</v>
      </c>
      <c r="O420" s="10">
        <v>2006</v>
      </c>
      <c r="P420" s="8">
        <v>42732</v>
      </c>
      <c r="Q420" s="12" t="s">
        <v>660</v>
      </c>
    </row>
    <row r="421" spans="1:17" x14ac:dyDescent="0.2">
      <c r="A421">
        <f t="shared" si="6"/>
        <v>1611029</v>
      </c>
      <c r="B421" s="7" t="s">
        <v>1482</v>
      </c>
      <c r="C421" s="8">
        <v>42688.564348726853</v>
      </c>
      <c r="D421" s="8">
        <v>42692</v>
      </c>
      <c r="E421" s="9" t="s">
        <v>39</v>
      </c>
      <c r="F421" s="10" t="s">
        <v>16</v>
      </c>
      <c r="G421" s="10" t="s">
        <v>303</v>
      </c>
      <c r="H421" s="10" t="s">
        <v>1483</v>
      </c>
      <c r="I421" s="10" t="s">
        <v>305</v>
      </c>
      <c r="J421" s="11">
        <v>814399189</v>
      </c>
      <c r="K421" s="11"/>
      <c r="L421" s="10" t="s">
        <v>1484</v>
      </c>
      <c r="M421" s="10" t="s">
        <v>54</v>
      </c>
      <c r="N421" s="10" t="s">
        <v>72</v>
      </c>
      <c r="O421" s="10">
        <v>2015</v>
      </c>
      <c r="P421" s="8" t="s">
        <v>1120</v>
      </c>
      <c r="Q421" s="12"/>
    </row>
    <row r="422" spans="1:17" x14ac:dyDescent="0.2">
      <c r="A422">
        <f t="shared" si="6"/>
        <v>1611030</v>
      </c>
      <c r="B422" s="7" t="s">
        <v>1485</v>
      </c>
      <c r="C422" s="8">
        <v>42688.56810798611</v>
      </c>
      <c r="D422" s="8">
        <v>42693</v>
      </c>
      <c r="E422" s="9" t="s">
        <v>39</v>
      </c>
      <c r="F422" s="10" t="s">
        <v>16</v>
      </c>
      <c r="G422" s="10" t="s">
        <v>207</v>
      </c>
      <c r="H422" s="10" t="s">
        <v>1486</v>
      </c>
      <c r="I422" s="10" t="s">
        <v>305</v>
      </c>
      <c r="J422" s="11">
        <v>851190732</v>
      </c>
      <c r="K422" s="11"/>
      <c r="L422" s="10" t="s">
        <v>1487</v>
      </c>
      <c r="M422" s="10" t="s">
        <v>47</v>
      </c>
      <c r="N422" s="10" t="s">
        <v>106</v>
      </c>
      <c r="O422" s="10">
        <v>2012</v>
      </c>
      <c r="P422" s="8">
        <v>42977</v>
      </c>
      <c r="Q422" s="12" t="s">
        <v>217</v>
      </c>
    </row>
    <row r="423" spans="1:17" x14ac:dyDescent="0.2">
      <c r="A423">
        <f t="shared" si="6"/>
        <v>1611031</v>
      </c>
      <c r="B423" s="7" t="s">
        <v>1488</v>
      </c>
      <c r="C423" s="8">
        <v>42688.571739120373</v>
      </c>
      <c r="D423" s="8">
        <v>42698</v>
      </c>
      <c r="E423" s="9" t="s">
        <v>39</v>
      </c>
      <c r="F423" s="10" t="s">
        <v>16</v>
      </c>
      <c r="G423" s="10" t="s">
        <v>202</v>
      </c>
      <c r="H423" s="10" t="s">
        <v>1489</v>
      </c>
      <c r="I423" s="10" t="s">
        <v>233</v>
      </c>
      <c r="J423" s="11">
        <v>859824591</v>
      </c>
      <c r="K423" s="11"/>
      <c r="L423" s="10" t="s">
        <v>1490</v>
      </c>
      <c r="M423" s="10" t="s">
        <v>47</v>
      </c>
      <c r="N423" s="10" t="s">
        <v>209</v>
      </c>
      <c r="O423" s="10">
        <v>2010</v>
      </c>
      <c r="P423" s="8">
        <v>42868</v>
      </c>
      <c r="Q423" s="12" t="s">
        <v>779</v>
      </c>
    </row>
    <row r="424" spans="1:17" x14ac:dyDescent="0.2">
      <c r="A424">
        <f t="shared" si="6"/>
        <v>1611032</v>
      </c>
      <c r="B424" s="7" t="s">
        <v>1491</v>
      </c>
      <c r="C424" s="8">
        <v>42688.575740046297</v>
      </c>
      <c r="D424" s="8">
        <v>42696</v>
      </c>
      <c r="E424" s="9">
        <v>7.4242599537028582</v>
      </c>
      <c r="F424" s="10" t="s">
        <v>16</v>
      </c>
      <c r="G424" s="10" t="s">
        <v>202</v>
      </c>
      <c r="H424" s="10" t="s">
        <v>1492</v>
      </c>
      <c r="I424" s="10" t="s">
        <v>305</v>
      </c>
      <c r="J424" s="11">
        <v>896948713</v>
      </c>
      <c r="K424" s="11"/>
      <c r="L424" s="10" t="s">
        <v>114</v>
      </c>
      <c r="M424" s="10" t="s">
        <v>58</v>
      </c>
      <c r="N424" s="10" t="s">
        <v>414</v>
      </c>
      <c r="O424" s="10">
        <v>2015</v>
      </c>
      <c r="P424" s="8">
        <v>42792</v>
      </c>
      <c r="Q424" s="12" t="s">
        <v>520</v>
      </c>
    </row>
    <row r="425" spans="1:17" x14ac:dyDescent="0.2">
      <c r="A425">
        <f t="shared" si="6"/>
        <v>1611033</v>
      </c>
      <c r="B425" s="7" t="s">
        <v>1493</v>
      </c>
      <c r="C425" s="8">
        <v>42688.746325231485</v>
      </c>
      <c r="D425" s="8">
        <v>42698</v>
      </c>
      <c r="E425" s="9" t="s">
        <v>39</v>
      </c>
      <c r="F425" s="10" t="s">
        <v>16</v>
      </c>
      <c r="G425" s="10" t="s">
        <v>220</v>
      </c>
      <c r="H425" s="10" t="s">
        <v>1494</v>
      </c>
      <c r="I425" s="10" t="s">
        <v>222</v>
      </c>
      <c r="J425" s="11">
        <v>814802091</v>
      </c>
      <c r="K425" s="11"/>
      <c r="L425" s="10" t="s">
        <v>1495</v>
      </c>
      <c r="M425" s="10" t="s">
        <v>47</v>
      </c>
      <c r="N425" s="10" t="s">
        <v>51</v>
      </c>
      <c r="O425" s="10">
        <v>2014</v>
      </c>
      <c r="P425" s="8">
        <v>42704</v>
      </c>
      <c r="Q425" s="12" t="s">
        <v>251</v>
      </c>
    </row>
    <row r="426" spans="1:17" x14ac:dyDescent="0.2">
      <c r="A426">
        <f t="shared" si="6"/>
        <v>1611034</v>
      </c>
      <c r="B426" s="7" t="s">
        <v>1496</v>
      </c>
      <c r="C426" s="8">
        <v>42688.75193298611</v>
      </c>
      <c r="D426" s="8">
        <v>42699</v>
      </c>
      <c r="E426" s="9" t="s">
        <v>39</v>
      </c>
      <c r="F426" s="10" t="s">
        <v>16</v>
      </c>
      <c r="G426" s="10" t="s">
        <v>225</v>
      </c>
      <c r="H426" s="10" t="s">
        <v>1497</v>
      </c>
      <c r="I426" s="10" t="s">
        <v>1498</v>
      </c>
      <c r="J426" s="11">
        <v>813734326</v>
      </c>
      <c r="K426" s="11">
        <v>891516514</v>
      </c>
      <c r="L426" s="10" t="s">
        <v>453</v>
      </c>
      <c r="M426" s="10" t="s">
        <v>47</v>
      </c>
      <c r="N426" s="10" t="s">
        <v>209</v>
      </c>
      <c r="O426" s="10">
        <v>2009</v>
      </c>
      <c r="P426" s="8">
        <v>43007</v>
      </c>
      <c r="Q426" s="12" t="s">
        <v>499</v>
      </c>
    </row>
    <row r="427" spans="1:17" x14ac:dyDescent="0.2">
      <c r="A427">
        <f t="shared" si="6"/>
        <v>1611035</v>
      </c>
      <c r="B427" s="7" t="s">
        <v>1499</v>
      </c>
      <c r="C427" s="8">
        <v>42688.753617939816</v>
      </c>
      <c r="D427" s="8"/>
      <c r="E427" s="9" t="s">
        <v>37</v>
      </c>
      <c r="F427" s="10" t="s">
        <v>16</v>
      </c>
      <c r="G427" s="10" t="s">
        <v>207</v>
      </c>
      <c r="H427" s="10" t="s">
        <v>1500</v>
      </c>
      <c r="I427" s="10" t="s">
        <v>286</v>
      </c>
      <c r="J427" s="11">
        <v>820805977</v>
      </c>
      <c r="K427" s="11"/>
      <c r="L427" s="10" t="s">
        <v>1501</v>
      </c>
      <c r="M427" s="10" t="s">
        <v>54</v>
      </c>
      <c r="N427" s="10" t="s">
        <v>72</v>
      </c>
      <c r="O427" s="10">
        <v>2015</v>
      </c>
      <c r="P427" s="8">
        <v>42706</v>
      </c>
      <c r="Q427" s="12" t="s">
        <v>489</v>
      </c>
    </row>
    <row r="428" spans="1:17" x14ac:dyDescent="0.2">
      <c r="A428">
        <f t="shared" si="6"/>
        <v>1611036</v>
      </c>
      <c r="B428" s="7" t="s">
        <v>1502</v>
      </c>
      <c r="C428" s="8">
        <v>42689.679302893521</v>
      </c>
      <c r="D428" s="8">
        <v>42693</v>
      </c>
      <c r="E428" s="9" t="s">
        <v>39</v>
      </c>
      <c r="F428" s="10" t="s">
        <v>16</v>
      </c>
      <c r="G428" s="10" t="s">
        <v>202</v>
      </c>
      <c r="H428" s="10" t="s">
        <v>1503</v>
      </c>
      <c r="I428" s="10" t="s">
        <v>243</v>
      </c>
      <c r="J428" s="11">
        <v>813563304</v>
      </c>
      <c r="K428" s="11"/>
      <c r="L428" s="10" t="s">
        <v>1504</v>
      </c>
      <c r="M428" s="10" t="s">
        <v>93</v>
      </c>
      <c r="N428" s="10" t="s">
        <v>94</v>
      </c>
      <c r="O428" s="10">
        <v>2011</v>
      </c>
      <c r="P428" s="8" t="s">
        <v>1120</v>
      </c>
      <c r="Q428" s="12"/>
    </row>
    <row r="429" spans="1:17" x14ac:dyDescent="0.2">
      <c r="A429">
        <f t="shared" si="6"/>
        <v>1611037</v>
      </c>
      <c r="B429" s="7" t="s">
        <v>1505</v>
      </c>
      <c r="C429" s="8">
        <v>42689.685514930556</v>
      </c>
      <c r="D429" s="8">
        <v>42697</v>
      </c>
      <c r="E429" s="9" t="s">
        <v>39</v>
      </c>
      <c r="F429" s="10" t="s">
        <v>16</v>
      </c>
      <c r="G429" s="10" t="s">
        <v>202</v>
      </c>
      <c r="H429" s="10" t="s">
        <v>1506</v>
      </c>
      <c r="I429" s="10" t="s">
        <v>233</v>
      </c>
      <c r="J429" s="11">
        <v>853280325</v>
      </c>
      <c r="K429" s="11"/>
      <c r="L429" s="10" t="s">
        <v>1507</v>
      </c>
      <c r="M429" s="10" t="s">
        <v>47</v>
      </c>
      <c r="N429" s="10" t="s">
        <v>106</v>
      </c>
      <c r="O429" s="10">
        <v>2005</v>
      </c>
      <c r="P429" s="8" t="s">
        <v>1508</v>
      </c>
      <c r="Q429" s="12"/>
    </row>
    <row r="430" spans="1:17" x14ac:dyDescent="0.2">
      <c r="A430">
        <f t="shared" si="6"/>
        <v>1611038</v>
      </c>
      <c r="B430" s="7" t="s">
        <v>1509</v>
      </c>
      <c r="C430" s="8">
        <v>42689.692690972224</v>
      </c>
      <c r="D430" s="8">
        <v>42714</v>
      </c>
      <c r="E430" s="9" t="s">
        <v>39</v>
      </c>
      <c r="F430" s="10" t="s">
        <v>16</v>
      </c>
      <c r="G430" s="10" t="s">
        <v>207</v>
      </c>
      <c r="H430" s="10" t="s">
        <v>1510</v>
      </c>
      <c r="I430" s="10" t="s">
        <v>233</v>
      </c>
      <c r="J430" s="11">
        <v>825957455</v>
      </c>
      <c r="K430" s="11"/>
      <c r="L430" s="10" t="s">
        <v>1511</v>
      </c>
      <c r="M430" s="10" t="s">
        <v>47</v>
      </c>
      <c r="N430" s="10" t="s">
        <v>106</v>
      </c>
      <c r="O430" s="10">
        <v>2009</v>
      </c>
      <c r="P430" s="8">
        <v>43094</v>
      </c>
      <c r="Q430" s="12" t="s">
        <v>292</v>
      </c>
    </row>
    <row r="431" spans="1:17" x14ac:dyDescent="0.2">
      <c r="A431">
        <f t="shared" si="6"/>
        <v>1611039</v>
      </c>
      <c r="B431" s="7" t="s">
        <v>1512</v>
      </c>
      <c r="C431" s="8">
        <v>42690.704420833332</v>
      </c>
      <c r="D431" s="8">
        <v>42695</v>
      </c>
      <c r="E431" s="9" t="s">
        <v>39</v>
      </c>
      <c r="F431" s="10" t="s">
        <v>16</v>
      </c>
      <c r="G431" s="10" t="s">
        <v>207</v>
      </c>
      <c r="H431" s="10" t="s">
        <v>1513</v>
      </c>
      <c r="I431" s="10" t="s">
        <v>233</v>
      </c>
      <c r="J431" s="11">
        <v>83954642</v>
      </c>
      <c r="K431" s="11"/>
      <c r="L431" s="10" t="s">
        <v>1514</v>
      </c>
      <c r="M431" s="10" t="s">
        <v>47</v>
      </c>
      <c r="N431" s="10" t="s">
        <v>106</v>
      </c>
      <c r="O431" s="10">
        <v>2007</v>
      </c>
      <c r="P431" s="8">
        <v>42816</v>
      </c>
      <c r="Q431" s="12" t="s">
        <v>664</v>
      </c>
    </row>
    <row r="432" spans="1:17" x14ac:dyDescent="0.2">
      <c r="A432">
        <f t="shared" si="6"/>
        <v>1611040</v>
      </c>
      <c r="B432" s="7" t="s">
        <v>1515</v>
      </c>
      <c r="C432" s="8">
        <v>42690.720090740739</v>
      </c>
      <c r="D432" s="8"/>
      <c r="E432" s="9" t="s">
        <v>39</v>
      </c>
      <c r="F432" s="10" t="s">
        <v>16</v>
      </c>
      <c r="G432" s="10" t="s">
        <v>231</v>
      </c>
      <c r="H432" s="10" t="s">
        <v>1516</v>
      </c>
      <c r="I432" s="10" t="s">
        <v>263</v>
      </c>
      <c r="J432" s="11">
        <v>993247636</v>
      </c>
      <c r="K432" s="11">
        <v>814597729</v>
      </c>
      <c r="L432" s="10" t="s">
        <v>1517</v>
      </c>
      <c r="M432" s="10" t="s">
        <v>42</v>
      </c>
      <c r="N432" s="10" t="s">
        <v>84</v>
      </c>
      <c r="O432" s="10">
        <v>2008</v>
      </c>
      <c r="P432" s="8">
        <v>42925</v>
      </c>
      <c r="Q432" s="12" t="s">
        <v>256</v>
      </c>
    </row>
    <row r="433" spans="1:17" x14ac:dyDescent="0.2">
      <c r="A433">
        <f t="shared" si="6"/>
        <v>1611041</v>
      </c>
      <c r="B433" s="7" t="s">
        <v>1518</v>
      </c>
      <c r="C433" s="8">
        <v>42691.547394328707</v>
      </c>
      <c r="D433" s="8">
        <v>42691</v>
      </c>
      <c r="E433" s="9" t="s">
        <v>39</v>
      </c>
      <c r="F433" s="10" t="s">
        <v>16</v>
      </c>
      <c r="G433" s="10" t="s">
        <v>231</v>
      </c>
      <c r="H433" s="10" t="s">
        <v>1519</v>
      </c>
      <c r="I433" s="10" t="s">
        <v>979</v>
      </c>
      <c r="J433" s="11">
        <v>877292777</v>
      </c>
      <c r="K433" s="11"/>
      <c r="L433" s="10" t="s">
        <v>1520</v>
      </c>
      <c r="M433" s="10" t="s">
        <v>47</v>
      </c>
      <c r="N433" s="10" t="s">
        <v>1521</v>
      </c>
      <c r="O433" s="10">
        <v>2008</v>
      </c>
      <c r="P433" s="8">
        <v>42803</v>
      </c>
      <c r="Q433" s="12" t="s">
        <v>260</v>
      </c>
    </row>
    <row r="434" spans="1:17" x14ac:dyDescent="0.2">
      <c r="A434">
        <f t="shared" si="6"/>
        <v>1611042</v>
      </c>
      <c r="B434" s="7" t="s">
        <v>1522</v>
      </c>
      <c r="C434" s="8">
        <v>42691.664356365742</v>
      </c>
      <c r="D434" s="8"/>
      <c r="E434" s="9" t="s">
        <v>37</v>
      </c>
      <c r="F434" s="10" t="s">
        <v>16</v>
      </c>
      <c r="G434" s="10" t="s">
        <v>225</v>
      </c>
      <c r="H434" s="10" t="s">
        <v>1523</v>
      </c>
      <c r="I434" s="10" t="s">
        <v>222</v>
      </c>
      <c r="J434" s="11">
        <v>898813134</v>
      </c>
      <c r="K434" s="11"/>
      <c r="L434" s="10" t="s">
        <v>1524</v>
      </c>
      <c r="M434" s="10" t="s">
        <v>126</v>
      </c>
      <c r="N434" s="10" t="s">
        <v>297</v>
      </c>
      <c r="O434" s="10">
        <v>2012</v>
      </c>
      <c r="P434" s="8">
        <v>43008</v>
      </c>
      <c r="Q434" s="12" t="s">
        <v>292</v>
      </c>
    </row>
    <row r="435" spans="1:17" x14ac:dyDescent="0.2">
      <c r="A435">
        <f t="shared" si="6"/>
        <v>1611043</v>
      </c>
      <c r="B435" s="7" t="s">
        <v>1525</v>
      </c>
      <c r="C435" s="8">
        <v>42692.706825347224</v>
      </c>
      <c r="D435" s="8">
        <v>42704</v>
      </c>
      <c r="E435" s="9" t="s">
        <v>39</v>
      </c>
      <c r="F435" s="10" t="s">
        <v>16</v>
      </c>
      <c r="G435" s="10" t="s">
        <v>231</v>
      </c>
      <c r="H435" s="10" t="s">
        <v>1526</v>
      </c>
      <c r="I435" s="10" t="s">
        <v>263</v>
      </c>
      <c r="J435" s="11">
        <v>804525829</v>
      </c>
      <c r="K435" s="11"/>
      <c r="L435" s="10" t="s">
        <v>1527</v>
      </c>
      <c r="M435" s="10" t="s">
        <v>282</v>
      </c>
      <c r="N435" s="10" t="s">
        <v>1528</v>
      </c>
      <c r="O435" s="10">
        <v>2012</v>
      </c>
      <c r="P435" s="8">
        <v>42943</v>
      </c>
      <c r="Q435" s="12" t="s">
        <v>909</v>
      </c>
    </row>
    <row r="436" spans="1:17" x14ac:dyDescent="0.2">
      <c r="A436">
        <f t="shared" si="6"/>
        <v>1611044</v>
      </c>
      <c r="B436" s="7" t="s">
        <v>1530</v>
      </c>
      <c r="C436" s="8">
        <v>42695.689518634259</v>
      </c>
      <c r="D436" s="8">
        <v>42695</v>
      </c>
      <c r="E436" s="9" t="s">
        <v>39</v>
      </c>
      <c r="F436" s="10" t="s">
        <v>16</v>
      </c>
      <c r="G436" s="10" t="s">
        <v>207</v>
      </c>
      <c r="H436" s="10" t="s">
        <v>1531</v>
      </c>
      <c r="I436" s="10" t="s">
        <v>243</v>
      </c>
      <c r="J436" s="11">
        <v>920269267</v>
      </c>
      <c r="K436" s="11"/>
      <c r="L436" s="10" t="s">
        <v>1532</v>
      </c>
      <c r="M436" s="10" t="s">
        <v>47</v>
      </c>
      <c r="N436" s="10" t="s">
        <v>106</v>
      </c>
      <c r="O436" s="10">
        <v>2008</v>
      </c>
      <c r="P436" s="8">
        <v>42727</v>
      </c>
      <c r="Q436" s="12" t="s">
        <v>217</v>
      </c>
    </row>
    <row r="437" spans="1:17" x14ac:dyDescent="0.2">
      <c r="A437">
        <f t="shared" si="6"/>
        <v>1611045</v>
      </c>
      <c r="B437" s="7" t="s">
        <v>1533</v>
      </c>
      <c r="C437" s="8">
        <v>42695.693609722221</v>
      </c>
      <c r="D437" s="8"/>
      <c r="E437" s="9" t="s">
        <v>37</v>
      </c>
      <c r="F437" s="10" t="s">
        <v>16</v>
      </c>
      <c r="G437" s="10" t="s">
        <v>207</v>
      </c>
      <c r="H437" s="10" t="s">
        <v>1534</v>
      </c>
      <c r="I437" s="10" t="s">
        <v>286</v>
      </c>
      <c r="J437" s="11">
        <v>843832419</v>
      </c>
      <c r="K437" s="11"/>
      <c r="L437" s="10" t="s">
        <v>1535</v>
      </c>
      <c r="M437" s="10" t="s">
        <v>54</v>
      </c>
      <c r="N437" s="10" t="s">
        <v>134</v>
      </c>
      <c r="O437" s="10">
        <v>2013</v>
      </c>
      <c r="P437" s="8">
        <v>42881</v>
      </c>
      <c r="Q437" s="12" t="s">
        <v>217</v>
      </c>
    </row>
    <row r="438" spans="1:17" x14ac:dyDescent="0.2">
      <c r="A438">
        <f t="shared" si="6"/>
        <v>1611046</v>
      </c>
      <c r="B438" s="7" t="s">
        <v>1536</v>
      </c>
      <c r="C438" s="8">
        <v>42696.490985069446</v>
      </c>
      <c r="D438" s="8"/>
      <c r="E438" s="9" t="s">
        <v>37</v>
      </c>
      <c r="F438" s="10" t="s">
        <v>16</v>
      </c>
      <c r="G438" s="10" t="s">
        <v>207</v>
      </c>
      <c r="H438" s="10" t="s">
        <v>1537</v>
      </c>
      <c r="I438" s="10" t="s">
        <v>243</v>
      </c>
      <c r="J438" s="11">
        <v>879676971</v>
      </c>
      <c r="K438" s="11"/>
      <c r="L438" s="10" t="s">
        <v>1538</v>
      </c>
      <c r="M438" s="10" t="s">
        <v>58</v>
      </c>
      <c r="N438" s="10" t="s">
        <v>717</v>
      </c>
      <c r="O438" s="10">
        <v>2010</v>
      </c>
      <c r="P438" s="8">
        <v>42898</v>
      </c>
      <c r="Q438" s="12" t="s">
        <v>335</v>
      </c>
    </row>
    <row r="439" spans="1:17" x14ac:dyDescent="0.2">
      <c r="A439">
        <f t="shared" si="6"/>
        <v>1611047</v>
      </c>
      <c r="B439" s="7" t="s">
        <v>1539</v>
      </c>
      <c r="C439" s="8">
        <v>42696.588376967593</v>
      </c>
      <c r="D439" s="8">
        <v>42707</v>
      </c>
      <c r="E439" s="9" t="s">
        <v>39</v>
      </c>
      <c r="F439" s="10" t="s">
        <v>16</v>
      </c>
      <c r="G439" s="10" t="s">
        <v>207</v>
      </c>
      <c r="H439" s="10" t="s">
        <v>1540</v>
      </c>
      <c r="I439" s="10" t="s">
        <v>286</v>
      </c>
      <c r="J439" s="11">
        <v>821204146</v>
      </c>
      <c r="K439" s="11">
        <v>994394073</v>
      </c>
      <c r="L439" s="10" t="s">
        <v>1541</v>
      </c>
      <c r="M439" s="10" t="s">
        <v>58</v>
      </c>
      <c r="N439" s="10" t="s">
        <v>717</v>
      </c>
      <c r="O439" s="10">
        <v>2011</v>
      </c>
      <c r="P439" s="8">
        <v>42984</v>
      </c>
      <c r="Q439" s="12" t="s">
        <v>1542</v>
      </c>
    </row>
    <row r="440" spans="1:17" x14ac:dyDescent="0.2">
      <c r="A440">
        <f t="shared" si="6"/>
        <v>1611048</v>
      </c>
      <c r="B440" s="7" t="s">
        <v>1543</v>
      </c>
      <c r="C440" s="8">
        <v>42698.765894328702</v>
      </c>
      <c r="D440" s="8">
        <v>42698</v>
      </c>
      <c r="E440" s="9" t="s">
        <v>39</v>
      </c>
      <c r="F440" s="10" t="s">
        <v>16</v>
      </c>
      <c r="G440" s="10" t="s">
        <v>207</v>
      </c>
      <c r="H440" s="10" t="s">
        <v>1544</v>
      </c>
      <c r="I440" s="10" t="s">
        <v>305</v>
      </c>
      <c r="J440" s="11">
        <v>892197280</v>
      </c>
      <c r="K440" s="11"/>
      <c r="L440" s="10" t="s">
        <v>1545</v>
      </c>
      <c r="M440" s="10" t="s">
        <v>47</v>
      </c>
      <c r="N440" s="10" t="s">
        <v>106</v>
      </c>
      <c r="O440" s="10">
        <v>2011</v>
      </c>
      <c r="P440" s="8">
        <v>42846</v>
      </c>
      <c r="Q440" s="12">
        <v>42826</v>
      </c>
    </row>
    <row r="441" spans="1:17" x14ac:dyDescent="0.2">
      <c r="A441">
        <f t="shared" si="6"/>
        <v>1611049</v>
      </c>
      <c r="B441" s="7" t="s">
        <v>1546</v>
      </c>
      <c r="C441" s="8">
        <v>42700.713570254629</v>
      </c>
      <c r="D441" s="8">
        <v>42724</v>
      </c>
      <c r="E441" s="9">
        <v>23.286429745370697</v>
      </c>
      <c r="F441" s="10" t="s">
        <v>16</v>
      </c>
      <c r="G441" s="10" t="s">
        <v>202</v>
      </c>
      <c r="H441" s="10" t="s">
        <v>1547</v>
      </c>
      <c r="I441" s="10" t="s">
        <v>233</v>
      </c>
      <c r="J441" s="11">
        <v>894308809</v>
      </c>
      <c r="K441" s="11">
        <v>819623884</v>
      </c>
      <c r="L441" s="10" t="s">
        <v>1548</v>
      </c>
      <c r="M441" s="10" t="s">
        <v>47</v>
      </c>
      <c r="N441" s="10" t="s">
        <v>209</v>
      </c>
      <c r="O441" s="10">
        <v>2008</v>
      </c>
      <c r="P441" s="8">
        <v>42768</v>
      </c>
      <c r="Q441" s="12" t="s">
        <v>366</v>
      </c>
    </row>
    <row r="442" spans="1:17" x14ac:dyDescent="0.2">
      <c r="A442">
        <f t="shared" si="6"/>
        <v>1611050</v>
      </c>
      <c r="B442" s="7" t="s">
        <v>1549</v>
      </c>
      <c r="C442" s="8">
        <v>42703.739019097222</v>
      </c>
      <c r="D442" s="8">
        <v>42703</v>
      </c>
      <c r="E442" s="9" t="s">
        <v>39</v>
      </c>
      <c r="F442" s="10" t="s">
        <v>16</v>
      </c>
      <c r="G442" s="10" t="s">
        <v>202</v>
      </c>
      <c r="H442" s="10" t="s">
        <v>1550</v>
      </c>
      <c r="I442" s="10" t="s">
        <v>286</v>
      </c>
      <c r="J442" s="11">
        <v>922860317</v>
      </c>
      <c r="K442" s="11"/>
      <c r="L442" s="10" t="s">
        <v>1551</v>
      </c>
      <c r="M442" s="10" t="s">
        <v>47</v>
      </c>
      <c r="N442" s="10" t="s">
        <v>106</v>
      </c>
      <c r="O442" s="10">
        <v>2005</v>
      </c>
      <c r="P442" s="8" t="s">
        <v>1120</v>
      </c>
      <c r="Q442" s="12"/>
    </row>
    <row r="443" spans="1:17" x14ac:dyDescent="0.2">
      <c r="A443">
        <f t="shared" si="6"/>
        <v>1611051</v>
      </c>
      <c r="B443" s="7" t="s">
        <v>1552</v>
      </c>
      <c r="C443" s="8">
        <v>42704.68110347222</v>
      </c>
      <c r="D443" s="8">
        <v>42724</v>
      </c>
      <c r="E443" s="9" t="s">
        <v>39</v>
      </c>
      <c r="F443" s="10" t="s">
        <v>16</v>
      </c>
      <c r="G443" s="10" t="s">
        <v>337</v>
      </c>
      <c r="H443" s="10" t="s">
        <v>1553</v>
      </c>
      <c r="I443" s="10" t="s">
        <v>625</v>
      </c>
      <c r="J443" s="11">
        <v>927376065</v>
      </c>
      <c r="K443" s="11"/>
      <c r="L443" s="10" t="s">
        <v>1554</v>
      </c>
      <c r="M443" s="10" t="s">
        <v>58</v>
      </c>
      <c r="N443" s="10" t="s">
        <v>414</v>
      </c>
      <c r="O443" s="10">
        <v>2007</v>
      </c>
      <c r="P443" s="8" t="s">
        <v>1120</v>
      </c>
      <c r="Q443" s="12"/>
    </row>
    <row r="444" spans="1:17" x14ac:dyDescent="0.2">
      <c r="A444">
        <f t="shared" si="6"/>
        <v>1612001</v>
      </c>
      <c r="B444" s="7" t="s">
        <v>1555</v>
      </c>
      <c r="C444" s="8">
        <v>42705.597890972225</v>
      </c>
      <c r="D444" s="8">
        <v>42705</v>
      </c>
      <c r="E444" s="9" t="s">
        <v>39</v>
      </c>
      <c r="F444" s="10" t="s">
        <v>159</v>
      </c>
      <c r="G444" s="10" t="s">
        <v>40</v>
      </c>
      <c r="H444" s="10" t="s">
        <v>1556</v>
      </c>
      <c r="I444" s="10" t="s">
        <v>263</v>
      </c>
      <c r="J444" s="11">
        <v>898187211</v>
      </c>
      <c r="K444" s="11"/>
      <c r="L444" s="10" t="s">
        <v>1557</v>
      </c>
      <c r="M444" s="10" t="s">
        <v>58</v>
      </c>
      <c r="N444" s="10" t="s">
        <v>414</v>
      </c>
      <c r="O444" s="10"/>
      <c r="P444" s="8"/>
      <c r="Q444" s="12"/>
    </row>
    <row r="445" spans="1:17" x14ac:dyDescent="0.2">
      <c r="A445">
        <f t="shared" si="6"/>
        <v>1612002</v>
      </c>
      <c r="B445" s="7" t="s">
        <v>1558</v>
      </c>
      <c r="C445" s="8">
        <v>42705.628620370371</v>
      </c>
      <c r="D445" s="8">
        <v>42724</v>
      </c>
      <c r="E445" s="9">
        <v>18.371379629628791</v>
      </c>
      <c r="F445" s="10" t="s">
        <v>16</v>
      </c>
      <c r="G445" s="10" t="s">
        <v>207</v>
      </c>
      <c r="H445" s="10" t="s">
        <v>1559</v>
      </c>
      <c r="I445" s="10" t="s">
        <v>243</v>
      </c>
      <c r="J445" s="11">
        <v>863776212</v>
      </c>
      <c r="K445" s="11"/>
      <c r="L445" s="10" t="s">
        <v>1560</v>
      </c>
      <c r="M445" s="10" t="s">
        <v>47</v>
      </c>
      <c r="N445" s="10" t="s">
        <v>209</v>
      </c>
      <c r="O445" s="10">
        <v>2011</v>
      </c>
      <c r="P445" s="8">
        <v>42986</v>
      </c>
      <c r="Q445" s="12" t="s">
        <v>1561</v>
      </c>
    </row>
    <row r="446" spans="1:17" x14ac:dyDescent="0.2">
      <c r="A446">
        <f t="shared" si="6"/>
        <v>1612003</v>
      </c>
      <c r="B446" s="7" t="s">
        <v>1562</v>
      </c>
      <c r="C446" s="8">
        <v>42707.714337152778</v>
      </c>
      <c r="D446" s="8"/>
      <c r="E446" s="9" t="s">
        <v>37</v>
      </c>
      <c r="F446" s="10" t="s">
        <v>16</v>
      </c>
      <c r="G446" s="10" t="s">
        <v>207</v>
      </c>
      <c r="H446" s="10" t="s">
        <v>1563</v>
      </c>
      <c r="I446" s="10" t="s">
        <v>1564</v>
      </c>
      <c r="J446" s="11">
        <v>860778145</v>
      </c>
      <c r="K446" s="11">
        <v>870431628</v>
      </c>
      <c r="L446" s="10" t="s">
        <v>1565</v>
      </c>
      <c r="M446" s="10" t="s">
        <v>58</v>
      </c>
      <c r="N446" s="10" t="s">
        <v>717</v>
      </c>
      <c r="O446" s="10">
        <v>2010</v>
      </c>
      <c r="P446" s="8">
        <v>42729</v>
      </c>
      <c r="Q446" s="12" t="s">
        <v>1566</v>
      </c>
    </row>
    <row r="447" spans="1:17" x14ac:dyDescent="0.2">
      <c r="A447">
        <f t="shared" si="6"/>
        <v>1612004</v>
      </c>
      <c r="B447" s="7" t="s">
        <v>1567</v>
      </c>
      <c r="C447" s="8">
        <v>42710.383723263891</v>
      </c>
      <c r="D447" s="8"/>
      <c r="E447" s="9" t="s">
        <v>37</v>
      </c>
      <c r="F447" s="10" t="s">
        <v>16</v>
      </c>
      <c r="G447" s="10" t="s">
        <v>337</v>
      </c>
      <c r="H447" s="10" t="s">
        <v>1568</v>
      </c>
      <c r="I447" s="10" t="s">
        <v>222</v>
      </c>
      <c r="J447" s="11">
        <v>886836555</v>
      </c>
      <c r="K447" s="11"/>
      <c r="L447" s="10" t="s">
        <v>1569</v>
      </c>
      <c r="M447" s="10" t="s">
        <v>47</v>
      </c>
      <c r="N447" s="10" t="s">
        <v>212</v>
      </c>
      <c r="O447" s="10">
        <v>2013</v>
      </c>
      <c r="P447" s="8">
        <v>42938</v>
      </c>
      <c r="Q447" s="12" t="s">
        <v>540</v>
      </c>
    </row>
    <row r="448" spans="1:17" x14ac:dyDescent="0.2">
      <c r="A448">
        <f t="shared" si="6"/>
        <v>1612005</v>
      </c>
      <c r="B448" s="7" t="s">
        <v>1570</v>
      </c>
      <c r="C448" s="8">
        <v>42710.410526041669</v>
      </c>
      <c r="D448" s="8">
        <v>42728</v>
      </c>
      <c r="E448" s="9" t="s">
        <v>39</v>
      </c>
      <c r="F448" s="10" t="s">
        <v>16</v>
      </c>
      <c r="G448" s="10" t="s">
        <v>337</v>
      </c>
      <c r="H448" s="10" t="s">
        <v>1571</v>
      </c>
      <c r="I448" s="10" t="s">
        <v>254</v>
      </c>
      <c r="J448" s="11">
        <v>818431511</v>
      </c>
      <c r="K448" s="11"/>
      <c r="L448" s="10" t="s">
        <v>1572</v>
      </c>
      <c r="M448" s="10" t="s">
        <v>47</v>
      </c>
      <c r="N448" s="10" t="s">
        <v>51</v>
      </c>
      <c r="O448" s="10">
        <v>2010</v>
      </c>
      <c r="P448" s="8">
        <v>42121</v>
      </c>
      <c r="Q448" s="12" t="s">
        <v>251</v>
      </c>
    </row>
    <row r="449" spans="1:17" x14ac:dyDescent="0.2">
      <c r="A449">
        <f t="shared" si="6"/>
        <v>1612006</v>
      </c>
      <c r="B449" s="7" t="s">
        <v>1573</v>
      </c>
      <c r="C449" s="8">
        <v>42711.680239814814</v>
      </c>
      <c r="D449" s="8"/>
      <c r="E449" s="9" t="s">
        <v>37</v>
      </c>
      <c r="F449" s="10" t="s">
        <v>16</v>
      </c>
      <c r="G449" s="10" t="s">
        <v>337</v>
      </c>
      <c r="H449" s="10" t="s">
        <v>1574</v>
      </c>
      <c r="I449" s="10" t="s">
        <v>506</v>
      </c>
      <c r="J449" s="11">
        <v>984573719</v>
      </c>
      <c r="K449" s="11"/>
      <c r="L449" s="10" t="s">
        <v>1575</v>
      </c>
      <c r="M449" s="10" t="s">
        <v>47</v>
      </c>
      <c r="N449" s="10" t="s">
        <v>51</v>
      </c>
      <c r="O449" s="10">
        <v>2009</v>
      </c>
      <c r="P449" s="8">
        <v>42987</v>
      </c>
      <c r="Q449" s="12" t="s">
        <v>256</v>
      </c>
    </row>
    <row r="450" spans="1:17" x14ac:dyDescent="0.2">
      <c r="A450">
        <f t="shared" si="6"/>
        <v>1612007</v>
      </c>
      <c r="B450" s="7" t="s">
        <v>1576</v>
      </c>
      <c r="C450" s="8">
        <v>42712.719776967591</v>
      </c>
      <c r="D450" s="8"/>
      <c r="E450" s="9" t="s">
        <v>37</v>
      </c>
      <c r="F450" s="10" t="s">
        <v>16</v>
      </c>
      <c r="G450" s="10" t="s">
        <v>207</v>
      </c>
      <c r="H450" s="10" t="s">
        <v>1577</v>
      </c>
      <c r="I450" s="10" t="s">
        <v>233</v>
      </c>
      <c r="J450" s="11">
        <v>824992957</v>
      </c>
      <c r="K450" s="11"/>
      <c r="L450" s="10" t="s">
        <v>1578</v>
      </c>
      <c r="M450" s="10" t="s">
        <v>58</v>
      </c>
      <c r="N450" s="10" t="s">
        <v>717</v>
      </c>
      <c r="O450" s="10">
        <v>2007</v>
      </c>
      <c r="P450" s="8" t="s">
        <v>1120</v>
      </c>
      <c r="Q450" s="12"/>
    </row>
    <row r="451" spans="1:17" x14ac:dyDescent="0.2">
      <c r="A451">
        <f t="shared" si="6"/>
        <v>1612008</v>
      </c>
      <c r="B451" s="7" t="s">
        <v>1579</v>
      </c>
      <c r="C451" s="8">
        <v>42713.734777083337</v>
      </c>
      <c r="D451" s="8">
        <v>42728</v>
      </c>
      <c r="E451" s="9">
        <v>14.265222916663333</v>
      </c>
      <c r="F451" s="10" t="s">
        <v>16</v>
      </c>
      <c r="G451" s="10" t="s">
        <v>337</v>
      </c>
      <c r="H451" s="10" t="s">
        <v>1580</v>
      </c>
      <c r="I451" s="10" t="s">
        <v>233</v>
      </c>
      <c r="J451" s="11">
        <v>819117735</v>
      </c>
      <c r="K451" s="11"/>
      <c r="L451" s="10" t="s">
        <v>1581</v>
      </c>
      <c r="M451" s="10" t="s">
        <v>1582</v>
      </c>
      <c r="N451" s="10" t="s">
        <v>1583</v>
      </c>
      <c r="O451" s="10">
        <v>2013</v>
      </c>
      <c r="P451" s="8">
        <v>42833</v>
      </c>
      <c r="Q451" s="12" t="s">
        <v>217</v>
      </c>
    </row>
    <row r="452" spans="1:17" x14ac:dyDescent="0.2">
      <c r="A452">
        <f t="shared" ref="A452:A515" si="7">VALUE(B452)</f>
        <v>1612009</v>
      </c>
      <c r="B452" s="7" t="s">
        <v>1584</v>
      </c>
      <c r="C452" s="8">
        <v>42713.740986226854</v>
      </c>
      <c r="D452" s="8">
        <v>42730</v>
      </c>
      <c r="E452" s="9">
        <v>16.259013773145853</v>
      </c>
      <c r="F452" s="10" t="s">
        <v>16</v>
      </c>
      <c r="G452" s="10" t="s">
        <v>337</v>
      </c>
      <c r="H452" s="10" t="s">
        <v>1585</v>
      </c>
      <c r="I452" s="10" t="s">
        <v>254</v>
      </c>
      <c r="J452" s="11">
        <v>972084605</v>
      </c>
      <c r="K452" s="11">
        <v>957252788</v>
      </c>
      <c r="L452" s="10" t="s">
        <v>1586</v>
      </c>
      <c r="M452" s="10" t="s">
        <v>54</v>
      </c>
      <c r="N452" s="10" t="s">
        <v>134</v>
      </c>
      <c r="O452" s="10">
        <v>2012</v>
      </c>
      <c r="P452" s="8">
        <v>43040</v>
      </c>
      <c r="Q452" s="12" t="s">
        <v>292</v>
      </c>
    </row>
    <row r="453" spans="1:17" x14ac:dyDescent="0.2">
      <c r="A453">
        <f t="shared" si="7"/>
        <v>1612010</v>
      </c>
      <c r="B453" s="7" t="s">
        <v>1587</v>
      </c>
      <c r="C453" s="8">
        <v>42714.716111689813</v>
      </c>
      <c r="D453" s="8">
        <v>42726</v>
      </c>
      <c r="E453" s="9">
        <v>11.28388831018674</v>
      </c>
      <c r="F453" s="10" t="s">
        <v>16</v>
      </c>
      <c r="G453" s="10" t="s">
        <v>207</v>
      </c>
      <c r="H453" s="10" t="s">
        <v>1588</v>
      </c>
      <c r="I453" s="10" t="s">
        <v>305</v>
      </c>
      <c r="J453" s="11">
        <v>806383394</v>
      </c>
      <c r="K453" s="11"/>
      <c r="L453" s="10" t="s">
        <v>1589</v>
      </c>
      <c r="M453" s="10" t="s">
        <v>58</v>
      </c>
      <c r="N453" s="10" t="s">
        <v>717</v>
      </c>
      <c r="O453" s="10">
        <v>2015</v>
      </c>
      <c r="P453" s="8">
        <v>42708</v>
      </c>
      <c r="Q453" s="12" t="s">
        <v>1143</v>
      </c>
    </row>
    <row r="454" spans="1:17" x14ac:dyDescent="0.2">
      <c r="A454">
        <f t="shared" si="7"/>
        <v>1612011</v>
      </c>
      <c r="B454" s="7" t="s">
        <v>1590</v>
      </c>
      <c r="C454" s="8">
        <v>42716.718944791668</v>
      </c>
      <c r="D454" s="8"/>
      <c r="E454" s="9" t="s">
        <v>37</v>
      </c>
      <c r="F454" s="10" t="s">
        <v>16</v>
      </c>
      <c r="G454" s="10" t="s">
        <v>225</v>
      </c>
      <c r="H454" s="10" t="s">
        <v>1591</v>
      </c>
      <c r="I454" s="10" t="s">
        <v>215</v>
      </c>
      <c r="J454" s="11">
        <v>996284593</v>
      </c>
      <c r="K454" s="11"/>
      <c r="L454" s="10" t="s">
        <v>1592</v>
      </c>
      <c r="M454" s="10" t="s">
        <v>54</v>
      </c>
      <c r="N454" s="10" t="s">
        <v>72</v>
      </c>
      <c r="O454" s="10">
        <v>2012</v>
      </c>
      <c r="P454" s="8" t="s">
        <v>1120</v>
      </c>
      <c r="Q454" s="12"/>
    </row>
    <row r="455" spans="1:17" x14ac:dyDescent="0.2">
      <c r="A455">
        <f t="shared" si="7"/>
        <v>1612012</v>
      </c>
      <c r="B455" s="7" t="s">
        <v>1593</v>
      </c>
      <c r="C455" s="8">
        <v>42717.411958101853</v>
      </c>
      <c r="D455" s="8">
        <v>42731</v>
      </c>
      <c r="E455" s="9">
        <v>13.588041898146912</v>
      </c>
      <c r="F455" s="10" t="s">
        <v>16</v>
      </c>
      <c r="G455" s="10" t="s">
        <v>202</v>
      </c>
      <c r="H455" s="10" t="s">
        <v>1594</v>
      </c>
      <c r="I455" s="10" t="s">
        <v>286</v>
      </c>
      <c r="J455" s="11">
        <v>886169356</v>
      </c>
      <c r="K455" s="11"/>
      <c r="L455" s="10" t="s">
        <v>1595</v>
      </c>
      <c r="M455" s="10" t="s">
        <v>47</v>
      </c>
      <c r="N455" s="10" t="s">
        <v>106</v>
      </c>
      <c r="O455" s="10"/>
      <c r="P455" s="8" t="s">
        <v>1120</v>
      </c>
      <c r="Q455" s="12"/>
    </row>
    <row r="456" spans="1:17" x14ac:dyDescent="0.2">
      <c r="A456">
        <f t="shared" si="7"/>
        <v>1612013</v>
      </c>
      <c r="B456" s="7" t="s">
        <v>1596</v>
      </c>
      <c r="C456" s="8">
        <v>42717.687732754632</v>
      </c>
      <c r="D456" s="8">
        <v>42731</v>
      </c>
      <c r="E456" s="9">
        <v>13.312267245368275</v>
      </c>
      <c r="F456" s="10" t="s">
        <v>16</v>
      </c>
      <c r="G456" s="10" t="s">
        <v>202</v>
      </c>
      <c r="H456" s="10" t="s">
        <v>1597</v>
      </c>
      <c r="I456" s="10" t="s">
        <v>233</v>
      </c>
      <c r="J456" s="11">
        <v>865192717</v>
      </c>
      <c r="K456" s="11">
        <v>898172719</v>
      </c>
      <c r="L456" s="10" t="s">
        <v>1598</v>
      </c>
      <c r="M456" s="10" t="s">
        <v>47</v>
      </c>
      <c r="N456" s="10" t="s">
        <v>106</v>
      </c>
      <c r="O456" s="10">
        <v>2010</v>
      </c>
      <c r="P456" s="8">
        <v>42505</v>
      </c>
      <c r="Q456" s="12" t="s">
        <v>540</v>
      </c>
    </row>
    <row r="457" spans="1:17" x14ac:dyDescent="0.2">
      <c r="A457">
        <f t="shared" si="7"/>
        <v>1612014</v>
      </c>
      <c r="B457" s="7" t="s">
        <v>1599</v>
      </c>
      <c r="C457" s="8">
        <v>42717.719856018521</v>
      </c>
      <c r="D457" s="8">
        <v>42733</v>
      </c>
      <c r="E457" s="9">
        <v>15.280143981479341</v>
      </c>
      <c r="F457" s="10" t="s">
        <v>16</v>
      </c>
      <c r="G457" s="10" t="s">
        <v>40</v>
      </c>
      <c r="H457" s="10" t="s">
        <v>1600</v>
      </c>
      <c r="I457" s="10" t="s">
        <v>1601</v>
      </c>
      <c r="J457" s="11">
        <v>800238465</v>
      </c>
      <c r="K457" s="11"/>
      <c r="L457" s="10" t="s">
        <v>1602</v>
      </c>
      <c r="M457" s="10" t="s">
        <v>47</v>
      </c>
      <c r="N457" s="10" t="s">
        <v>51</v>
      </c>
      <c r="O457" s="10">
        <v>2013</v>
      </c>
      <c r="P457" s="8">
        <v>42851</v>
      </c>
      <c r="Q457" s="12" t="s">
        <v>251</v>
      </c>
    </row>
    <row r="458" spans="1:17" x14ac:dyDescent="0.2">
      <c r="A458">
        <f t="shared" si="7"/>
        <v>1612015</v>
      </c>
      <c r="B458" s="7" t="s">
        <v>1603</v>
      </c>
      <c r="C458" s="8">
        <v>42719.635112152777</v>
      </c>
      <c r="D458" s="8"/>
      <c r="E458" s="9" t="s">
        <v>37</v>
      </c>
      <c r="F458" s="10" t="s">
        <v>16</v>
      </c>
      <c r="G458" s="10" t="s">
        <v>337</v>
      </c>
      <c r="H458" s="10" t="s">
        <v>1604</v>
      </c>
      <c r="I458" s="10" t="s">
        <v>1192</v>
      </c>
      <c r="J458" s="11">
        <v>806510700</v>
      </c>
      <c r="K458" s="11"/>
      <c r="L458" s="10" t="s">
        <v>1605</v>
      </c>
      <c r="M458" s="10" t="s">
        <v>42</v>
      </c>
      <c r="N458" s="10" t="s">
        <v>75</v>
      </c>
      <c r="O458" s="10">
        <v>2013</v>
      </c>
      <c r="P458" s="8">
        <v>42916</v>
      </c>
      <c r="Q458" s="12" t="s">
        <v>229</v>
      </c>
    </row>
    <row r="459" spans="1:17" x14ac:dyDescent="0.2">
      <c r="A459">
        <f t="shared" si="7"/>
        <v>1612016</v>
      </c>
      <c r="B459" s="7" t="s">
        <v>1606</v>
      </c>
      <c r="C459" s="8">
        <v>42720.65616053241</v>
      </c>
      <c r="D459" s="8">
        <v>42731</v>
      </c>
      <c r="E459" s="9">
        <v>10.343839467590442</v>
      </c>
      <c r="F459" s="10" t="s">
        <v>16</v>
      </c>
      <c r="G459" s="10" t="s">
        <v>207</v>
      </c>
      <c r="H459" s="10" t="s">
        <v>1607</v>
      </c>
      <c r="I459" s="10" t="s">
        <v>222</v>
      </c>
      <c r="J459" s="11">
        <v>942548139</v>
      </c>
      <c r="K459" s="11"/>
      <c r="L459" s="10" t="s">
        <v>1608</v>
      </c>
      <c r="M459" s="10" t="s">
        <v>47</v>
      </c>
      <c r="N459" s="10" t="s">
        <v>51</v>
      </c>
      <c r="O459" s="10">
        <v>2010</v>
      </c>
      <c r="P459" s="8">
        <v>42921</v>
      </c>
      <c r="Q459" s="12" t="s">
        <v>256</v>
      </c>
    </row>
    <row r="460" spans="1:17" x14ac:dyDescent="0.2">
      <c r="A460">
        <f t="shared" si="7"/>
        <v>1612017</v>
      </c>
      <c r="B460" s="7" t="s">
        <v>1609</v>
      </c>
      <c r="C460" s="8">
        <v>42721.879471875</v>
      </c>
      <c r="D460" s="8"/>
      <c r="E460" s="9" t="s">
        <v>37</v>
      </c>
      <c r="F460" s="10" t="s">
        <v>159</v>
      </c>
      <c r="G460" s="10" t="s">
        <v>202</v>
      </c>
      <c r="H460" s="10" t="s">
        <v>1610</v>
      </c>
      <c r="I460" s="10" t="s">
        <v>1611</v>
      </c>
      <c r="J460" s="11">
        <v>839611874</v>
      </c>
      <c r="K460" s="11"/>
      <c r="L460" s="10" t="s">
        <v>1612</v>
      </c>
      <c r="M460" s="10" t="s">
        <v>47</v>
      </c>
      <c r="N460" s="10" t="s">
        <v>209</v>
      </c>
      <c r="O460" s="10">
        <v>2005</v>
      </c>
      <c r="P460" s="8">
        <v>42655</v>
      </c>
      <c r="Q460" s="12" t="s">
        <v>592</v>
      </c>
    </row>
    <row r="461" spans="1:17" x14ac:dyDescent="0.2">
      <c r="A461">
        <f t="shared" si="7"/>
        <v>1701001</v>
      </c>
      <c r="B461" s="7" t="s">
        <v>2435</v>
      </c>
      <c r="C461" s="8"/>
      <c r="D461" s="8"/>
      <c r="E461" s="9" t="s">
        <v>37</v>
      </c>
      <c r="F461" s="10" t="s">
        <v>16</v>
      </c>
      <c r="G461" s="10" t="s">
        <v>207</v>
      </c>
      <c r="H461" s="10" t="s">
        <v>3159</v>
      </c>
      <c r="I461" s="10"/>
      <c r="J461" s="11">
        <v>833816926</v>
      </c>
      <c r="K461" s="11"/>
      <c r="L461" s="10" t="s">
        <v>3160</v>
      </c>
      <c r="M461" s="10" t="s">
        <v>58</v>
      </c>
      <c r="N461" s="10" t="s">
        <v>59</v>
      </c>
      <c r="O461" s="10">
        <v>2015</v>
      </c>
      <c r="P461" s="8">
        <v>43010</v>
      </c>
      <c r="Q461" s="12" t="s">
        <v>366</v>
      </c>
    </row>
    <row r="462" spans="1:17" x14ac:dyDescent="0.2">
      <c r="A462">
        <f t="shared" si="7"/>
        <v>1701002</v>
      </c>
      <c r="B462" s="7" t="s">
        <v>2436</v>
      </c>
      <c r="C462" s="8"/>
      <c r="D462" s="8"/>
      <c r="E462" s="9" t="s">
        <v>37</v>
      </c>
      <c r="F462" s="10" t="s">
        <v>16</v>
      </c>
      <c r="G462" s="10" t="s">
        <v>207</v>
      </c>
      <c r="H462" s="10" t="s">
        <v>3161</v>
      </c>
      <c r="I462" s="10"/>
      <c r="J462" s="11">
        <v>808145938</v>
      </c>
      <c r="K462" s="11">
        <v>870700499</v>
      </c>
      <c r="L462" s="10" t="s">
        <v>3162</v>
      </c>
      <c r="M462" s="10" t="s">
        <v>54</v>
      </c>
      <c r="N462" s="10" t="s">
        <v>194</v>
      </c>
      <c r="O462" s="10">
        <v>2013</v>
      </c>
      <c r="P462" s="8">
        <v>42815</v>
      </c>
      <c r="Q462" s="12" t="s">
        <v>256</v>
      </c>
    </row>
    <row r="463" spans="1:17" x14ac:dyDescent="0.2">
      <c r="A463">
        <f t="shared" si="7"/>
        <v>1701003</v>
      </c>
      <c r="B463" s="7" t="s">
        <v>2437</v>
      </c>
      <c r="C463" s="8"/>
      <c r="D463" s="8"/>
      <c r="E463" s="9" t="s">
        <v>37</v>
      </c>
      <c r="F463" s="10" t="s">
        <v>16</v>
      </c>
      <c r="G463" s="10" t="s">
        <v>207</v>
      </c>
      <c r="H463" s="10" t="s">
        <v>3163</v>
      </c>
      <c r="I463" s="10" t="s">
        <v>263</v>
      </c>
      <c r="J463" s="11">
        <v>991276039</v>
      </c>
      <c r="K463" s="11">
        <v>23951075</v>
      </c>
      <c r="L463" s="10" t="s">
        <v>3164</v>
      </c>
      <c r="M463" s="10" t="s">
        <v>58</v>
      </c>
      <c r="N463" s="10" t="s">
        <v>647</v>
      </c>
      <c r="O463" s="10">
        <v>2008</v>
      </c>
      <c r="P463" s="8">
        <v>43022</v>
      </c>
      <c r="Q463" s="12" t="s">
        <v>217</v>
      </c>
    </row>
    <row r="464" spans="1:17" x14ac:dyDescent="0.2">
      <c r="A464">
        <f t="shared" si="7"/>
        <v>1701004</v>
      </c>
      <c r="B464" s="7" t="s">
        <v>2438</v>
      </c>
      <c r="C464" s="8"/>
      <c r="D464" s="8"/>
      <c r="E464" s="9" t="s">
        <v>37</v>
      </c>
      <c r="F464" s="10" t="s">
        <v>16</v>
      </c>
      <c r="G464" s="10" t="s">
        <v>202</v>
      </c>
      <c r="H464" s="10" t="s">
        <v>3165</v>
      </c>
      <c r="I464" s="10" t="s">
        <v>254</v>
      </c>
      <c r="J464" s="11">
        <v>869887997</v>
      </c>
      <c r="K464" s="11">
        <v>940513824</v>
      </c>
      <c r="L464" s="10" t="s">
        <v>1968</v>
      </c>
      <c r="M464" s="10" t="s">
        <v>47</v>
      </c>
      <c r="N464" s="10" t="s">
        <v>209</v>
      </c>
      <c r="O464" s="10">
        <v>2008</v>
      </c>
      <c r="P464" s="8">
        <v>42464</v>
      </c>
      <c r="Q464" s="12" t="s">
        <v>366</v>
      </c>
    </row>
    <row r="465" spans="1:17" x14ac:dyDescent="0.2">
      <c r="A465">
        <f t="shared" si="7"/>
        <v>1701005</v>
      </c>
      <c r="B465" s="7" t="s">
        <v>2439</v>
      </c>
      <c r="C465" s="8"/>
      <c r="D465" s="8"/>
      <c r="E465" s="9" t="s">
        <v>37</v>
      </c>
      <c r="F465" s="10" t="s">
        <v>16</v>
      </c>
      <c r="G465" s="10" t="s">
        <v>207</v>
      </c>
      <c r="H465" s="10" t="s">
        <v>3166</v>
      </c>
      <c r="I465" s="10" t="s">
        <v>457</v>
      </c>
      <c r="J465" s="11">
        <v>875535415</v>
      </c>
      <c r="K465" s="11"/>
      <c r="L465" s="10" t="s">
        <v>3167</v>
      </c>
      <c r="M465" s="10" t="s">
        <v>42</v>
      </c>
      <c r="N465" s="10" t="s">
        <v>75</v>
      </c>
      <c r="O465" s="10">
        <v>2013</v>
      </c>
      <c r="P465" s="8">
        <v>42765</v>
      </c>
      <c r="Q465" s="12" t="s">
        <v>260</v>
      </c>
    </row>
    <row r="466" spans="1:17" x14ac:dyDescent="0.2">
      <c r="A466">
        <f t="shared" si="7"/>
        <v>1701006</v>
      </c>
      <c r="B466" s="7" t="s">
        <v>2440</v>
      </c>
      <c r="C466" s="8"/>
      <c r="D466" s="8"/>
      <c r="E466" s="9" t="s">
        <v>37</v>
      </c>
      <c r="F466" s="10" t="s">
        <v>16</v>
      </c>
      <c r="G466" s="10" t="s">
        <v>202</v>
      </c>
      <c r="H466" s="10" t="s">
        <v>3168</v>
      </c>
      <c r="I466" s="10" t="s">
        <v>222</v>
      </c>
      <c r="J466" s="11">
        <v>864084984</v>
      </c>
      <c r="K466" s="11"/>
      <c r="L466" s="10" t="s">
        <v>3169</v>
      </c>
      <c r="M466" s="10" t="s">
        <v>42</v>
      </c>
      <c r="N466" s="10" t="s">
        <v>75</v>
      </c>
      <c r="O466" s="10">
        <v>2010</v>
      </c>
      <c r="P466" s="8">
        <v>42857</v>
      </c>
      <c r="Q466" s="12" t="s">
        <v>256</v>
      </c>
    </row>
    <row r="467" spans="1:17" x14ac:dyDescent="0.2">
      <c r="A467">
        <f t="shared" si="7"/>
        <v>1701007</v>
      </c>
      <c r="B467" s="7" t="s">
        <v>2441</v>
      </c>
      <c r="C467" s="8"/>
      <c r="D467" s="8"/>
      <c r="E467" s="9" t="s">
        <v>37</v>
      </c>
      <c r="F467" s="10" t="s">
        <v>16</v>
      </c>
      <c r="G467" s="10" t="s">
        <v>337</v>
      </c>
      <c r="H467" s="10" t="s">
        <v>1613</v>
      </c>
      <c r="I467" s="10"/>
      <c r="J467" s="11">
        <v>847233455</v>
      </c>
      <c r="K467" s="11"/>
      <c r="L467" s="10" t="s">
        <v>1614</v>
      </c>
      <c r="M467" s="10" t="s">
        <v>87</v>
      </c>
      <c r="N467" s="10">
        <v>3</v>
      </c>
      <c r="O467" s="10">
        <v>2006</v>
      </c>
      <c r="P467" s="8">
        <v>42750</v>
      </c>
      <c r="Q467" s="12" t="s">
        <v>520</v>
      </c>
    </row>
    <row r="468" spans="1:17" x14ac:dyDescent="0.2">
      <c r="A468">
        <f t="shared" si="7"/>
        <v>1701008</v>
      </c>
      <c r="B468" s="7" t="s">
        <v>2442</v>
      </c>
      <c r="C468" s="8"/>
      <c r="D468" s="8"/>
      <c r="E468" s="9" t="s">
        <v>37</v>
      </c>
      <c r="F468" s="10" t="s">
        <v>16</v>
      </c>
      <c r="G468" s="10" t="s">
        <v>225</v>
      </c>
      <c r="H468" s="10" t="s">
        <v>3170</v>
      </c>
      <c r="I468" s="10" t="s">
        <v>286</v>
      </c>
      <c r="J468" s="11">
        <v>815710299</v>
      </c>
      <c r="K468" s="11"/>
      <c r="L468" s="10" t="s">
        <v>3171</v>
      </c>
      <c r="M468" s="10" t="s">
        <v>126</v>
      </c>
      <c r="N468" s="10" t="s">
        <v>127</v>
      </c>
      <c r="O468" s="10">
        <v>2007</v>
      </c>
      <c r="P468" s="8" t="s">
        <v>1120</v>
      </c>
      <c r="Q468" s="12"/>
    </row>
    <row r="469" spans="1:17" x14ac:dyDescent="0.2">
      <c r="A469">
        <f t="shared" si="7"/>
        <v>1701009</v>
      </c>
      <c r="B469" s="7" t="s">
        <v>2443</v>
      </c>
      <c r="C469" s="8"/>
      <c r="D469" s="8"/>
      <c r="E469" s="9" t="s">
        <v>37</v>
      </c>
      <c r="F469" s="10" t="s">
        <v>16</v>
      </c>
      <c r="G469" s="10" t="s">
        <v>225</v>
      </c>
      <c r="H469" s="10" t="s">
        <v>1615</v>
      </c>
      <c r="I469" s="10"/>
      <c r="J469" s="11">
        <v>9098625279</v>
      </c>
      <c r="K469" s="11">
        <v>954762885</v>
      </c>
      <c r="L469" s="10" t="s">
        <v>1616</v>
      </c>
      <c r="M469" s="10" t="s">
        <v>42</v>
      </c>
      <c r="N469" s="10" t="s">
        <v>84</v>
      </c>
      <c r="O469" s="10">
        <v>2013</v>
      </c>
      <c r="P469" s="8" t="s">
        <v>1120</v>
      </c>
      <c r="Q469" s="12"/>
    </row>
    <row r="470" spans="1:17" x14ac:dyDescent="0.2">
      <c r="A470">
        <f t="shared" si="7"/>
        <v>1701010</v>
      </c>
      <c r="B470" s="7" t="s">
        <v>2444</v>
      </c>
      <c r="C470" s="8"/>
      <c r="D470" s="8"/>
      <c r="E470" s="9" t="s">
        <v>37</v>
      </c>
      <c r="F470" s="10" t="s">
        <v>16</v>
      </c>
      <c r="G470" s="10" t="s">
        <v>202</v>
      </c>
      <c r="H470" s="10" t="s">
        <v>1617</v>
      </c>
      <c r="I470" s="10" t="s">
        <v>286</v>
      </c>
      <c r="J470" s="11">
        <v>890092153</v>
      </c>
      <c r="K470" s="11">
        <v>890154329</v>
      </c>
      <c r="L470" s="10" t="s">
        <v>1618</v>
      </c>
      <c r="M470" s="10" t="s">
        <v>47</v>
      </c>
      <c r="N470" s="10" t="s">
        <v>106</v>
      </c>
      <c r="O470" s="10">
        <v>2007</v>
      </c>
      <c r="P470" s="8">
        <v>43002</v>
      </c>
      <c r="Q470" s="12" t="s">
        <v>763</v>
      </c>
    </row>
    <row r="471" spans="1:17" x14ac:dyDescent="0.2">
      <c r="A471">
        <f t="shared" si="7"/>
        <v>1701011</v>
      </c>
      <c r="B471" s="7" t="s">
        <v>2445</v>
      </c>
      <c r="C471" s="8"/>
      <c r="D471" s="8"/>
      <c r="E471" s="9" t="s">
        <v>37</v>
      </c>
      <c r="F471" s="10" t="s">
        <v>16</v>
      </c>
      <c r="G471" s="10" t="s">
        <v>303</v>
      </c>
      <c r="H471" s="10" t="s">
        <v>1619</v>
      </c>
      <c r="I471" s="10" t="s">
        <v>263</v>
      </c>
      <c r="J471" s="11">
        <v>899822449</v>
      </c>
      <c r="K471" s="11"/>
      <c r="L471" s="10" t="s">
        <v>1620</v>
      </c>
      <c r="M471" s="10" t="s">
        <v>87</v>
      </c>
      <c r="N471" s="10">
        <v>2</v>
      </c>
      <c r="O471" s="10">
        <v>2013</v>
      </c>
      <c r="P471" s="8">
        <v>42104</v>
      </c>
      <c r="Q471" s="12" t="s">
        <v>774</v>
      </c>
    </row>
    <row r="472" spans="1:17" x14ac:dyDescent="0.2">
      <c r="A472">
        <f t="shared" si="7"/>
        <v>1701012</v>
      </c>
      <c r="B472" s="7" t="s">
        <v>2446</v>
      </c>
      <c r="C472" s="8"/>
      <c r="D472" s="8"/>
      <c r="E472" s="9" t="s">
        <v>37</v>
      </c>
      <c r="F472" s="10" t="s">
        <v>16</v>
      </c>
      <c r="G472" s="10" t="s">
        <v>225</v>
      </c>
      <c r="H472" s="10" t="s">
        <v>755</v>
      </c>
      <c r="I472" s="10" t="s">
        <v>263</v>
      </c>
      <c r="J472" s="11">
        <v>891222680</v>
      </c>
      <c r="K472" s="11"/>
      <c r="L472" s="10" t="s">
        <v>1621</v>
      </c>
      <c r="M472" s="10" t="s">
        <v>87</v>
      </c>
      <c r="N472" s="10">
        <v>3</v>
      </c>
      <c r="O472" s="10">
        <v>2012</v>
      </c>
      <c r="P472" s="8">
        <v>42766</v>
      </c>
      <c r="Q472" s="12" t="s">
        <v>668</v>
      </c>
    </row>
    <row r="473" spans="1:17" x14ac:dyDescent="0.2">
      <c r="A473">
        <f t="shared" si="7"/>
        <v>1701013</v>
      </c>
      <c r="B473" s="7" t="s">
        <v>2447</v>
      </c>
      <c r="C473" s="8"/>
      <c r="D473" s="8"/>
      <c r="E473" s="9" t="s">
        <v>37</v>
      </c>
      <c r="F473" s="10" t="s">
        <v>16</v>
      </c>
      <c r="G473" s="10" t="s">
        <v>1729</v>
      </c>
      <c r="H473" s="10" t="s">
        <v>3172</v>
      </c>
      <c r="I473" s="10"/>
      <c r="J473" s="11">
        <v>877084654</v>
      </c>
      <c r="K473" s="11"/>
      <c r="L473" s="10" t="s">
        <v>3173</v>
      </c>
      <c r="M473" s="10" t="s">
        <v>47</v>
      </c>
      <c r="N473" s="10" t="s">
        <v>121</v>
      </c>
      <c r="O473" s="10">
        <v>2016</v>
      </c>
      <c r="P473" s="8" t="s">
        <v>1120</v>
      </c>
      <c r="Q473" s="12"/>
    </row>
    <row r="474" spans="1:17" x14ac:dyDescent="0.2">
      <c r="A474">
        <f t="shared" si="7"/>
        <v>1701014</v>
      </c>
      <c r="B474" s="7" t="s">
        <v>2448</v>
      </c>
      <c r="C474" s="8"/>
      <c r="D474" s="8"/>
      <c r="E474" s="9" t="s">
        <v>37</v>
      </c>
      <c r="F474" s="10" t="s">
        <v>16</v>
      </c>
      <c r="G474" s="10" t="s">
        <v>207</v>
      </c>
      <c r="H474" s="10" t="s">
        <v>3174</v>
      </c>
      <c r="I474" s="10" t="s">
        <v>286</v>
      </c>
      <c r="J474" s="11">
        <v>97234619</v>
      </c>
      <c r="K474" s="11">
        <v>871172730</v>
      </c>
      <c r="L474" s="10" t="s">
        <v>3175</v>
      </c>
      <c r="M474" s="10" t="s">
        <v>54</v>
      </c>
      <c r="N474" s="10" t="s">
        <v>134</v>
      </c>
      <c r="O474" s="10">
        <v>2013</v>
      </c>
      <c r="P474" s="8">
        <v>43040</v>
      </c>
      <c r="Q474" s="12" t="s">
        <v>909</v>
      </c>
    </row>
    <row r="475" spans="1:17" x14ac:dyDescent="0.2">
      <c r="A475">
        <f t="shared" si="7"/>
        <v>1701015</v>
      </c>
      <c r="B475" s="7" t="s">
        <v>2449</v>
      </c>
      <c r="C475" s="8"/>
      <c r="D475" s="8"/>
      <c r="E475" s="9" t="s">
        <v>37</v>
      </c>
      <c r="F475" s="10" t="s">
        <v>16</v>
      </c>
      <c r="G475" s="10" t="s">
        <v>207</v>
      </c>
      <c r="H475" s="10" t="s">
        <v>3176</v>
      </c>
      <c r="I475" s="10" t="s">
        <v>254</v>
      </c>
      <c r="J475" s="11"/>
      <c r="K475" s="11"/>
      <c r="L475" s="10" t="s">
        <v>3177</v>
      </c>
      <c r="M475" s="10" t="s">
        <v>54</v>
      </c>
      <c r="N475" s="10" t="s">
        <v>72</v>
      </c>
      <c r="O475" s="10">
        <v>5</v>
      </c>
      <c r="P475" s="8">
        <v>42851</v>
      </c>
      <c r="Q475" s="12" t="s">
        <v>246</v>
      </c>
    </row>
    <row r="476" spans="1:17" x14ac:dyDescent="0.2">
      <c r="A476">
        <f t="shared" si="7"/>
        <v>1701016</v>
      </c>
      <c r="B476" s="7" t="s">
        <v>2450</v>
      </c>
      <c r="C476" s="8"/>
      <c r="D476" s="8"/>
      <c r="E476" s="9" t="s">
        <v>37</v>
      </c>
      <c r="F476" s="10" t="s">
        <v>16</v>
      </c>
      <c r="G476" s="10" t="s">
        <v>207</v>
      </c>
      <c r="H476" s="10" t="s">
        <v>3178</v>
      </c>
      <c r="I476" s="10" t="s">
        <v>254</v>
      </c>
      <c r="J476" s="11">
        <v>801239650</v>
      </c>
      <c r="K476" s="11"/>
      <c r="L476" s="10" t="s">
        <v>249</v>
      </c>
      <c r="M476" s="10" t="s">
        <v>54</v>
      </c>
      <c r="N476" s="10" t="s">
        <v>72</v>
      </c>
      <c r="O476" s="10">
        <v>2013</v>
      </c>
      <c r="P476" s="8">
        <v>42896</v>
      </c>
      <c r="Q476" s="12" t="s">
        <v>335</v>
      </c>
    </row>
    <row r="477" spans="1:17" x14ac:dyDescent="0.2">
      <c r="A477">
        <f t="shared" si="7"/>
        <v>1701017</v>
      </c>
      <c r="B477" s="7" t="s">
        <v>2451</v>
      </c>
      <c r="C477" s="8"/>
      <c r="D477" s="8"/>
      <c r="E477" s="9" t="s">
        <v>37</v>
      </c>
      <c r="F477" s="10" t="s">
        <v>16</v>
      </c>
      <c r="G477" s="10" t="s">
        <v>202</v>
      </c>
      <c r="H477" s="10" t="s">
        <v>3179</v>
      </c>
      <c r="I477" s="10" t="s">
        <v>3180</v>
      </c>
      <c r="J477" s="11">
        <v>629453994</v>
      </c>
      <c r="K477" s="11"/>
      <c r="L477" s="10" t="s">
        <v>3181</v>
      </c>
      <c r="M477" s="10" t="s">
        <v>47</v>
      </c>
      <c r="N477" s="10" t="s">
        <v>48</v>
      </c>
      <c r="O477" s="10">
        <v>2010</v>
      </c>
      <c r="P477" s="8">
        <v>42786</v>
      </c>
      <c r="Q477" s="12" t="s">
        <v>499</v>
      </c>
    </row>
    <row r="478" spans="1:17" x14ac:dyDescent="0.2">
      <c r="A478">
        <f t="shared" si="7"/>
        <v>1701018</v>
      </c>
      <c r="B478" s="7" t="s">
        <v>2452</v>
      </c>
      <c r="C478" s="8"/>
      <c r="D478" s="8"/>
      <c r="E478" s="9" t="s">
        <v>37</v>
      </c>
      <c r="F478" s="10" t="s">
        <v>16</v>
      </c>
      <c r="G478" s="10" t="s">
        <v>207</v>
      </c>
      <c r="H478" s="10" t="s">
        <v>3182</v>
      </c>
      <c r="I478" s="10" t="s">
        <v>243</v>
      </c>
      <c r="J478" s="11">
        <v>896981602</v>
      </c>
      <c r="K478" s="11"/>
      <c r="L478" s="10" t="s">
        <v>3183</v>
      </c>
      <c r="M478" s="10" t="s">
        <v>58</v>
      </c>
      <c r="N478" s="10" t="s">
        <v>717</v>
      </c>
      <c r="O478" s="10">
        <v>2013</v>
      </c>
      <c r="P478" s="8">
        <v>42745</v>
      </c>
      <c r="Q478" s="12" t="s">
        <v>540</v>
      </c>
    </row>
    <row r="479" spans="1:17" x14ac:dyDescent="0.2">
      <c r="A479">
        <f t="shared" si="7"/>
        <v>1701019</v>
      </c>
      <c r="B479" s="7" t="s">
        <v>2453</v>
      </c>
      <c r="C479" s="8"/>
      <c r="D479" s="8"/>
      <c r="E479" s="9" t="s">
        <v>37</v>
      </c>
      <c r="F479" s="10" t="s">
        <v>16</v>
      </c>
      <c r="G479" s="10" t="s">
        <v>231</v>
      </c>
      <c r="H479" s="10" t="s">
        <v>3184</v>
      </c>
      <c r="I479" s="10" t="s">
        <v>305</v>
      </c>
      <c r="J479" s="11">
        <v>894879211</v>
      </c>
      <c r="K479" s="11"/>
      <c r="L479" s="10" t="s">
        <v>3185</v>
      </c>
      <c r="M479" s="10" t="s">
        <v>42</v>
      </c>
      <c r="N479" s="10" t="s">
        <v>84</v>
      </c>
      <c r="O479" s="10">
        <v>2012</v>
      </c>
      <c r="P479" s="8">
        <v>42803</v>
      </c>
      <c r="Q479" s="12" t="s">
        <v>540</v>
      </c>
    </row>
    <row r="480" spans="1:17" x14ac:dyDescent="0.2">
      <c r="A480">
        <f t="shared" si="7"/>
        <v>1701020</v>
      </c>
      <c r="B480" s="7" t="s">
        <v>2454</v>
      </c>
      <c r="C480" s="8"/>
      <c r="D480" s="8"/>
      <c r="E480" s="9" t="s">
        <v>37</v>
      </c>
      <c r="F480" s="10" t="s">
        <v>16</v>
      </c>
      <c r="G480" s="10" t="s">
        <v>225</v>
      </c>
      <c r="H480" s="10" t="s">
        <v>1969</v>
      </c>
      <c r="I480" s="10" t="s">
        <v>305</v>
      </c>
      <c r="J480" s="11">
        <v>879286872</v>
      </c>
      <c r="K480" s="11"/>
      <c r="L480" s="10" t="s">
        <v>1970</v>
      </c>
      <c r="M480" s="10" t="s">
        <v>58</v>
      </c>
      <c r="N480" s="10" t="s">
        <v>3186</v>
      </c>
      <c r="O480" s="10">
        <v>2008</v>
      </c>
      <c r="P480" s="8">
        <v>42885</v>
      </c>
      <c r="Q480" s="12" t="s">
        <v>256</v>
      </c>
    </row>
    <row r="481" spans="1:17" x14ac:dyDescent="0.2">
      <c r="A481">
        <f t="shared" si="7"/>
        <v>1701021</v>
      </c>
      <c r="B481" s="7" t="s">
        <v>2455</v>
      </c>
      <c r="C481" s="8"/>
      <c r="D481" s="8"/>
      <c r="E481" s="9" t="s">
        <v>37</v>
      </c>
      <c r="F481" s="10" t="s">
        <v>16</v>
      </c>
      <c r="G481" s="10" t="s">
        <v>1729</v>
      </c>
      <c r="H481" s="10" t="s">
        <v>3187</v>
      </c>
      <c r="I481" s="10" t="s">
        <v>233</v>
      </c>
      <c r="J481" s="11">
        <v>849396438</v>
      </c>
      <c r="K481" s="11"/>
      <c r="L481" s="10" t="s">
        <v>3188</v>
      </c>
      <c r="M481" s="10" t="s">
        <v>47</v>
      </c>
      <c r="N481" s="10" t="s">
        <v>51</v>
      </c>
      <c r="O481" s="10">
        <v>2010</v>
      </c>
      <c r="P481" s="8">
        <v>43041</v>
      </c>
      <c r="Q481" s="12" t="s">
        <v>520</v>
      </c>
    </row>
    <row r="482" spans="1:17" x14ac:dyDescent="0.2">
      <c r="A482">
        <f t="shared" si="7"/>
        <v>1701022</v>
      </c>
      <c r="B482" s="7" t="s">
        <v>2456</v>
      </c>
      <c r="C482" s="8"/>
      <c r="D482" s="8"/>
      <c r="E482" s="9" t="s">
        <v>37</v>
      </c>
      <c r="F482" s="10" t="s">
        <v>16</v>
      </c>
      <c r="G482" s="10" t="s">
        <v>207</v>
      </c>
      <c r="H482" s="10" t="s">
        <v>3189</v>
      </c>
      <c r="I482" s="10"/>
      <c r="J482" s="11">
        <v>881392865</v>
      </c>
      <c r="K482" s="11"/>
      <c r="L482" s="10" t="s">
        <v>3190</v>
      </c>
      <c r="M482" s="10" t="s">
        <v>109</v>
      </c>
      <c r="N482" s="10" t="s">
        <v>240</v>
      </c>
      <c r="O482" s="10">
        <v>2016</v>
      </c>
      <c r="P482" s="8">
        <v>42808</v>
      </c>
      <c r="Q482" s="12" t="s">
        <v>374</v>
      </c>
    </row>
    <row r="483" spans="1:17" x14ac:dyDescent="0.2">
      <c r="A483">
        <f t="shared" si="7"/>
        <v>1701023</v>
      </c>
      <c r="B483" s="7" t="s">
        <v>2457</v>
      </c>
      <c r="C483" s="8"/>
      <c r="D483" s="8"/>
      <c r="E483" s="9" t="s">
        <v>37</v>
      </c>
      <c r="F483" s="10" t="s">
        <v>16</v>
      </c>
      <c r="G483" s="10" t="s">
        <v>202</v>
      </c>
      <c r="H483" s="10" t="s">
        <v>1730</v>
      </c>
      <c r="I483" s="10"/>
      <c r="J483" s="11">
        <v>998278836</v>
      </c>
      <c r="K483" s="11"/>
      <c r="L483" s="10" t="s">
        <v>1731</v>
      </c>
      <c r="M483" s="10" t="s">
        <v>54</v>
      </c>
      <c r="N483" s="10" t="s">
        <v>72</v>
      </c>
      <c r="O483" s="10">
        <v>2007</v>
      </c>
      <c r="P483" s="8">
        <v>42732</v>
      </c>
      <c r="Q483" s="12" t="s">
        <v>236</v>
      </c>
    </row>
    <row r="484" spans="1:17" x14ac:dyDescent="0.2">
      <c r="A484">
        <f t="shared" si="7"/>
        <v>1701024</v>
      </c>
      <c r="B484" s="7" t="s">
        <v>2458</v>
      </c>
      <c r="C484" s="8"/>
      <c r="D484" s="8"/>
      <c r="E484" s="9" t="s">
        <v>37</v>
      </c>
      <c r="F484" s="10" t="s">
        <v>16</v>
      </c>
      <c r="G484" s="10" t="s">
        <v>199</v>
      </c>
      <c r="H484" s="10" t="s">
        <v>3191</v>
      </c>
      <c r="I484" s="10" t="s">
        <v>254</v>
      </c>
      <c r="J484" s="11">
        <v>812661293</v>
      </c>
      <c r="K484" s="11"/>
      <c r="L484" s="10" t="s">
        <v>3192</v>
      </c>
      <c r="M484" s="10" t="s">
        <v>42</v>
      </c>
      <c r="N484" s="10" t="s">
        <v>43</v>
      </c>
      <c r="O484" s="10">
        <v>2008</v>
      </c>
      <c r="P484" s="8">
        <v>42996</v>
      </c>
      <c r="Q484" s="12" t="s">
        <v>301</v>
      </c>
    </row>
    <row r="485" spans="1:17" x14ac:dyDescent="0.2">
      <c r="A485">
        <f t="shared" si="7"/>
        <v>1701025</v>
      </c>
      <c r="B485" s="7" t="s">
        <v>2459</v>
      </c>
      <c r="C485" s="8"/>
      <c r="D485" s="8"/>
      <c r="E485" s="9" t="s">
        <v>37</v>
      </c>
      <c r="F485" s="10" t="s">
        <v>16</v>
      </c>
      <c r="G485" s="10" t="s">
        <v>207</v>
      </c>
      <c r="H485" s="10" t="s">
        <v>1622</v>
      </c>
      <c r="I485" s="10" t="s">
        <v>305</v>
      </c>
      <c r="J485" s="11">
        <v>852211665</v>
      </c>
      <c r="K485" s="11"/>
      <c r="L485" s="10" t="s">
        <v>1623</v>
      </c>
      <c r="M485" s="10" t="s">
        <v>47</v>
      </c>
      <c r="N485" s="10" t="s">
        <v>106</v>
      </c>
      <c r="O485" s="10">
        <v>2007</v>
      </c>
      <c r="P485" s="8">
        <v>42782</v>
      </c>
      <c r="Q485" s="12" t="s">
        <v>256</v>
      </c>
    </row>
    <row r="486" spans="1:17" x14ac:dyDescent="0.2">
      <c r="A486">
        <f t="shared" si="7"/>
        <v>1701026</v>
      </c>
      <c r="B486" s="7" t="s">
        <v>2460</v>
      </c>
      <c r="C486" s="8"/>
      <c r="D486" s="8"/>
      <c r="E486" s="9" t="s">
        <v>37</v>
      </c>
      <c r="F486" s="10" t="s">
        <v>16</v>
      </c>
      <c r="G486" s="10" t="s">
        <v>207</v>
      </c>
      <c r="H486" s="10" t="s">
        <v>1624</v>
      </c>
      <c r="I486" s="10" t="s">
        <v>286</v>
      </c>
      <c r="J486" s="11">
        <v>890558072</v>
      </c>
      <c r="K486" s="11"/>
      <c r="L486" s="10" t="s">
        <v>1625</v>
      </c>
      <c r="M486" s="10" t="s">
        <v>47</v>
      </c>
      <c r="N486" s="10" t="s">
        <v>106</v>
      </c>
      <c r="O486" s="10">
        <v>2011</v>
      </c>
      <c r="P486" s="8">
        <v>42794</v>
      </c>
      <c r="Q486" s="12" t="s">
        <v>656</v>
      </c>
    </row>
    <row r="487" spans="1:17" x14ac:dyDescent="0.2">
      <c r="A487">
        <f t="shared" si="7"/>
        <v>1701027</v>
      </c>
      <c r="B487" s="7" t="s">
        <v>2461</v>
      </c>
      <c r="C487" s="8"/>
      <c r="D487" s="8"/>
      <c r="E487" s="9" t="s">
        <v>37</v>
      </c>
      <c r="F487" s="10" t="s">
        <v>16</v>
      </c>
      <c r="G487" s="10" t="s">
        <v>207</v>
      </c>
      <c r="H487" s="10" t="s">
        <v>3193</v>
      </c>
      <c r="I487" s="10" t="s">
        <v>492</v>
      </c>
      <c r="J487" s="11">
        <v>836089864</v>
      </c>
      <c r="K487" s="11"/>
      <c r="L487" s="10" t="s">
        <v>3194</v>
      </c>
      <c r="M487" s="10" t="s">
        <v>47</v>
      </c>
      <c r="N487" s="10" t="s">
        <v>78</v>
      </c>
      <c r="O487" s="10">
        <v>2012</v>
      </c>
      <c r="P487" s="8">
        <v>42796</v>
      </c>
      <c r="Q487" s="12" t="s">
        <v>524</v>
      </c>
    </row>
    <row r="488" spans="1:17" x14ac:dyDescent="0.2">
      <c r="A488">
        <f t="shared" si="7"/>
        <v>1701028</v>
      </c>
      <c r="B488" s="7" t="s">
        <v>2462</v>
      </c>
      <c r="C488" s="8"/>
      <c r="D488" s="8"/>
      <c r="E488" s="9" t="s">
        <v>37</v>
      </c>
      <c r="F488" s="10" t="s">
        <v>16</v>
      </c>
      <c r="G488" s="10" t="s">
        <v>207</v>
      </c>
      <c r="H488" s="10" t="s">
        <v>3195</v>
      </c>
      <c r="I488" s="10" t="s">
        <v>243</v>
      </c>
      <c r="J488" s="11">
        <v>818595039</v>
      </c>
      <c r="K488" s="11"/>
      <c r="L488" s="10" t="s">
        <v>3196</v>
      </c>
      <c r="M488" s="10" t="s">
        <v>47</v>
      </c>
      <c r="N488" s="10" t="s">
        <v>48</v>
      </c>
      <c r="O488" s="10">
        <v>2010</v>
      </c>
      <c r="P488" s="8">
        <v>42793</v>
      </c>
      <c r="Q488" s="12" t="s">
        <v>419</v>
      </c>
    </row>
    <row r="489" spans="1:17" x14ac:dyDescent="0.2">
      <c r="A489">
        <f t="shared" si="7"/>
        <v>1701029</v>
      </c>
      <c r="B489" s="7" t="s">
        <v>2463</v>
      </c>
      <c r="C489" s="8"/>
      <c r="D489" s="8"/>
      <c r="E489" s="9" t="s">
        <v>37</v>
      </c>
      <c r="F489" s="10" t="s">
        <v>16</v>
      </c>
      <c r="G489" s="10" t="s">
        <v>207</v>
      </c>
      <c r="H489" s="10" t="s">
        <v>3197</v>
      </c>
      <c r="I489" s="10" t="s">
        <v>1086</v>
      </c>
      <c r="J489" s="11">
        <v>898821239</v>
      </c>
      <c r="K489" s="11"/>
      <c r="L489" s="10" t="s">
        <v>3198</v>
      </c>
      <c r="M489" s="10" t="s">
        <v>42</v>
      </c>
      <c r="N489" s="10" t="s">
        <v>75</v>
      </c>
      <c r="O489" s="10">
        <v>2010</v>
      </c>
      <c r="P489" s="8">
        <v>42916</v>
      </c>
      <c r="Q489" s="12" t="s">
        <v>256</v>
      </c>
    </row>
    <row r="490" spans="1:17" x14ac:dyDescent="0.2">
      <c r="A490">
        <f t="shared" si="7"/>
        <v>1701030</v>
      </c>
      <c r="B490" s="7" t="s">
        <v>2464</v>
      </c>
      <c r="C490" s="8"/>
      <c r="D490" s="8"/>
      <c r="E490" s="9" t="s">
        <v>37</v>
      </c>
      <c r="F490" s="10" t="s">
        <v>16</v>
      </c>
      <c r="G490" s="10" t="s">
        <v>207</v>
      </c>
      <c r="H490" s="10" t="s">
        <v>765</v>
      </c>
      <c r="I490" s="10" t="s">
        <v>286</v>
      </c>
      <c r="J490" s="11">
        <v>884981219</v>
      </c>
      <c r="K490" s="11"/>
      <c r="L490" s="10" t="s">
        <v>766</v>
      </c>
      <c r="M490" s="10" t="s">
        <v>54</v>
      </c>
      <c r="N490" s="10" t="s">
        <v>72</v>
      </c>
      <c r="O490" s="10">
        <v>2005</v>
      </c>
      <c r="P490" s="8">
        <v>0</v>
      </c>
      <c r="Q490" s="12">
        <v>0</v>
      </c>
    </row>
    <row r="491" spans="1:17" x14ac:dyDescent="0.2">
      <c r="A491">
        <f t="shared" si="7"/>
        <v>1701031</v>
      </c>
      <c r="B491" s="7" t="s">
        <v>2465</v>
      </c>
      <c r="C491" s="8"/>
      <c r="D491" s="8"/>
      <c r="E491" s="9" t="s">
        <v>37</v>
      </c>
      <c r="F491" s="10" t="s">
        <v>16</v>
      </c>
      <c r="G491" s="10" t="s">
        <v>207</v>
      </c>
      <c r="H491" s="10" t="s">
        <v>1534</v>
      </c>
      <c r="I491" s="10" t="s">
        <v>286</v>
      </c>
      <c r="J491" s="11">
        <v>843832419</v>
      </c>
      <c r="K491" s="11"/>
      <c r="L491" s="10" t="s">
        <v>1535</v>
      </c>
      <c r="M491" s="10" t="s">
        <v>54</v>
      </c>
      <c r="N491" s="10" t="s">
        <v>134</v>
      </c>
      <c r="O491" s="10">
        <v>2013</v>
      </c>
      <c r="P491" s="8">
        <v>42881</v>
      </c>
      <c r="Q491" s="12" t="s">
        <v>217</v>
      </c>
    </row>
    <row r="492" spans="1:17" x14ac:dyDescent="0.2">
      <c r="A492">
        <f t="shared" si="7"/>
        <v>1701032</v>
      </c>
      <c r="B492" s="7" t="s">
        <v>2466</v>
      </c>
      <c r="C492" s="8"/>
      <c r="D492" s="8"/>
      <c r="E492" s="9" t="s">
        <v>37</v>
      </c>
      <c r="F492" s="10" t="s">
        <v>16</v>
      </c>
      <c r="G492" s="10" t="s">
        <v>337</v>
      </c>
      <c r="H492" s="10" t="s">
        <v>1568</v>
      </c>
      <c r="I492" s="10" t="s">
        <v>222</v>
      </c>
      <c r="J492" s="11">
        <v>886836555</v>
      </c>
      <c r="K492" s="11"/>
      <c r="L492" s="10" t="s">
        <v>1569</v>
      </c>
      <c r="M492" s="10" t="s">
        <v>47</v>
      </c>
      <c r="N492" s="10" t="s">
        <v>212</v>
      </c>
      <c r="O492" s="10">
        <v>2013</v>
      </c>
      <c r="P492" s="8">
        <v>42938</v>
      </c>
      <c r="Q492" s="12" t="s">
        <v>540</v>
      </c>
    </row>
    <row r="493" spans="1:17" x14ac:dyDescent="0.2">
      <c r="A493">
        <f t="shared" si="7"/>
        <v>1701033</v>
      </c>
      <c r="B493" s="7" t="s">
        <v>2467</v>
      </c>
      <c r="C493" s="8"/>
      <c r="D493" s="8"/>
      <c r="E493" s="9" t="s">
        <v>37</v>
      </c>
      <c r="F493" s="10" t="s">
        <v>16</v>
      </c>
      <c r="G493" s="10" t="s">
        <v>337</v>
      </c>
      <c r="H493" s="10" t="s">
        <v>1574</v>
      </c>
      <c r="I493" s="10" t="s">
        <v>506</v>
      </c>
      <c r="J493" s="11">
        <v>984573719</v>
      </c>
      <c r="K493" s="11"/>
      <c r="L493" s="10" t="s">
        <v>1575</v>
      </c>
      <c r="M493" s="10" t="s">
        <v>47</v>
      </c>
      <c r="N493" s="10" t="s">
        <v>51</v>
      </c>
      <c r="O493" s="10">
        <v>2009</v>
      </c>
      <c r="P493" s="8">
        <v>42987</v>
      </c>
      <c r="Q493" s="12" t="s">
        <v>256</v>
      </c>
    </row>
    <row r="494" spans="1:17" x14ac:dyDescent="0.2">
      <c r="A494">
        <f t="shared" si="7"/>
        <v>1701034</v>
      </c>
      <c r="B494" s="7" t="s">
        <v>2468</v>
      </c>
      <c r="C494" s="8"/>
      <c r="D494" s="8"/>
      <c r="E494" s="9" t="s">
        <v>37</v>
      </c>
      <c r="F494" s="10" t="s">
        <v>16</v>
      </c>
      <c r="G494" s="10" t="s">
        <v>337</v>
      </c>
      <c r="H494" s="10" t="s">
        <v>3199</v>
      </c>
      <c r="I494" s="10" t="s">
        <v>243</v>
      </c>
      <c r="J494" s="11">
        <v>813915293</v>
      </c>
      <c r="K494" s="11"/>
      <c r="L494" s="10" t="s">
        <v>3200</v>
      </c>
      <c r="M494" s="10" t="s">
        <v>47</v>
      </c>
      <c r="N494" s="10" t="s">
        <v>3201</v>
      </c>
      <c r="O494" s="10">
        <v>2010</v>
      </c>
      <c r="P494" s="8">
        <v>43029</v>
      </c>
      <c r="Q494" s="12" t="s">
        <v>405</v>
      </c>
    </row>
    <row r="495" spans="1:17" x14ac:dyDescent="0.2">
      <c r="A495">
        <f t="shared" si="7"/>
        <v>1701035</v>
      </c>
      <c r="B495" s="7" t="s">
        <v>2469</v>
      </c>
      <c r="C495" s="8"/>
      <c r="D495" s="8"/>
      <c r="E495" s="9" t="s">
        <v>37</v>
      </c>
      <c r="F495" s="10" t="s">
        <v>16</v>
      </c>
      <c r="G495" s="10" t="s">
        <v>207</v>
      </c>
      <c r="H495" s="10" t="s">
        <v>1733</v>
      </c>
      <c r="I495" s="10" t="s">
        <v>506</v>
      </c>
      <c r="J495" s="11">
        <v>937123093</v>
      </c>
      <c r="K495" s="11"/>
      <c r="L495" s="10" t="s">
        <v>1734</v>
      </c>
      <c r="M495" s="10" t="s">
        <v>47</v>
      </c>
      <c r="N495" s="10" t="s">
        <v>51</v>
      </c>
      <c r="O495" s="10">
        <v>2008</v>
      </c>
      <c r="P495" s="8">
        <v>43008</v>
      </c>
      <c r="Q495" s="12" t="s">
        <v>382</v>
      </c>
    </row>
    <row r="496" spans="1:17" x14ac:dyDescent="0.2">
      <c r="A496">
        <f t="shared" si="7"/>
        <v>1701036</v>
      </c>
      <c r="B496" s="7" t="s">
        <v>2470</v>
      </c>
      <c r="C496" s="8"/>
      <c r="D496" s="8"/>
      <c r="E496" s="9" t="s">
        <v>37</v>
      </c>
      <c r="F496" s="10" t="s">
        <v>16</v>
      </c>
      <c r="G496" s="10" t="s">
        <v>207</v>
      </c>
      <c r="H496" s="10" t="s">
        <v>761</v>
      </c>
      <c r="I496" s="10" t="s">
        <v>222</v>
      </c>
      <c r="J496" s="11">
        <v>0</v>
      </c>
      <c r="K496" s="11"/>
      <c r="L496" s="10" t="s">
        <v>762</v>
      </c>
      <c r="M496" s="10" t="s">
        <v>42</v>
      </c>
      <c r="N496" s="10" t="s">
        <v>75</v>
      </c>
      <c r="O496" s="10">
        <v>2008</v>
      </c>
      <c r="P496" s="8">
        <v>42807</v>
      </c>
      <c r="Q496" s="12" t="s">
        <v>763</v>
      </c>
    </row>
    <row r="497" spans="1:17" x14ac:dyDescent="0.2">
      <c r="A497">
        <f t="shared" si="7"/>
        <v>1701037</v>
      </c>
      <c r="B497" s="7" t="s">
        <v>2471</v>
      </c>
      <c r="C497" s="8"/>
      <c r="D497" s="8"/>
      <c r="E497" s="9" t="s">
        <v>37</v>
      </c>
      <c r="F497" s="10" t="s">
        <v>16</v>
      </c>
      <c r="G497" s="10" t="s">
        <v>207</v>
      </c>
      <c r="H497" s="10" t="s">
        <v>822</v>
      </c>
      <c r="I497" s="10" t="s">
        <v>233</v>
      </c>
      <c r="J497" s="11">
        <v>819217204</v>
      </c>
      <c r="K497" s="11"/>
      <c r="L497" s="10" t="s">
        <v>823</v>
      </c>
      <c r="M497" s="10" t="s">
        <v>47</v>
      </c>
      <c r="N497" s="10" t="s">
        <v>99</v>
      </c>
      <c r="O497" s="10">
        <v>2003</v>
      </c>
      <c r="P497" s="8">
        <v>42659</v>
      </c>
      <c r="Q497" s="12" t="s">
        <v>217</v>
      </c>
    </row>
    <row r="498" spans="1:17" x14ac:dyDescent="0.2">
      <c r="A498">
        <f t="shared" si="7"/>
        <v>1701038</v>
      </c>
      <c r="B498" s="7" t="s">
        <v>2472</v>
      </c>
      <c r="C498" s="8"/>
      <c r="D498" s="8"/>
      <c r="E498" s="9" t="s">
        <v>37</v>
      </c>
      <c r="F498" s="10" t="s">
        <v>16</v>
      </c>
      <c r="G498" s="10" t="s">
        <v>337</v>
      </c>
      <c r="H498" s="10" t="s">
        <v>1301</v>
      </c>
      <c r="I498" s="10" t="s">
        <v>429</v>
      </c>
      <c r="J498" s="11">
        <v>850656325</v>
      </c>
      <c r="K498" s="11"/>
      <c r="L498" s="10" t="s">
        <v>1302</v>
      </c>
      <c r="M498" s="10" t="s">
        <v>282</v>
      </c>
      <c r="N498" s="10" t="s">
        <v>1303</v>
      </c>
      <c r="O498" s="10">
        <v>2014</v>
      </c>
      <c r="P498" s="8">
        <v>42653</v>
      </c>
      <c r="Q498" s="12" t="s">
        <v>260</v>
      </c>
    </row>
    <row r="499" spans="1:17" x14ac:dyDescent="0.2">
      <c r="A499">
        <f t="shared" si="7"/>
        <v>1701039</v>
      </c>
      <c r="B499" s="7" t="s">
        <v>2473</v>
      </c>
      <c r="C499" s="8"/>
      <c r="D499" s="8"/>
      <c r="E499" s="9" t="s">
        <v>37</v>
      </c>
      <c r="F499" s="10" t="s">
        <v>16</v>
      </c>
      <c r="G499" s="10" t="s">
        <v>207</v>
      </c>
      <c r="H499" s="10" t="s">
        <v>1458</v>
      </c>
      <c r="I499" s="10" t="s">
        <v>577</v>
      </c>
      <c r="J499" s="11">
        <v>911759160</v>
      </c>
      <c r="K499" s="11">
        <v>627262277</v>
      </c>
      <c r="L499" s="10" t="s">
        <v>1459</v>
      </c>
      <c r="M499" s="10" t="s">
        <v>42</v>
      </c>
      <c r="N499" s="10" t="s">
        <v>43</v>
      </c>
      <c r="O499" s="10">
        <v>0</v>
      </c>
      <c r="P499" s="8" t="s">
        <v>1120</v>
      </c>
      <c r="Q499" s="12">
        <v>0</v>
      </c>
    </row>
    <row r="500" spans="1:17" x14ac:dyDescent="0.2">
      <c r="A500">
        <f t="shared" si="7"/>
        <v>1701040</v>
      </c>
      <c r="B500" s="7" t="s">
        <v>2474</v>
      </c>
      <c r="C500" s="8"/>
      <c r="D500" s="8"/>
      <c r="E500" s="9" t="s">
        <v>37</v>
      </c>
      <c r="F500" s="10" t="s">
        <v>16</v>
      </c>
      <c r="G500" s="10" t="s">
        <v>337</v>
      </c>
      <c r="H500" s="10" t="s">
        <v>1469</v>
      </c>
      <c r="I500" s="10" t="s">
        <v>1108</v>
      </c>
      <c r="J500" s="11">
        <v>618585878</v>
      </c>
      <c r="K500" s="11"/>
      <c r="L500" s="10" t="s">
        <v>1470</v>
      </c>
      <c r="M500" s="10" t="s">
        <v>87</v>
      </c>
      <c r="N500" s="10">
        <v>2</v>
      </c>
      <c r="O500" s="10">
        <v>2011</v>
      </c>
      <c r="P500" s="8">
        <v>43017</v>
      </c>
      <c r="Q500" s="12" t="s">
        <v>477</v>
      </c>
    </row>
    <row r="501" spans="1:17" x14ac:dyDescent="0.2">
      <c r="A501">
        <f t="shared" si="7"/>
        <v>1701041</v>
      </c>
      <c r="B501" s="7" t="s">
        <v>2475</v>
      </c>
      <c r="C501" s="8"/>
      <c r="D501" s="8"/>
      <c r="E501" s="9" t="s">
        <v>37</v>
      </c>
      <c r="F501" s="10" t="s">
        <v>16</v>
      </c>
      <c r="G501" s="10" t="s">
        <v>225</v>
      </c>
      <c r="H501" s="10" t="s">
        <v>1523</v>
      </c>
      <c r="I501" s="10" t="s">
        <v>222</v>
      </c>
      <c r="J501" s="11">
        <v>898813134</v>
      </c>
      <c r="K501" s="11"/>
      <c r="L501" s="10" t="s">
        <v>1524</v>
      </c>
      <c r="M501" s="10" t="s">
        <v>126</v>
      </c>
      <c r="N501" s="10" t="s">
        <v>297</v>
      </c>
      <c r="O501" s="10">
        <v>2012</v>
      </c>
      <c r="P501" s="8">
        <v>43008</v>
      </c>
      <c r="Q501" s="12" t="s">
        <v>292</v>
      </c>
    </row>
    <row r="502" spans="1:17" x14ac:dyDescent="0.2">
      <c r="A502">
        <f t="shared" si="7"/>
        <v>1701042</v>
      </c>
      <c r="B502" s="7" t="s">
        <v>2476</v>
      </c>
      <c r="C502" s="8"/>
      <c r="D502" s="8"/>
      <c r="E502" s="9" t="s">
        <v>37</v>
      </c>
      <c r="F502" s="10" t="s">
        <v>16</v>
      </c>
      <c r="G502" s="10" t="s">
        <v>207</v>
      </c>
      <c r="H502" s="10" t="s">
        <v>1537</v>
      </c>
      <c r="I502" s="10" t="s">
        <v>243</v>
      </c>
      <c r="J502" s="11">
        <v>879676971</v>
      </c>
      <c r="K502" s="11"/>
      <c r="L502" s="10" t="s">
        <v>1538</v>
      </c>
      <c r="M502" s="10" t="s">
        <v>58</v>
      </c>
      <c r="N502" s="10" t="s">
        <v>717</v>
      </c>
      <c r="O502" s="10">
        <v>2010</v>
      </c>
      <c r="P502" s="8">
        <v>42898</v>
      </c>
      <c r="Q502" s="12" t="s">
        <v>335</v>
      </c>
    </row>
    <row r="503" spans="1:17" x14ac:dyDescent="0.2">
      <c r="A503">
        <f t="shared" si="7"/>
        <v>1701043</v>
      </c>
      <c r="B503" s="7" t="s">
        <v>2477</v>
      </c>
      <c r="C503" s="8"/>
      <c r="D503" s="8"/>
      <c r="E503" s="9" t="s">
        <v>37</v>
      </c>
      <c r="F503" s="10" t="s">
        <v>16</v>
      </c>
      <c r="G503" s="10" t="s">
        <v>207</v>
      </c>
      <c r="H503" s="10" t="s">
        <v>1563</v>
      </c>
      <c r="I503" s="10" t="s">
        <v>1564</v>
      </c>
      <c r="J503" s="11">
        <v>860778145</v>
      </c>
      <c r="K503" s="11">
        <v>870431628</v>
      </c>
      <c r="L503" s="10" t="s">
        <v>1565</v>
      </c>
      <c r="M503" s="10" t="s">
        <v>58</v>
      </c>
      <c r="N503" s="10" t="s">
        <v>717</v>
      </c>
      <c r="O503" s="10">
        <v>2010</v>
      </c>
      <c r="P503" s="8">
        <v>42729</v>
      </c>
      <c r="Q503" s="12" t="s">
        <v>1566</v>
      </c>
    </row>
    <row r="504" spans="1:17" x14ac:dyDescent="0.2">
      <c r="A504">
        <f t="shared" si="7"/>
        <v>1701044</v>
      </c>
      <c r="B504" s="7" t="s">
        <v>2478</v>
      </c>
      <c r="C504" s="8"/>
      <c r="D504" s="8"/>
      <c r="E504" s="9" t="s">
        <v>37</v>
      </c>
      <c r="F504" s="10" t="s">
        <v>16</v>
      </c>
      <c r="G504" s="10" t="s">
        <v>207</v>
      </c>
      <c r="H504" s="10" t="s">
        <v>1577</v>
      </c>
      <c r="I504" s="10" t="s">
        <v>233</v>
      </c>
      <c r="J504" s="11">
        <v>824992957</v>
      </c>
      <c r="K504" s="11"/>
      <c r="L504" s="10" t="s">
        <v>1578</v>
      </c>
      <c r="M504" s="10" t="s">
        <v>58</v>
      </c>
      <c r="N504" s="10" t="s">
        <v>717</v>
      </c>
      <c r="O504" s="10">
        <v>2007</v>
      </c>
      <c r="P504" s="8" t="s">
        <v>1120</v>
      </c>
      <c r="Q504" s="12">
        <v>0</v>
      </c>
    </row>
    <row r="505" spans="1:17" x14ac:dyDescent="0.2">
      <c r="A505">
        <f t="shared" si="7"/>
        <v>1701045</v>
      </c>
      <c r="B505" s="7" t="s">
        <v>2479</v>
      </c>
      <c r="C505" s="8"/>
      <c r="D505" s="8"/>
      <c r="E505" s="9" t="s">
        <v>37</v>
      </c>
      <c r="F505" s="10" t="s">
        <v>16</v>
      </c>
      <c r="G505" s="10" t="s">
        <v>337</v>
      </c>
      <c r="H505" s="10" t="s">
        <v>1604</v>
      </c>
      <c r="I505" s="10" t="s">
        <v>1192</v>
      </c>
      <c r="J505" s="11">
        <v>806510700</v>
      </c>
      <c r="K505" s="11"/>
      <c r="L505" s="10" t="s">
        <v>1605</v>
      </c>
      <c r="M505" s="10" t="s">
        <v>42</v>
      </c>
      <c r="N505" s="10" t="s">
        <v>75</v>
      </c>
      <c r="O505" s="10">
        <v>2013</v>
      </c>
      <c r="P505" s="8">
        <v>42916</v>
      </c>
      <c r="Q505" s="12" t="s">
        <v>229</v>
      </c>
    </row>
    <row r="506" spans="1:17" x14ac:dyDescent="0.2">
      <c r="A506">
        <f t="shared" si="7"/>
        <v>1701046</v>
      </c>
      <c r="B506" s="7" t="s">
        <v>2480</v>
      </c>
      <c r="C506" s="8"/>
      <c r="D506" s="8"/>
      <c r="E506" s="9" t="s">
        <v>37</v>
      </c>
      <c r="F506" s="10" t="s">
        <v>16</v>
      </c>
      <c r="G506" s="10" t="s">
        <v>337</v>
      </c>
      <c r="H506" s="10" t="s">
        <v>3199</v>
      </c>
      <c r="I506" s="10" t="s">
        <v>243</v>
      </c>
      <c r="J506" s="11">
        <v>813915293</v>
      </c>
      <c r="K506" s="11"/>
      <c r="L506" s="10" t="s">
        <v>3200</v>
      </c>
      <c r="M506" s="10" t="s">
        <v>47</v>
      </c>
      <c r="N506" s="10" t="s">
        <v>3201</v>
      </c>
      <c r="O506" s="10">
        <v>2010</v>
      </c>
      <c r="P506" s="8">
        <v>43029</v>
      </c>
      <c r="Q506" s="12" t="s">
        <v>405</v>
      </c>
    </row>
    <row r="507" spans="1:17" x14ac:dyDescent="0.2">
      <c r="A507">
        <f t="shared" si="7"/>
        <v>1701047</v>
      </c>
      <c r="B507" s="7" t="s">
        <v>2481</v>
      </c>
      <c r="C507" s="8"/>
      <c r="D507" s="8"/>
      <c r="E507" s="9" t="s">
        <v>37</v>
      </c>
      <c r="F507" s="10" t="s">
        <v>16</v>
      </c>
      <c r="G507" s="10" t="s">
        <v>207</v>
      </c>
      <c r="H507" s="10" t="s">
        <v>3202</v>
      </c>
      <c r="I507" s="10" t="s">
        <v>506</v>
      </c>
      <c r="J507" s="11">
        <v>817507086</v>
      </c>
      <c r="K507" s="11"/>
      <c r="L507" s="10" t="s">
        <v>3203</v>
      </c>
      <c r="M507" s="10" t="s">
        <v>42</v>
      </c>
      <c r="N507" s="10" t="s">
        <v>884</v>
      </c>
      <c r="O507" s="10">
        <v>2000</v>
      </c>
      <c r="P507" s="8">
        <v>42765</v>
      </c>
      <c r="Q507" s="12" t="s">
        <v>331</v>
      </c>
    </row>
    <row r="508" spans="1:17" x14ac:dyDescent="0.2">
      <c r="A508">
        <f t="shared" si="7"/>
        <v>1701048</v>
      </c>
      <c r="B508" s="7" t="s">
        <v>2482</v>
      </c>
      <c r="C508" s="8"/>
      <c r="D508" s="8"/>
      <c r="E508" s="9" t="s">
        <v>37</v>
      </c>
      <c r="F508" s="10" t="s">
        <v>16</v>
      </c>
      <c r="G508" s="10" t="s">
        <v>202</v>
      </c>
      <c r="H508" s="10" t="s">
        <v>1735</v>
      </c>
      <c r="I508" s="10" t="s">
        <v>254</v>
      </c>
      <c r="J508" s="11">
        <v>859367703</v>
      </c>
      <c r="K508" s="11"/>
      <c r="L508" s="10" t="s">
        <v>1736</v>
      </c>
      <c r="M508" s="10" t="s">
        <v>47</v>
      </c>
      <c r="N508" s="10" t="s">
        <v>51</v>
      </c>
      <c r="O508" s="10">
        <v>2007</v>
      </c>
      <c r="P508" s="8">
        <v>42956</v>
      </c>
      <c r="Q508" s="12" t="s">
        <v>797</v>
      </c>
    </row>
    <row r="509" spans="1:17" x14ac:dyDescent="0.2">
      <c r="A509">
        <f t="shared" si="7"/>
        <v>1701049</v>
      </c>
      <c r="B509" s="7" t="s">
        <v>2483</v>
      </c>
      <c r="C509" s="8"/>
      <c r="D509" s="8"/>
      <c r="E509" s="9" t="s">
        <v>37</v>
      </c>
      <c r="F509" s="10" t="s">
        <v>16</v>
      </c>
      <c r="G509" s="10" t="s">
        <v>1729</v>
      </c>
      <c r="H509" s="10" t="s">
        <v>1971</v>
      </c>
      <c r="I509" s="10" t="s">
        <v>222</v>
      </c>
      <c r="J509" s="11">
        <v>826336807</v>
      </c>
      <c r="K509" s="11"/>
      <c r="L509" s="10" t="s">
        <v>1972</v>
      </c>
      <c r="M509" s="10" t="s">
        <v>47</v>
      </c>
      <c r="N509" s="10" t="s">
        <v>51</v>
      </c>
      <c r="O509" s="10">
        <v>2014</v>
      </c>
      <c r="P509" s="8">
        <v>42992</v>
      </c>
      <c r="Q509" s="12" t="s">
        <v>1411</v>
      </c>
    </row>
    <row r="510" spans="1:17" x14ac:dyDescent="0.2">
      <c r="A510">
        <f t="shared" si="7"/>
        <v>1701050</v>
      </c>
      <c r="B510" s="7" t="s">
        <v>2484</v>
      </c>
      <c r="C510" s="8"/>
      <c r="D510" s="8"/>
      <c r="E510" s="9" t="s">
        <v>37</v>
      </c>
      <c r="F510" s="10" t="s">
        <v>16</v>
      </c>
      <c r="G510" s="10" t="s">
        <v>207</v>
      </c>
      <c r="H510" s="10" t="s">
        <v>3204</v>
      </c>
      <c r="I510" s="10" t="s">
        <v>243</v>
      </c>
      <c r="J510" s="11">
        <v>909925262</v>
      </c>
      <c r="K510" s="11"/>
      <c r="L510" s="10" t="s">
        <v>3205</v>
      </c>
      <c r="M510" s="10" t="s">
        <v>3206</v>
      </c>
      <c r="N510" s="10" t="s">
        <v>72</v>
      </c>
      <c r="O510" s="10">
        <v>2008</v>
      </c>
      <c r="P510" s="8">
        <v>42818</v>
      </c>
      <c r="Q510" s="12" t="s">
        <v>1732</v>
      </c>
    </row>
    <row r="511" spans="1:17" x14ac:dyDescent="0.2">
      <c r="A511">
        <f t="shared" si="7"/>
        <v>1701051</v>
      </c>
      <c r="B511" s="7" t="s">
        <v>2485</v>
      </c>
      <c r="C511" s="8"/>
      <c r="D511" s="8"/>
      <c r="E511" s="9" t="s">
        <v>37</v>
      </c>
      <c r="F511" s="10" t="s">
        <v>16</v>
      </c>
      <c r="G511" s="10" t="s">
        <v>207</v>
      </c>
      <c r="H511" s="10" t="s">
        <v>1642</v>
      </c>
      <c r="I511" s="10"/>
      <c r="J511" s="11">
        <v>918010200</v>
      </c>
      <c r="K511" s="11"/>
      <c r="L511" s="10" t="s">
        <v>1643</v>
      </c>
      <c r="M511" s="10" t="s">
        <v>42</v>
      </c>
      <c r="N511" s="10" t="s">
        <v>494</v>
      </c>
      <c r="O511" s="10">
        <v>2014</v>
      </c>
      <c r="P511" s="8">
        <v>42707</v>
      </c>
      <c r="Q511" s="12" t="s">
        <v>477</v>
      </c>
    </row>
    <row r="512" spans="1:17" x14ac:dyDescent="0.2">
      <c r="A512">
        <f t="shared" si="7"/>
        <v>1701052</v>
      </c>
      <c r="B512" s="7" t="s">
        <v>2486</v>
      </c>
      <c r="C512" s="8"/>
      <c r="D512" s="8"/>
      <c r="E512" s="9" t="s">
        <v>37</v>
      </c>
      <c r="F512" s="10" t="s">
        <v>16</v>
      </c>
      <c r="G512" s="10" t="s">
        <v>207</v>
      </c>
      <c r="H512" s="10" t="s">
        <v>3207</v>
      </c>
      <c r="I512" s="10" t="s">
        <v>492</v>
      </c>
      <c r="J512" s="11">
        <v>984420211</v>
      </c>
      <c r="K512" s="11"/>
      <c r="L512" s="10" t="s">
        <v>3208</v>
      </c>
      <c r="M512" s="10" t="s">
        <v>58</v>
      </c>
      <c r="N512" s="10" t="s">
        <v>3209</v>
      </c>
      <c r="O512" s="10">
        <v>2014</v>
      </c>
      <c r="P512" s="8">
        <v>43094</v>
      </c>
      <c r="Q512" s="12" t="s">
        <v>499</v>
      </c>
    </row>
    <row r="513" spans="1:17" x14ac:dyDescent="0.2">
      <c r="A513">
        <f t="shared" si="7"/>
        <v>1701053</v>
      </c>
      <c r="B513" s="7" t="s">
        <v>2487</v>
      </c>
      <c r="C513" s="8"/>
      <c r="D513" s="8"/>
      <c r="E513" s="9" t="s">
        <v>37</v>
      </c>
      <c r="F513" s="10" t="s">
        <v>16</v>
      </c>
      <c r="G513" s="10" t="s">
        <v>337</v>
      </c>
      <c r="H513" s="10" t="s">
        <v>3210</v>
      </c>
      <c r="I513" s="10" t="s">
        <v>979</v>
      </c>
      <c r="J513" s="11">
        <v>984876709</v>
      </c>
      <c r="K513" s="11"/>
      <c r="L513" s="10" t="s">
        <v>3211</v>
      </c>
      <c r="M513" s="10" t="s">
        <v>47</v>
      </c>
      <c r="N513" s="10" t="s">
        <v>51</v>
      </c>
      <c r="O513" s="10">
        <v>2012</v>
      </c>
      <c r="P513" s="8" t="s">
        <v>1120</v>
      </c>
      <c r="Q513" s="12"/>
    </row>
    <row r="514" spans="1:17" x14ac:dyDescent="0.2">
      <c r="A514">
        <f t="shared" si="7"/>
        <v>1701054</v>
      </c>
      <c r="B514" s="7" t="s">
        <v>2488</v>
      </c>
      <c r="C514" s="8"/>
      <c r="D514" s="8"/>
      <c r="E514" s="9" t="s">
        <v>37</v>
      </c>
      <c r="F514" s="10" t="s">
        <v>16</v>
      </c>
      <c r="G514" s="10" t="s">
        <v>207</v>
      </c>
      <c r="H514" s="10" t="s">
        <v>815</v>
      </c>
      <c r="I514" s="10" t="s">
        <v>254</v>
      </c>
      <c r="J514" s="11">
        <v>898968994</v>
      </c>
      <c r="K514" s="11"/>
      <c r="L514" s="10" t="s">
        <v>816</v>
      </c>
      <c r="M514" s="10" t="s">
        <v>42</v>
      </c>
      <c r="N514" s="10" t="s">
        <v>43</v>
      </c>
      <c r="O514" s="10">
        <v>2010</v>
      </c>
      <c r="P514" s="8">
        <v>42814</v>
      </c>
      <c r="Q514" s="12" t="s">
        <v>419</v>
      </c>
    </row>
    <row r="515" spans="1:17" x14ac:dyDescent="0.2">
      <c r="A515">
        <f t="shared" si="7"/>
        <v>1701055</v>
      </c>
      <c r="B515" s="7" t="s">
        <v>2489</v>
      </c>
      <c r="C515" s="8"/>
      <c r="D515" s="8"/>
      <c r="E515" s="9" t="s">
        <v>37</v>
      </c>
      <c r="F515" s="10" t="s">
        <v>16</v>
      </c>
      <c r="G515" s="10" t="s">
        <v>202</v>
      </c>
      <c r="H515" s="10" t="s">
        <v>3212</v>
      </c>
      <c r="I515" s="10" t="s">
        <v>625</v>
      </c>
      <c r="J515" s="11">
        <v>800495932</v>
      </c>
      <c r="K515" s="11"/>
      <c r="L515" s="10" t="s">
        <v>3213</v>
      </c>
      <c r="M515" s="10" t="s">
        <v>47</v>
      </c>
      <c r="N515" s="10" t="s">
        <v>106</v>
      </c>
      <c r="O515" s="10">
        <v>2010</v>
      </c>
      <c r="P515" s="8" t="s">
        <v>1120</v>
      </c>
      <c r="Q515" s="12"/>
    </row>
    <row r="516" spans="1:17" x14ac:dyDescent="0.2">
      <c r="A516">
        <f t="shared" ref="A516:A579" si="8">VALUE(B516)</f>
        <v>1701056</v>
      </c>
      <c r="B516" s="7" t="s">
        <v>2490</v>
      </c>
      <c r="C516" s="8"/>
      <c r="D516" s="8"/>
      <c r="E516" s="9" t="s">
        <v>37</v>
      </c>
      <c r="F516" s="10" t="s">
        <v>16</v>
      </c>
      <c r="G516" s="10" t="s">
        <v>202</v>
      </c>
      <c r="H516" s="10" t="s">
        <v>3214</v>
      </c>
      <c r="I516" s="10" t="s">
        <v>286</v>
      </c>
      <c r="J516" s="11">
        <v>819896859</v>
      </c>
      <c r="K516" s="11"/>
      <c r="L516" s="10" t="s">
        <v>3215</v>
      </c>
      <c r="M516" s="10" t="s">
        <v>93</v>
      </c>
      <c r="N516" s="10" t="s">
        <v>155</v>
      </c>
      <c r="O516" s="10">
        <v>2012</v>
      </c>
      <c r="P516" s="8" t="s">
        <v>1120</v>
      </c>
      <c r="Q516" s="12"/>
    </row>
    <row r="517" spans="1:17" x14ac:dyDescent="0.2">
      <c r="A517">
        <f t="shared" si="8"/>
        <v>1701057</v>
      </c>
      <c r="B517" s="7" t="s">
        <v>2491</v>
      </c>
      <c r="C517" s="8"/>
      <c r="D517" s="8"/>
      <c r="E517" s="9" t="s">
        <v>37</v>
      </c>
      <c r="F517" s="10" t="s">
        <v>16</v>
      </c>
      <c r="G517" s="10" t="s">
        <v>207</v>
      </c>
      <c r="H517" s="10" t="s">
        <v>3216</v>
      </c>
      <c r="I517" s="10" t="s">
        <v>243</v>
      </c>
      <c r="J517" s="11">
        <v>979658795</v>
      </c>
      <c r="K517" s="11"/>
      <c r="L517" s="10" t="s">
        <v>3217</v>
      </c>
      <c r="M517" s="10" t="s">
        <v>126</v>
      </c>
      <c r="N517" s="10" t="s">
        <v>127</v>
      </c>
      <c r="O517" s="10">
        <v>2010</v>
      </c>
      <c r="P517" s="8">
        <v>43066</v>
      </c>
      <c r="Q517" s="12" t="s">
        <v>415</v>
      </c>
    </row>
    <row r="518" spans="1:17" x14ac:dyDescent="0.2">
      <c r="A518">
        <f t="shared" si="8"/>
        <v>1701058</v>
      </c>
      <c r="B518" s="7" t="s">
        <v>2492</v>
      </c>
      <c r="C518" s="8"/>
      <c r="D518" s="8"/>
      <c r="E518" s="9" t="s">
        <v>37</v>
      </c>
      <c r="F518" s="10" t="s">
        <v>16</v>
      </c>
      <c r="G518" s="10" t="s">
        <v>207</v>
      </c>
      <c r="H518" s="10" t="s">
        <v>3218</v>
      </c>
      <c r="I518" s="10" t="s">
        <v>492</v>
      </c>
      <c r="J518" s="11">
        <v>922688176</v>
      </c>
      <c r="K518" s="11"/>
      <c r="L518" s="10" t="s">
        <v>3219</v>
      </c>
      <c r="M518" s="10" t="s">
        <v>47</v>
      </c>
      <c r="N518" s="10" t="s">
        <v>212</v>
      </c>
      <c r="O518" s="10">
        <v>2012</v>
      </c>
      <c r="P518" s="8">
        <v>42789</v>
      </c>
      <c r="Q518" s="12" t="s">
        <v>877</v>
      </c>
    </row>
    <row r="519" spans="1:17" x14ac:dyDescent="0.2">
      <c r="A519">
        <f t="shared" si="8"/>
        <v>1701059</v>
      </c>
      <c r="B519" s="7" t="s">
        <v>2493</v>
      </c>
      <c r="C519" s="8"/>
      <c r="D519" s="8"/>
      <c r="E519" s="9" t="s">
        <v>37</v>
      </c>
      <c r="F519" s="10" t="s">
        <v>16</v>
      </c>
      <c r="G519" s="10" t="s">
        <v>207</v>
      </c>
      <c r="H519" s="10" t="s">
        <v>3220</v>
      </c>
      <c r="I519" s="10" t="s">
        <v>625</v>
      </c>
      <c r="J519" s="11">
        <v>830338804</v>
      </c>
      <c r="K519" s="11"/>
      <c r="L519" s="10" t="s">
        <v>3221</v>
      </c>
      <c r="M519" s="10" t="s">
        <v>126</v>
      </c>
      <c r="N519" s="10" t="s">
        <v>297</v>
      </c>
      <c r="O519" s="10">
        <v>2013</v>
      </c>
      <c r="P519" s="8" t="s">
        <v>1120</v>
      </c>
      <c r="Q519" s="12"/>
    </row>
    <row r="520" spans="1:17" x14ac:dyDescent="0.2">
      <c r="A520">
        <f t="shared" si="8"/>
        <v>1701060</v>
      </c>
      <c r="B520" s="7" t="s">
        <v>2494</v>
      </c>
      <c r="C520" s="8"/>
      <c r="D520" s="8"/>
      <c r="E520" s="9" t="s">
        <v>37</v>
      </c>
      <c r="F520" s="10" t="s">
        <v>16</v>
      </c>
      <c r="G520" s="10" t="s">
        <v>1729</v>
      </c>
      <c r="H520" s="10" t="s">
        <v>3222</v>
      </c>
      <c r="I520" s="10" t="s">
        <v>3223</v>
      </c>
      <c r="J520" s="11">
        <v>817348972</v>
      </c>
      <c r="K520" s="11">
        <v>904162652</v>
      </c>
      <c r="L520" s="10" t="s">
        <v>3224</v>
      </c>
      <c r="M520" s="10" t="s">
        <v>47</v>
      </c>
      <c r="N520" s="10" t="s">
        <v>48</v>
      </c>
      <c r="O520" s="10">
        <v>2000</v>
      </c>
      <c r="P520" s="8">
        <v>42930</v>
      </c>
      <c r="Q520" s="12" t="s">
        <v>301</v>
      </c>
    </row>
    <row r="521" spans="1:17" x14ac:dyDescent="0.2">
      <c r="A521">
        <f t="shared" si="8"/>
        <v>1701061</v>
      </c>
      <c r="B521" s="7" t="s">
        <v>2495</v>
      </c>
      <c r="C521" s="8"/>
      <c r="D521" s="8"/>
      <c r="E521" s="9" t="s">
        <v>37</v>
      </c>
      <c r="F521" s="10" t="s">
        <v>16</v>
      </c>
      <c r="G521" s="10" t="s">
        <v>337</v>
      </c>
      <c r="H521" s="10" t="s">
        <v>1737</v>
      </c>
      <c r="I521" s="10" t="s">
        <v>625</v>
      </c>
      <c r="J521" s="11">
        <v>867528691</v>
      </c>
      <c r="K521" s="11">
        <v>931187879</v>
      </c>
      <c r="L521" s="10" t="s">
        <v>1738</v>
      </c>
      <c r="M521" s="10" t="s">
        <v>47</v>
      </c>
      <c r="N521" s="10" t="s">
        <v>106</v>
      </c>
      <c r="O521" s="10">
        <v>2015</v>
      </c>
      <c r="P521" s="8">
        <v>42744</v>
      </c>
      <c r="Q521" s="12" t="s">
        <v>419</v>
      </c>
    </row>
    <row r="522" spans="1:17" x14ac:dyDescent="0.2">
      <c r="A522">
        <f t="shared" si="8"/>
        <v>1701062</v>
      </c>
      <c r="B522" s="7" t="s">
        <v>2496</v>
      </c>
      <c r="C522" s="8"/>
      <c r="D522" s="8"/>
      <c r="E522" s="9" t="s">
        <v>37</v>
      </c>
      <c r="F522" s="10" t="s">
        <v>16</v>
      </c>
      <c r="G522" s="10" t="s">
        <v>207</v>
      </c>
      <c r="H522" s="10" t="s">
        <v>3225</v>
      </c>
      <c r="I522" s="10" t="s">
        <v>305</v>
      </c>
      <c r="J522" s="11">
        <v>982855039</v>
      </c>
      <c r="K522" s="11"/>
      <c r="L522" s="10" t="s">
        <v>3226</v>
      </c>
      <c r="M522" s="10" t="s">
        <v>93</v>
      </c>
      <c r="N522" s="10" t="s">
        <v>155</v>
      </c>
      <c r="O522" s="10">
        <v>2014</v>
      </c>
      <c r="P522" s="8">
        <v>43095</v>
      </c>
      <c r="Q522" s="12" t="s">
        <v>1739</v>
      </c>
    </row>
    <row r="523" spans="1:17" x14ac:dyDescent="0.2">
      <c r="A523">
        <f t="shared" si="8"/>
        <v>1701063</v>
      </c>
      <c r="B523" s="7" t="s">
        <v>2497</v>
      </c>
      <c r="C523" s="8"/>
      <c r="D523" s="8"/>
      <c r="E523" s="9" t="s">
        <v>37</v>
      </c>
      <c r="F523" s="10" t="s">
        <v>16</v>
      </c>
      <c r="G523" s="10" t="s">
        <v>231</v>
      </c>
      <c r="H523" s="10" t="s">
        <v>3227</v>
      </c>
      <c r="I523" s="10" t="s">
        <v>3228</v>
      </c>
      <c r="J523" s="11">
        <v>814243678</v>
      </c>
      <c r="K523" s="11">
        <v>917920352</v>
      </c>
      <c r="L523" s="10" t="s">
        <v>3229</v>
      </c>
      <c r="M523" s="10" t="s">
        <v>47</v>
      </c>
      <c r="N523" s="10" t="s">
        <v>106</v>
      </c>
      <c r="O523" s="10">
        <v>2007</v>
      </c>
      <c r="P523" s="8">
        <v>42885</v>
      </c>
      <c r="Q523" s="12" t="s">
        <v>256</v>
      </c>
    </row>
    <row r="524" spans="1:17" x14ac:dyDescent="0.2">
      <c r="A524">
        <f t="shared" si="8"/>
        <v>1701064</v>
      </c>
      <c r="B524" s="7" t="s">
        <v>2498</v>
      </c>
      <c r="C524" s="8"/>
      <c r="D524" s="8"/>
      <c r="E524" s="9" t="s">
        <v>37</v>
      </c>
      <c r="F524" s="10" t="s">
        <v>16</v>
      </c>
      <c r="G524" s="10" t="s">
        <v>207</v>
      </c>
      <c r="H524" s="10" t="s">
        <v>3230</v>
      </c>
      <c r="I524" s="10" t="s">
        <v>286</v>
      </c>
      <c r="J524" s="11">
        <v>870254788</v>
      </c>
      <c r="K524" s="11"/>
      <c r="L524" s="10" t="s">
        <v>3231</v>
      </c>
      <c r="M524" s="10" t="s">
        <v>47</v>
      </c>
      <c r="N524" s="10" t="s">
        <v>106</v>
      </c>
      <c r="O524" s="10">
        <v>2012</v>
      </c>
      <c r="P524" s="8">
        <v>43054</v>
      </c>
      <c r="Q524" s="12" t="s">
        <v>564</v>
      </c>
    </row>
    <row r="525" spans="1:17" x14ac:dyDescent="0.2">
      <c r="A525">
        <f t="shared" si="8"/>
        <v>1701065</v>
      </c>
      <c r="B525" s="7" t="s">
        <v>2499</v>
      </c>
      <c r="C525" s="8"/>
      <c r="D525" s="8"/>
      <c r="E525" s="9" t="s">
        <v>37</v>
      </c>
      <c r="F525" s="10" t="s">
        <v>16</v>
      </c>
      <c r="G525" s="10" t="s">
        <v>231</v>
      </c>
      <c r="H525" s="10" t="s">
        <v>3232</v>
      </c>
      <c r="I525" s="10" t="s">
        <v>305</v>
      </c>
      <c r="J525" s="11">
        <v>878074405</v>
      </c>
      <c r="K525" s="11">
        <v>860128333</v>
      </c>
      <c r="L525" s="10" t="s">
        <v>3233</v>
      </c>
      <c r="M525" s="10" t="s">
        <v>47</v>
      </c>
      <c r="N525" s="10" t="s">
        <v>51</v>
      </c>
      <c r="O525" s="10">
        <v>2011</v>
      </c>
      <c r="P525" s="8">
        <v>42864</v>
      </c>
      <c r="Q525" s="12" t="s">
        <v>256</v>
      </c>
    </row>
    <row r="526" spans="1:17" x14ac:dyDescent="0.2">
      <c r="A526">
        <f t="shared" si="8"/>
        <v>1701066</v>
      </c>
      <c r="B526" s="7" t="s">
        <v>2500</v>
      </c>
      <c r="C526" s="8"/>
      <c r="D526" s="8"/>
      <c r="E526" s="9" t="s">
        <v>37</v>
      </c>
      <c r="F526" s="10" t="s">
        <v>159</v>
      </c>
      <c r="G526" s="10" t="s">
        <v>40</v>
      </c>
      <c r="H526" s="10" t="s">
        <v>1644</v>
      </c>
      <c r="I526" s="10"/>
      <c r="J526" s="11"/>
      <c r="K526" s="11"/>
      <c r="L526" s="10" t="s">
        <v>1645</v>
      </c>
      <c r="M526" s="10" t="s">
        <v>87</v>
      </c>
      <c r="N526" s="10">
        <v>3</v>
      </c>
      <c r="O526" s="10"/>
      <c r="P526" s="8"/>
      <c r="Q526" s="12"/>
    </row>
    <row r="527" spans="1:17" x14ac:dyDescent="0.2">
      <c r="A527">
        <f t="shared" si="8"/>
        <v>1701067</v>
      </c>
      <c r="B527" s="7" t="s">
        <v>2501</v>
      </c>
      <c r="C527" s="8"/>
      <c r="D527" s="8"/>
      <c r="E527" s="9" t="s">
        <v>37</v>
      </c>
      <c r="F527" s="10" t="s">
        <v>16</v>
      </c>
      <c r="G527" s="10" t="s">
        <v>207</v>
      </c>
      <c r="H527" s="10" t="s">
        <v>3234</v>
      </c>
      <c r="I527" s="10" t="s">
        <v>506</v>
      </c>
      <c r="J527" s="11">
        <v>983931580</v>
      </c>
      <c r="K527" s="11"/>
      <c r="L527" s="10" t="s">
        <v>3235</v>
      </c>
      <c r="M527" s="10" t="s">
        <v>47</v>
      </c>
      <c r="N527" s="10" t="s">
        <v>51</v>
      </c>
      <c r="O527" s="10">
        <v>2015</v>
      </c>
      <c r="P527" s="8">
        <v>43077</v>
      </c>
      <c r="Q527" s="12" t="s">
        <v>374</v>
      </c>
    </row>
    <row r="528" spans="1:17" x14ac:dyDescent="0.2">
      <c r="A528">
        <f t="shared" si="8"/>
        <v>1701068</v>
      </c>
      <c r="B528" s="7" t="s">
        <v>2502</v>
      </c>
      <c r="C528" s="8"/>
      <c r="D528" s="8"/>
      <c r="E528" s="9" t="s">
        <v>37</v>
      </c>
      <c r="F528" s="10" t="s">
        <v>16</v>
      </c>
      <c r="G528" s="10" t="s">
        <v>337</v>
      </c>
      <c r="H528" s="10" t="s">
        <v>3236</v>
      </c>
      <c r="I528" s="10" t="s">
        <v>305</v>
      </c>
      <c r="J528" s="11">
        <v>830508012</v>
      </c>
      <c r="K528" s="11"/>
      <c r="L528" s="10" t="s">
        <v>1973</v>
      </c>
      <c r="M528" s="10" t="s">
        <v>47</v>
      </c>
      <c r="N528" s="10" t="s">
        <v>212</v>
      </c>
      <c r="O528" s="10">
        <v>2009</v>
      </c>
      <c r="P528" s="8">
        <v>42914</v>
      </c>
      <c r="Q528" s="12" t="s">
        <v>797</v>
      </c>
    </row>
    <row r="529" spans="1:17" x14ac:dyDescent="0.2">
      <c r="A529">
        <f t="shared" si="8"/>
        <v>1701069</v>
      </c>
      <c r="B529" s="7" t="s">
        <v>2503</v>
      </c>
      <c r="C529" s="8"/>
      <c r="D529" s="8"/>
      <c r="E529" s="9" t="s">
        <v>37</v>
      </c>
      <c r="F529" s="10" t="s">
        <v>159</v>
      </c>
      <c r="G529" s="10" t="s">
        <v>40</v>
      </c>
      <c r="H529" s="10" t="s">
        <v>3237</v>
      </c>
      <c r="I529" s="10"/>
      <c r="J529" s="11">
        <v>616144716</v>
      </c>
      <c r="K529" s="11"/>
      <c r="L529" s="10" t="s">
        <v>3238</v>
      </c>
      <c r="M529" s="10" t="s">
        <v>126</v>
      </c>
      <c r="N529" s="10" t="s">
        <v>297</v>
      </c>
      <c r="O529" s="10"/>
      <c r="P529" s="8"/>
      <c r="Q529" s="12"/>
    </row>
    <row r="530" spans="1:17" x14ac:dyDescent="0.2">
      <c r="A530">
        <f t="shared" si="8"/>
        <v>1701070</v>
      </c>
      <c r="B530" s="7" t="s">
        <v>2504</v>
      </c>
      <c r="C530" s="8"/>
      <c r="D530" s="8"/>
      <c r="E530" s="9" t="s">
        <v>37</v>
      </c>
      <c r="F530" s="10" t="s">
        <v>16</v>
      </c>
      <c r="G530" s="10" t="s">
        <v>207</v>
      </c>
      <c r="H530" s="10" t="s">
        <v>3239</v>
      </c>
      <c r="I530" s="10" t="s">
        <v>233</v>
      </c>
      <c r="J530" s="11">
        <v>856614576</v>
      </c>
      <c r="K530" s="11">
        <v>865618475</v>
      </c>
      <c r="L530" s="10" t="s">
        <v>3240</v>
      </c>
      <c r="M530" s="10" t="s">
        <v>47</v>
      </c>
      <c r="N530" s="10" t="s">
        <v>51</v>
      </c>
      <c r="O530" s="10">
        <v>2004</v>
      </c>
      <c r="P530" s="8">
        <v>42712</v>
      </c>
      <c r="Q530" s="12" t="s">
        <v>1740</v>
      </c>
    </row>
    <row r="531" spans="1:17" x14ac:dyDescent="0.2">
      <c r="A531">
        <f t="shared" si="8"/>
        <v>1701071</v>
      </c>
      <c r="B531" s="7" t="s">
        <v>2505</v>
      </c>
      <c r="C531" s="8"/>
      <c r="D531" s="8"/>
      <c r="E531" s="9" t="s">
        <v>37</v>
      </c>
      <c r="F531" s="10" t="s">
        <v>16</v>
      </c>
      <c r="G531" s="10" t="s">
        <v>337</v>
      </c>
      <c r="H531" s="10" t="s">
        <v>3241</v>
      </c>
      <c r="I531" s="10"/>
      <c r="J531" s="11">
        <v>991638419</v>
      </c>
      <c r="K531" s="11"/>
      <c r="L531" s="10" t="s">
        <v>3242</v>
      </c>
      <c r="M531" s="10" t="s">
        <v>58</v>
      </c>
      <c r="N531" s="10" t="s">
        <v>414</v>
      </c>
      <c r="O531" s="10">
        <v>2012</v>
      </c>
      <c r="P531" s="8">
        <v>42981</v>
      </c>
      <c r="Q531" s="12" t="s">
        <v>260</v>
      </c>
    </row>
    <row r="532" spans="1:17" x14ac:dyDescent="0.2">
      <c r="A532">
        <f t="shared" si="8"/>
        <v>1701072</v>
      </c>
      <c r="B532" s="7" t="s">
        <v>2506</v>
      </c>
      <c r="C532" s="8"/>
      <c r="D532" s="8"/>
      <c r="E532" s="9" t="s">
        <v>37</v>
      </c>
      <c r="F532" s="10" t="s">
        <v>16</v>
      </c>
      <c r="G532" s="10" t="s">
        <v>207</v>
      </c>
      <c r="H532" s="10" t="s">
        <v>3243</v>
      </c>
      <c r="I532" s="10" t="s">
        <v>233</v>
      </c>
      <c r="J532" s="11">
        <v>845123329</v>
      </c>
      <c r="K532" s="11"/>
      <c r="L532" s="10" t="s">
        <v>3244</v>
      </c>
      <c r="M532" s="10" t="s">
        <v>58</v>
      </c>
      <c r="N532" s="10" t="s">
        <v>647</v>
      </c>
      <c r="O532" s="10">
        <v>2014</v>
      </c>
      <c r="P532" s="8">
        <v>42991</v>
      </c>
      <c r="Q532" s="12" t="s">
        <v>1741</v>
      </c>
    </row>
    <row r="533" spans="1:17" x14ac:dyDescent="0.2">
      <c r="A533">
        <f t="shared" si="8"/>
        <v>1701073</v>
      </c>
      <c r="B533" s="7" t="s">
        <v>2507</v>
      </c>
      <c r="C533" s="8"/>
      <c r="D533" s="8"/>
      <c r="E533" s="9" t="s">
        <v>37</v>
      </c>
      <c r="F533" s="10" t="s">
        <v>16</v>
      </c>
      <c r="G533" s="10" t="s">
        <v>303</v>
      </c>
      <c r="H533" s="10" t="s">
        <v>3245</v>
      </c>
      <c r="I533" s="10" t="s">
        <v>3246</v>
      </c>
      <c r="J533" s="11">
        <v>820568015</v>
      </c>
      <c r="K533" s="11"/>
      <c r="L533" s="10" t="s">
        <v>3247</v>
      </c>
      <c r="M533" s="10" t="s">
        <v>126</v>
      </c>
      <c r="N533" s="10" t="s">
        <v>235</v>
      </c>
      <c r="O533" s="10">
        <v>2012</v>
      </c>
      <c r="P533" s="8">
        <v>42823</v>
      </c>
      <c r="Q533" s="12" t="s">
        <v>797</v>
      </c>
    </row>
    <row r="534" spans="1:17" x14ac:dyDescent="0.2">
      <c r="A534">
        <f t="shared" si="8"/>
        <v>1701074</v>
      </c>
      <c r="B534" s="7" t="s">
        <v>2508</v>
      </c>
      <c r="C534" s="8"/>
      <c r="D534" s="8"/>
      <c r="E534" s="9" t="s">
        <v>37</v>
      </c>
      <c r="F534" s="10" t="s">
        <v>16</v>
      </c>
      <c r="G534" s="10" t="s">
        <v>207</v>
      </c>
      <c r="H534" s="10" t="s">
        <v>3248</v>
      </c>
      <c r="I534" s="10" t="s">
        <v>305</v>
      </c>
      <c r="J534" s="11">
        <v>984606046</v>
      </c>
      <c r="K534" s="11"/>
      <c r="L534" s="10" t="s">
        <v>3249</v>
      </c>
      <c r="M534" s="10" t="s">
        <v>58</v>
      </c>
      <c r="N534" s="10" t="s">
        <v>414</v>
      </c>
      <c r="O534" s="10">
        <v>2005</v>
      </c>
      <c r="P534" s="8">
        <v>42947</v>
      </c>
      <c r="Q534" s="12" t="s">
        <v>382</v>
      </c>
    </row>
    <row r="535" spans="1:17" x14ac:dyDescent="0.2">
      <c r="A535">
        <f t="shared" si="8"/>
        <v>1701075</v>
      </c>
      <c r="B535" s="7" t="s">
        <v>2509</v>
      </c>
      <c r="C535" s="8"/>
      <c r="D535" s="8"/>
      <c r="E535" s="9" t="s">
        <v>37</v>
      </c>
      <c r="F535" s="10" t="s">
        <v>16</v>
      </c>
      <c r="G535" s="10" t="s">
        <v>207</v>
      </c>
      <c r="H535" s="10" t="s">
        <v>3250</v>
      </c>
      <c r="I535" s="10" t="s">
        <v>233</v>
      </c>
      <c r="J535" s="11">
        <v>632491995</v>
      </c>
      <c r="K535" s="11"/>
      <c r="L535" s="10" t="s">
        <v>3251</v>
      </c>
      <c r="M535" s="10" t="s">
        <v>58</v>
      </c>
      <c r="N535" s="10" t="s">
        <v>717</v>
      </c>
      <c r="O535" s="10">
        <v>2012</v>
      </c>
      <c r="P535" s="8">
        <v>43064</v>
      </c>
      <c r="Q535" s="12" t="s">
        <v>260</v>
      </c>
    </row>
    <row r="536" spans="1:17" x14ac:dyDescent="0.2">
      <c r="A536">
        <f t="shared" si="8"/>
        <v>1701076</v>
      </c>
      <c r="B536" s="7" t="s">
        <v>2510</v>
      </c>
      <c r="C536" s="8"/>
      <c r="D536" s="8"/>
      <c r="E536" s="9" t="s">
        <v>37</v>
      </c>
      <c r="F536" s="10" t="s">
        <v>16</v>
      </c>
      <c r="G536" s="10" t="s">
        <v>196</v>
      </c>
      <c r="H536" s="10" t="s">
        <v>3252</v>
      </c>
      <c r="I536" s="10" t="s">
        <v>222</v>
      </c>
      <c r="J536" s="11">
        <v>963860825</v>
      </c>
      <c r="K536" s="11"/>
      <c r="L536" s="10" t="s">
        <v>3253</v>
      </c>
      <c r="M536" s="10" t="s">
        <v>47</v>
      </c>
      <c r="N536" s="10" t="s">
        <v>51</v>
      </c>
      <c r="O536" s="10">
        <v>2014</v>
      </c>
      <c r="P536" s="8">
        <v>42804</v>
      </c>
      <c r="Q536" s="12" t="s">
        <v>564</v>
      </c>
    </row>
    <row r="537" spans="1:17" x14ac:dyDescent="0.2">
      <c r="A537">
        <f t="shared" si="8"/>
        <v>1701077</v>
      </c>
      <c r="B537" s="7" t="s">
        <v>2511</v>
      </c>
      <c r="C537" s="8"/>
      <c r="D537" s="8"/>
      <c r="E537" s="9" t="s">
        <v>37</v>
      </c>
      <c r="F537" s="10" t="s">
        <v>16</v>
      </c>
      <c r="G537" s="10" t="s">
        <v>207</v>
      </c>
      <c r="H537" s="10" t="s">
        <v>1656</v>
      </c>
      <c r="I537" s="10" t="s">
        <v>286</v>
      </c>
      <c r="J537" s="11">
        <v>894971525</v>
      </c>
      <c r="K537" s="11">
        <v>860039790</v>
      </c>
      <c r="L537" s="10" t="s">
        <v>1657</v>
      </c>
      <c r="M537" s="10" t="s">
        <v>47</v>
      </c>
      <c r="N537" s="10" t="s">
        <v>51</v>
      </c>
      <c r="O537" s="10">
        <v>2012</v>
      </c>
      <c r="P537" s="8">
        <v>42959</v>
      </c>
      <c r="Q537" s="12" t="s">
        <v>292</v>
      </c>
    </row>
    <row r="538" spans="1:17" x14ac:dyDescent="0.2">
      <c r="A538">
        <f t="shared" si="8"/>
        <v>1701078</v>
      </c>
      <c r="B538" s="7" t="s">
        <v>2512</v>
      </c>
      <c r="C538" s="8"/>
      <c r="D538" s="8"/>
      <c r="E538" s="9" t="s">
        <v>37</v>
      </c>
      <c r="F538" s="10" t="s">
        <v>16</v>
      </c>
      <c r="G538" s="10" t="s">
        <v>202</v>
      </c>
      <c r="H538" s="10" t="s">
        <v>1658</v>
      </c>
      <c r="I538" s="10" t="s">
        <v>305</v>
      </c>
      <c r="J538" s="11">
        <v>957583883</v>
      </c>
      <c r="K538" s="11"/>
      <c r="L538" s="10" t="s">
        <v>1659</v>
      </c>
      <c r="M538" s="10" t="s">
        <v>42</v>
      </c>
      <c r="N538" s="10" t="s">
        <v>84</v>
      </c>
      <c r="O538" s="10">
        <v>1999</v>
      </c>
      <c r="P538" s="8">
        <v>43066</v>
      </c>
      <c r="Q538" s="12">
        <v>3</v>
      </c>
    </row>
    <row r="539" spans="1:17" x14ac:dyDescent="0.2">
      <c r="A539">
        <f t="shared" si="8"/>
        <v>1701079</v>
      </c>
      <c r="B539" s="7" t="s">
        <v>2513</v>
      </c>
      <c r="C539" s="8"/>
      <c r="D539" s="8"/>
      <c r="E539" s="9" t="s">
        <v>37</v>
      </c>
      <c r="F539" s="10" t="s">
        <v>16</v>
      </c>
      <c r="G539" s="10" t="s">
        <v>207</v>
      </c>
      <c r="H539" s="10" t="s">
        <v>3254</v>
      </c>
      <c r="I539" s="10" t="s">
        <v>3255</v>
      </c>
      <c r="J539" s="11">
        <v>615788229</v>
      </c>
      <c r="K539" s="11"/>
      <c r="L539" s="10" t="s">
        <v>3256</v>
      </c>
      <c r="M539" s="10" t="s">
        <v>47</v>
      </c>
      <c r="N539" s="10" t="s">
        <v>106</v>
      </c>
      <c r="O539" s="10">
        <v>2012</v>
      </c>
      <c r="P539" s="8">
        <v>42880</v>
      </c>
      <c r="Q539" s="12" t="s">
        <v>382</v>
      </c>
    </row>
    <row r="540" spans="1:17" x14ac:dyDescent="0.2">
      <c r="A540">
        <f t="shared" si="8"/>
        <v>1701080</v>
      </c>
      <c r="B540" s="7" t="s">
        <v>2514</v>
      </c>
      <c r="C540" s="8"/>
      <c r="D540" s="8"/>
      <c r="E540" s="9" t="s">
        <v>37</v>
      </c>
      <c r="F540" s="10" t="s">
        <v>16</v>
      </c>
      <c r="G540" s="10" t="s">
        <v>225</v>
      </c>
      <c r="H540" s="10" t="s">
        <v>3257</v>
      </c>
      <c r="I540" s="10" t="s">
        <v>625</v>
      </c>
      <c r="J540" s="11">
        <v>818173764</v>
      </c>
      <c r="K540" s="11"/>
      <c r="L540" s="10" t="s">
        <v>373</v>
      </c>
      <c r="M540" s="10" t="s">
        <v>58</v>
      </c>
      <c r="N540" s="10" t="s">
        <v>59</v>
      </c>
      <c r="O540" s="10">
        <v>2012</v>
      </c>
      <c r="P540" s="8">
        <v>42785</v>
      </c>
      <c r="Q540" s="12" t="s">
        <v>374</v>
      </c>
    </row>
    <row r="541" spans="1:17" x14ac:dyDescent="0.2">
      <c r="A541">
        <f t="shared" si="8"/>
        <v>1701081</v>
      </c>
      <c r="B541" s="7" t="s">
        <v>2515</v>
      </c>
      <c r="C541" s="8"/>
      <c r="D541" s="8"/>
      <c r="E541" s="9" t="s">
        <v>37</v>
      </c>
      <c r="F541" s="10" t="s">
        <v>1936</v>
      </c>
      <c r="G541" s="10" t="s">
        <v>1936</v>
      </c>
      <c r="H541" s="10" t="s">
        <v>1936</v>
      </c>
      <c r="I541" s="10" t="s">
        <v>1936</v>
      </c>
      <c r="J541" s="11" t="s">
        <v>1936</v>
      </c>
      <c r="K541" s="11" t="s">
        <v>1936</v>
      </c>
      <c r="L541" s="10" t="s">
        <v>1936</v>
      </c>
      <c r="M541" s="10" t="s">
        <v>1936</v>
      </c>
      <c r="N541" s="10" t="s">
        <v>1936</v>
      </c>
      <c r="O541" s="10" t="s">
        <v>1936</v>
      </c>
      <c r="P541" s="8" t="s">
        <v>1936</v>
      </c>
      <c r="Q541" s="12" t="s">
        <v>1936</v>
      </c>
    </row>
    <row r="542" spans="1:17" x14ac:dyDescent="0.2">
      <c r="A542">
        <f t="shared" si="8"/>
        <v>1701082</v>
      </c>
      <c r="B542" s="7" t="s">
        <v>2516</v>
      </c>
      <c r="C542" s="8"/>
      <c r="D542" s="8"/>
      <c r="E542" s="9" t="s">
        <v>37</v>
      </c>
      <c r="F542" s="10" t="s">
        <v>16</v>
      </c>
      <c r="G542" s="10" t="s">
        <v>196</v>
      </c>
      <c r="H542" s="10" t="s">
        <v>3258</v>
      </c>
      <c r="I542" s="10" t="s">
        <v>506</v>
      </c>
      <c r="J542" s="11">
        <v>898874821</v>
      </c>
      <c r="K542" s="11" t="s">
        <v>40</v>
      </c>
      <c r="L542" s="10" t="s">
        <v>3259</v>
      </c>
      <c r="M542" s="10" t="s">
        <v>54</v>
      </c>
      <c r="N542" s="10" t="s">
        <v>72</v>
      </c>
      <c r="O542" s="10">
        <v>2012</v>
      </c>
      <c r="P542" s="8">
        <v>42804</v>
      </c>
      <c r="Q542" s="12" t="s">
        <v>1742</v>
      </c>
    </row>
    <row r="543" spans="1:17" x14ac:dyDescent="0.2">
      <c r="A543">
        <f t="shared" si="8"/>
        <v>1701083</v>
      </c>
      <c r="B543" s="7" t="s">
        <v>2517</v>
      </c>
      <c r="C543" s="8"/>
      <c r="D543" s="8"/>
      <c r="E543" s="9" t="s">
        <v>37</v>
      </c>
      <c r="F543" s="10" t="s">
        <v>16</v>
      </c>
      <c r="G543" s="10" t="s">
        <v>207</v>
      </c>
      <c r="H543" s="10" t="s">
        <v>1660</v>
      </c>
      <c r="I543" s="10"/>
      <c r="J543" s="11">
        <v>952495230</v>
      </c>
      <c r="K543" s="11"/>
      <c r="L543" s="10" t="s">
        <v>344</v>
      </c>
      <c r="M543" s="10" t="s">
        <v>126</v>
      </c>
      <c r="N543" s="10" t="s">
        <v>345</v>
      </c>
      <c r="O543" s="10">
        <v>2004</v>
      </c>
      <c r="P543" s="8">
        <v>42915</v>
      </c>
      <c r="Q543" s="12" t="s">
        <v>1743</v>
      </c>
    </row>
    <row r="544" spans="1:17" x14ac:dyDescent="0.2">
      <c r="A544">
        <f t="shared" si="8"/>
        <v>1701084</v>
      </c>
      <c r="B544" s="7" t="s">
        <v>2518</v>
      </c>
      <c r="C544" s="8"/>
      <c r="D544" s="8"/>
      <c r="E544" s="9" t="s">
        <v>37</v>
      </c>
      <c r="F544" s="10" t="s">
        <v>16</v>
      </c>
      <c r="G544" s="10" t="s">
        <v>207</v>
      </c>
      <c r="H544" s="10" t="s">
        <v>1661</v>
      </c>
      <c r="I544" s="10" t="s">
        <v>305</v>
      </c>
      <c r="J544" s="11">
        <v>821984425</v>
      </c>
      <c r="K544" s="11"/>
      <c r="L544" s="10" t="s">
        <v>1662</v>
      </c>
      <c r="M544" s="10" t="s">
        <v>126</v>
      </c>
      <c r="N544" s="10" t="s">
        <v>172</v>
      </c>
      <c r="O544" s="10">
        <v>2015</v>
      </c>
      <c r="P544" s="8" t="s">
        <v>1120</v>
      </c>
      <c r="Q544" s="12"/>
    </row>
    <row r="545" spans="1:17" x14ac:dyDescent="0.2">
      <c r="A545">
        <f t="shared" si="8"/>
        <v>1701085</v>
      </c>
      <c r="B545" s="7" t="s">
        <v>2519</v>
      </c>
      <c r="C545" s="8"/>
      <c r="D545" s="8"/>
      <c r="E545" s="9" t="s">
        <v>37</v>
      </c>
      <c r="F545" s="10" t="s">
        <v>16</v>
      </c>
      <c r="G545" s="10" t="s">
        <v>337</v>
      </c>
      <c r="H545" s="10" t="s">
        <v>1974</v>
      </c>
      <c r="I545" s="10" t="s">
        <v>1192</v>
      </c>
      <c r="J545" s="11">
        <v>917133317</v>
      </c>
      <c r="K545" s="11"/>
      <c r="L545" s="10" t="s">
        <v>1975</v>
      </c>
      <c r="M545" s="10" t="s">
        <v>47</v>
      </c>
      <c r="N545" s="10" t="s">
        <v>51</v>
      </c>
      <c r="O545" s="10">
        <v>2012</v>
      </c>
      <c r="P545" s="8">
        <v>42842</v>
      </c>
      <c r="Q545" s="12" t="s">
        <v>540</v>
      </c>
    </row>
    <row r="546" spans="1:17" x14ac:dyDescent="0.2">
      <c r="A546">
        <f t="shared" si="8"/>
        <v>1701086</v>
      </c>
      <c r="B546" s="7" t="s">
        <v>2520</v>
      </c>
      <c r="C546" s="8"/>
      <c r="D546" s="8"/>
      <c r="E546" s="9" t="s">
        <v>37</v>
      </c>
      <c r="F546" s="10" t="s">
        <v>16</v>
      </c>
      <c r="G546" s="10" t="s">
        <v>202</v>
      </c>
      <c r="H546" s="10" t="s">
        <v>3260</v>
      </c>
      <c r="I546" s="10" t="s">
        <v>263</v>
      </c>
      <c r="J546" s="11">
        <v>925518211</v>
      </c>
      <c r="K546" s="11"/>
      <c r="L546" s="10" t="s">
        <v>3261</v>
      </c>
      <c r="M546" s="10" t="s">
        <v>126</v>
      </c>
      <c r="N546" s="10" t="s">
        <v>172</v>
      </c>
      <c r="O546" s="10">
        <v>2012</v>
      </c>
      <c r="P546" s="8" t="s">
        <v>1120</v>
      </c>
      <c r="Q546" s="12"/>
    </row>
    <row r="547" spans="1:17" x14ac:dyDescent="0.2">
      <c r="A547">
        <f t="shared" si="8"/>
        <v>1701087</v>
      </c>
      <c r="B547" s="7" t="s">
        <v>2521</v>
      </c>
      <c r="C547" s="8"/>
      <c r="D547" s="8"/>
      <c r="E547" s="9" t="s">
        <v>37</v>
      </c>
      <c r="F547" s="10" t="s">
        <v>16</v>
      </c>
      <c r="G547" s="10" t="s">
        <v>207</v>
      </c>
      <c r="H547" s="10" t="s">
        <v>3262</v>
      </c>
      <c r="I547" s="10" t="s">
        <v>233</v>
      </c>
      <c r="J547" s="11">
        <v>833001890</v>
      </c>
      <c r="K547" s="11"/>
      <c r="L547" s="10" t="s">
        <v>1744</v>
      </c>
      <c r="M547" s="10" t="s">
        <v>126</v>
      </c>
      <c r="N547" s="10" t="s">
        <v>172</v>
      </c>
      <c r="O547" s="10">
        <v>2014</v>
      </c>
      <c r="P547" s="8">
        <v>42757</v>
      </c>
      <c r="Q547" s="12" t="s">
        <v>564</v>
      </c>
    </row>
    <row r="548" spans="1:17" x14ac:dyDescent="0.2">
      <c r="A548">
        <f t="shared" si="8"/>
        <v>1701088</v>
      </c>
      <c r="B548" s="7" t="s">
        <v>2522</v>
      </c>
      <c r="C548" s="8"/>
      <c r="D548" s="8"/>
      <c r="E548" s="9" t="s">
        <v>37</v>
      </c>
      <c r="F548" s="10" t="s">
        <v>16</v>
      </c>
      <c r="G548" s="10" t="s">
        <v>225</v>
      </c>
      <c r="H548" s="10" t="s">
        <v>1745</v>
      </c>
      <c r="I548" s="10" t="s">
        <v>577</v>
      </c>
      <c r="J548" s="11">
        <v>851678357</v>
      </c>
      <c r="K548" s="11"/>
      <c r="L548" s="10" t="s">
        <v>1746</v>
      </c>
      <c r="M548" s="10" t="s">
        <v>42</v>
      </c>
      <c r="N548" s="10" t="s">
        <v>84</v>
      </c>
      <c r="O548" s="10">
        <v>2008</v>
      </c>
      <c r="P548" s="8" t="s">
        <v>1120</v>
      </c>
      <c r="Q548" s="12"/>
    </row>
    <row r="549" spans="1:17" x14ac:dyDescent="0.2">
      <c r="A549">
        <f t="shared" si="8"/>
        <v>1701089</v>
      </c>
      <c r="B549" s="7" t="s">
        <v>2523</v>
      </c>
      <c r="C549" s="8"/>
      <c r="D549" s="8"/>
      <c r="E549" s="9" t="s">
        <v>37</v>
      </c>
      <c r="F549" s="10" t="s">
        <v>16</v>
      </c>
      <c r="G549" s="10" t="s">
        <v>207</v>
      </c>
      <c r="H549" s="10" t="s">
        <v>3263</v>
      </c>
      <c r="I549" s="10" t="s">
        <v>3264</v>
      </c>
      <c r="J549" s="11">
        <v>811443937</v>
      </c>
      <c r="K549" s="11"/>
      <c r="L549" s="10" t="s">
        <v>3265</v>
      </c>
      <c r="M549" s="10" t="s">
        <v>47</v>
      </c>
      <c r="N549" s="10" t="s">
        <v>51</v>
      </c>
      <c r="O549" s="10">
        <v>2004</v>
      </c>
      <c r="P549" s="8">
        <v>42821</v>
      </c>
      <c r="Q549" s="12" t="s">
        <v>331</v>
      </c>
    </row>
    <row r="550" spans="1:17" x14ac:dyDescent="0.2">
      <c r="A550">
        <f t="shared" si="8"/>
        <v>1701090</v>
      </c>
      <c r="B550" s="7" t="s">
        <v>2524</v>
      </c>
      <c r="C550" s="8"/>
      <c r="D550" s="8"/>
      <c r="E550" s="9" t="s">
        <v>37</v>
      </c>
      <c r="F550" s="10" t="s">
        <v>16</v>
      </c>
      <c r="G550" s="10" t="s">
        <v>207</v>
      </c>
      <c r="H550" s="10" t="s">
        <v>1747</v>
      </c>
      <c r="I550" s="10" t="s">
        <v>233</v>
      </c>
      <c r="J550" s="11">
        <v>835476595</v>
      </c>
      <c r="K550" s="11"/>
      <c r="L550" s="10" t="s">
        <v>1748</v>
      </c>
      <c r="M550" s="10" t="s">
        <v>54</v>
      </c>
      <c r="N550" s="10" t="s">
        <v>873</v>
      </c>
      <c r="O550" s="10">
        <v>2001</v>
      </c>
      <c r="P550" s="8">
        <v>43026</v>
      </c>
      <c r="Q550" s="12" t="s">
        <v>217</v>
      </c>
    </row>
    <row r="551" spans="1:17" x14ac:dyDescent="0.2">
      <c r="A551">
        <f t="shared" si="8"/>
        <v>1701091</v>
      </c>
      <c r="B551" s="7" t="s">
        <v>2525</v>
      </c>
      <c r="C551" s="8"/>
      <c r="D551" s="8"/>
      <c r="E551" s="9" t="s">
        <v>37</v>
      </c>
      <c r="F551" s="10" t="s">
        <v>16</v>
      </c>
      <c r="G551" s="10" t="s">
        <v>207</v>
      </c>
      <c r="H551" s="10" t="s">
        <v>3266</v>
      </c>
      <c r="I551" s="10" t="s">
        <v>243</v>
      </c>
      <c r="J551" s="11">
        <v>837883715</v>
      </c>
      <c r="K551" s="11"/>
      <c r="L551" s="10" t="s">
        <v>3267</v>
      </c>
      <c r="M551" s="10" t="s">
        <v>58</v>
      </c>
      <c r="N551" s="10" t="s">
        <v>717</v>
      </c>
      <c r="O551" s="10">
        <v>2013</v>
      </c>
      <c r="P551" s="8">
        <v>42770</v>
      </c>
      <c r="Q551" s="12" t="s">
        <v>540</v>
      </c>
    </row>
    <row r="552" spans="1:17" x14ac:dyDescent="0.2">
      <c r="A552">
        <f t="shared" si="8"/>
        <v>1701092</v>
      </c>
      <c r="B552" s="7" t="s">
        <v>2526</v>
      </c>
      <c r="C552" s="8"/>
      <c r="D552" s="8"/>
      <c r="E552" s="9" t="s">
        <v>37</v>
      </c>
      <c r="F552" s="10" t="s">
        <v>16</v>
      </c>
      <c r="G552" s="10" t="s">
        <v>207</v>
      </c>
      <c r="H552" s="10" t="s">
        <v>3268</v>
      </c>
      <c r="I552" s="10" t="s">
        <v>286</v>
      </c>
      <c r="J552" s="11">
        <v>616085905</v>
      </c>
      <c r="K552" s="11"/>
      <c r="L552" s="10" t="s">
        <v>3269</v>
      </c>
      <c r="M552" s="10" t="s">
        <v>58</v>
      </c>
      <c r="N552" s="10" t="s">
        <v>3270</v>
      </c>
      <c r="O552" s="10">
        <v>2013</v>
      </c>
      <c r="P552" s="8">
        <v>42973</v>
      </c>
      <c r="Q552" s="12" t="s">
        <v>436</v>
      </c>
    </row>
    <row r="553" spans="1:17" x14ac:dyDescent="0.2">
      <c r="A553">
        <f t="shared" si="8"/>
        <v>1701093</v>
      </c>
      <c r="B553" s="7" t="s">
        <v>2527</v>
      </c>
      <c r="C553" s="8"/>
      <c r="D553" s="8"/>
      <c r="E553" s="9" t="s">
        <v>37</v>
      </c>
      <c r="F553" s="10" t="s">
        <v>16</v>
      </c>
      <c r="G553" s="10" t="s">
        <v>580</v>
      </c>
      <c r="H553" s="10" t="s">
        <v>3271</v>
      </c>
      <c r="I553" s="10" t="s">
        <v>492</v>
      </c>
      <c r="J553" s="11">
        <v>846754441</v>
      </c>
      <c r="K553" s="11"/>
      <c r="L553" s="10" t="s">
        <v>1749</v>
      </c>
      <c r="M553" s="10" t="s">
        <v>54</v>
      </c>
      <c r="N553" s="10" t="s">
        <v>3272</v>
      </c>
      <c r="O553" s="10">
        <v>2014</v>
      </c>
      <c r="P553" s="8">
        <v>43045</v>
      </c>
      <c r="Q553" s="12" t="s">
        <v>251</v>
      </c>
    </row>
    <row r="554" spans="1:17" x14ac:dyDescent="0.2">
      <c r="A554">
        <f t="shared" si="8"/>
        <v>1701094</v>
      </c>
      <c r="B554" s="7" t="s">
        <v>2528</v>
      </c>
      <c r="C554" s="8"/>
      <c r="D554" s="8"/>
      <c r="E554" s="9" t="s">
        <v>37</v>
      </c>
      <c r="F554" s="10" t="s">
        <v>16</v>
      </c>
      <c r="G554" s="10" t="s">
        <v>231</v>
      </c>
      <c r="H554" s="10" t="s">
        <v>3273</v>
      </c>
      <c r="I554" s="10" t="s">
        <v>233</v>
      </c>
      <c r="J554" s="11">
        <v>631911899</v>
      </c>
      <c r="K554" s="11"/>
      <c r="L554" s="10" t="s">
        <v>3274</v>
      </c>
      <c r="M554" s="10" t="s">
        <v>47</v>
      </c>
      <c r="N554" s="10" t="s">
        <v>106</v>
      </c>
      <c r="O554" s="10">
        <v>2013</v>
      </c>
      <c r="P554" s="8">
        <v>42981</v>
      </c>
      <c r="Q554" s="12" t="s">
        <v>251</v>
      </c>
    </row>
    <row r="555" spans="1:17" x14ac:dyDescent="0.2">
      <c r="A555">
        <f t="shared" si="8"/>
        <v>1701095</v>
      </c>
      <c r="B555" s="7" t="s">
        <v>2529</v>
      </c>
      <c r="C555" s="8"/>
      <c r="D555" s="8"/>
      <c r="E555" s="9" t="s">
        <v>37</v>
      </c>
      <c r="F555" s="10" t="s">
        <v>16</v>
      </c>
      <c r="G555" s="10" t="s">
        <v>207</v>
      </c>
      <c r="H555" s="10" t="s">
        <v>3275</v>
      </c>
      <c r="I555" s="10" t="s">
        <v>433</v>
      </c>
      <c r="J555" s="11">
        <v>618206593</v>
      </c>
      <c r="K555" s="11"/>
      <c r="L555" s="10" t="s">
        <v>3276</v>
      </c>
      <c r="M555" s="10" t="s">
        <v>42</v>
      </c>
      <c r="N555" s="10" t="s">
        <v>84</v>
      </c>
      <c r="O555" s="10">
        <v>2007</v>
      </c>
      <c r="P555" s="8">
        <v>42808</v>
      </c>
      <c r="Q555" s="12" t="s">
        <v>217</v>
      </c>
    </row>
    <row r="556" spans="1:17" x14ac:dyDescent="0.2">
      <c r="A556">
        <f t="shared" si="8"/>
        <v>1701096</v>
      </c>
      <c r="B556" s="7" t="s">
        <v>2530</v>
      </c>
      <c r="C556" s="8"/>
      <c r="D556" s="8"/>
      <c r="E556" s="9" t="s">
        <v>37</v>
      </c>
      <c r="F556" s="10" t="s">
        <v>16</v>
      </c>
      <c r="G556" s="10" t="s">
        <v>40</v>
      </c>
      <c r="H556" s="10" t="s">
        <v>3277</v>
      </c>
      <c r="I556" s="10" t="s">
        <v>271</v>
      </c>
      <c r="J556" s="11">
        <v>615903753</v>
      </c>
      <c r="K556" s="11"/>
      <c r="L556" s="10" t="s">
        <v>3278</v>
      </c>
      <c r="M556" s="10" t="s">
        <v>58</v>
      </c>
      <c r="N556" s="10" t="s">
        <v>647</v>
      </c>
      <c r="O556" s="10">
        <v>2016</v>
      </c>
      <c r="P556" s="8">
        <v>42976</v>
      </c>
      <c r="Q556" s="12" t="s">
        <v>1750</v>
      </c>
    </row>
    <row r="557" spans="1:17" x14ac:dyDescent="0.2">
      <c r="A557">
        <f t="shared" si="8"/>
        <v>1701097</v>
      </c>
      <c r="B557" s="7" t="s">
        <v>2531</v>
      </c>
      <c r="C557" s="8"/>
      <c r="D557" s="8"/>
      <c r="E557" s="9" t="s">
        <v>37</v>
      </c>
      <c r="F557" s="10" t="s">
        <v>16</v>
      </c>
      <c r="G557" s="10" t="s">
        <v>207</v>
      </c>
      <c r="H557" s="10" t="s">
        <v>3279</v>
      </c>
      <c r="I557" s="10" t="s">
        <v>979</v>
      </c>
      <c r="J557" s="11">
        <v>624098697</v>
      </c>
      <c r="K557" s="11"/>
      <c r="L557" s="10" t="s">
        <v>3280</v>
      </c>
      <c r="M557" s="10" t="s">
        <v>54</v>
      </c>
      <c r="N557" s="10" t="s">
        <v>3281</v>
      </c>
      <c r="O557" s="10">
        <v>2005</v>
      </c>
      <c r="P557" s="8">
        <v>42798</v>
      </c>
      <c r="Q557" s="12" t="s">
        <v>1740</v>
      </c>
    </row>
    <row r="558" spans="1:17" x14ac:dyDescent="0.2">
      <c r="A558">
        <f t="shared" si="8"/>
        <v>1701098</v>
      </c>
      <c r="B558" s="7" t="s">
        <v>2532</v>
      </c>
      <c r="C558" s="8"/>
      <c r="D558" s="8"/>
      <c r="E558" s="9" t="s">
        <v>37</v>
      </c>
      <c r="F558" s="10" t="s">
        <v>16</v>
      </c>
      <c r="G558" s="10" t="s">
        <v>225</v>
      </c>
      <c r="H558" s="10" t="s">
        <v>3282</v>
      </c>
      <c r="I558" s="10" t="s">
        <v>222</v>
      </c>
      <c r="J558" s="11">
        <v>816458861</v>
      </c>
      <c r="K558" s="11"/>
      <c r="L558" s="10" t="s">
        <v>3283</v>
      </c>
      <c r="M558" s="10" t="s">
        <v>54</v>
      </c>
      <c r="N558" s="10" t="s">
        <v>3272</v>
      </c>
      <c r="O558" s="10">
        <v>2012</v>
      </c>
      <c r="P558" s="8">
        <v>42749</v>
      </c>
      <c r="Q558" s="12" t="s">
        <v>524</v>
      </c>
    </row>
    <row r="559" spans="1:17" x14ac:dyDescent="0.2">
      <c r="A559">
        <f t="shared" si="8"/>
        <v>1701099</v>
      </c>
      <c r="B559" s="7" t="s">
        <v>2533</v>
      </c>
      <c r="C559" s="8"/>
      <c r="D559" s="8"/>
      <c r="E559" s="9" t="s">
        <v>37</v>
      </c>
      <c r="F559" s="10" t="s">
        <v>16</v>
      </c>
      <c r="G559" s="10" t="s">
        <v>207</v>
      </c>
      <c r="H559" s="10" t="s">
        <v>3284</v>
      </c>
      <c r="I559" s="10" t="s">
        <v>506</v>
      </c>
      <c r="J559" s="11">
        <v>890201930</v>
      </c>
      <c r="K559" s="11"/>
      <c r="L559" s="10" t="s">
        <v>3285</v>
      </c>
      <c r="M559" s="10" t="s">
        <v>47</v>
      </c>
      <c r="N559" s="10" t="s">
        <v>106</v>
      </c>
      <c r="O559" s="10">
        <v>2008</v>
      </c>
      <c r="P559" s="8">
        <v>42791</v>
      </c>
      <c r="Q559" s="12" t="s">
        <v>246</v>
      </c>
    </row>
    <row r="560" spans="1:17" x14ac:dyDescent="0.2">
      <c r="A560">
        <f t="shared" si="8"/>
        <v>1701100</v>
      </c>
      <c r="B560" s="7" t="s">
        <v>2534</v>
      </c>
      <c r="C560" s="8"/>
      <c r="D560" s="8"/>
      <c r="E560" s="9" t="s">
        <v>37</v>
      </c>
      <c r="F560" s="10" t="s">
        <v>16</v>
      </c>
      <c r="G560" s="10" t="s">
        <v>207</v>
      </c>
      <c r="H560" s="10" t="s">
        <v>3286</v>
      </c>
      <c r="I560" s="10" t="s">
        <v>233</v>
      </c>
      <c r="J560" s="11">
        <v>815536987</v>
      </c>
      <c r="K560" s="11"/>
      <c r="L560" s="10" t="s">
        <v>3287</v>
      </c>
      <c r="M560" s="10" t="s">
        <v>42</v>
      </c>
      <c r="N560" s="10" t="s">
        <v>43</v>
      </c>
      <c r="O560" s="10">
        <v>2012</v>
      </c>
      <c r="P560" s="8">
        <v>42613</v>
      </c>
      <c r="Q560" s="12" t="s">
        <v>350</v>
      </c>
    </row>
    <row r="561" spans="1:17" x14ac:dyDescent="0.2">
      <c r="A561">
        <f t="shared" si="8"/>
        <v>1701101</v>
      </c>
      <c r="B561" s="7" t="s">
        <v>2535</v>
      </c>
      <c r="C561" s="8"/>
      <c r="D561" s="8"/>
      <c r="E561" s="9" t="s">
        <v>37</v>
      </c>
      <c r="F561" s="10" t="s">
        <v>16</v>
      </c>
      <c r="G561" s="10" t="s">
        <v>207</v>
      </c>
      <c r="H561" s="10" t="s">
        <v>3288</v>
      </c>
      <c r="I561" s="10" t="s">
        <v>263</v>
      </c>
      <c r="J561" s="11">
        <v>850570556</v>
      </c>
      <c r="K561" s="11"/>
      <c r="L561" s="10" t="s">
        <v>3289</v>
      </c>
      <c r="M561" s="10" t="s">
        <v>47</v>
      </c>
      <c r="N561" s="10" t="s">
        <v>209</v>
      </c>
      <c r="O561" s="10">
        <v>2012</v>
      </c>
      <c r="P561" s="8">
        <v>42954</v>
      </c>
      <c r="Q561" s="12" t="s">
        <v>1751</v>
      </c>
    </row>
    <row r="562" spans="1:17" x14ac:dyDescent="0.2">
      <c r="A562">
        <f t="shared" si="8"/>
        <v>1701102</v>
      </c>
      <c r="B562" s="7" t="s">
        <v>2536</v>
      </c>
      <c r="C562" s="8"/>
      <c r="D562" s="8"/>
      <c r="E562" s="9" t="s">
        <v>37</v>
      </c>
      <c r="F562" s="10" t="s">
        <v>16</v>
      </c>
      <c r="G562" s="10" t="s">
        <v>207</v>
      </c>
      <c r="H562" s="10" t="s">
        <v>3290</v>
      </c>
      <c r="I562" s="10" t="s">
        <v>457</v>
      </c>
      <c r="J562" s="11">
        <v>643200734</v>
      </c>
      <c r="K562" s="11"/>
      <c r="L562" s="10" t="s">
        <v>3291</v>
      </c>
      <c r="M562" s="10" t="s">
        <v>47</v>
      </c>
      <c r="N562" s="10" t="s">
        <v>212</v>
      </c>
      <c r="O562" s="10">
        <v>2014</v>
      </c>
      <c r="P562" s="8">
        <v>42812</v>
      </c>
      <c r="Q562" s="12" t="s">
        <v>909</v>
      </c>
    </row>
    <row r="563" spans="1:17" x14ac:dyDescent="0.2">
      <c r="A563">
        <f t="shared" si="8"/>
        <v>1701103</v>
      </c>
      <c r="B563" s="7" t="s">
        <v>2537</v>
      </c>
      <c r="C563" s="8"/>
      <c r="D563" s="8"/>
      <c r="E563" s="9" t="s">
        <v>37</v>
      </c>
      <c r="F563" s="10" t="s">
        <v>16</v>
      </c>
      <c r="G563" s="10" t="s">
        <v>207</v>
      </c>
      <c r="H563" s="10" t="s">
        <v>3292</v>
      </c>
      <c r="I563" s="10" t="s">
        <v>233</v>
      </c>
      <c r="J563" s="11">
        <v>880224946</v>
      </c>
      <c r="K563" s="11"/>
      <c r="L563" s="10" t="s">
        <v>3293</v>
      </c>
      <c r="M563" s="10" t="s">
        <v>47</v>
      </c>
      <c r="N563" s="10" t="s">
        <v>48</v>
      </c>
      <c r="O563" s="10">
        <v>2005</v>
      </c>
      <c r="P563" s="8">
        <v>42916</v>
      </c>
      <c r="Q563" s="12" t="s">
        <v>217</v>
      </c>
    </row>
    <row r="564" spans="1:17" x14ac:dyDescent="0.2">
      <c r="A564">
        <f t="shared" si="8"/>
        <v>1701104</v>
      </c>
      <c r="B564" s="7" t="s">
        <v>2538</v>
      </c>
      <c r="C564" s="8"/>
      <c r="D564" s="8"/>
      <c r="E564" s="9" t="s">
        <v>37</v>
      </c>
      <c r="F564" s="10" t="s">
        <v>16</v>
      </c>
      <c r="G564" s="10" t="s">
        <v>337</v>
      </c>
      <c r="H564" s="10" t="s">
        <v>3294</v>
      </c>
      <c r="I564" s="10" t="s">
        <v>305</v>
      </c>
      <c r="J564" s="11">
        <v>812863432</v>
      </c>
      <c r="K564" s="11"/>
      <c r="L564" s="10" t="s">
        <v>3295</v>
      </c>
      <c r="M564" s="10" t="s">
        <v>282</v>
      </c>
      <c r="N564" s="10" t="s">
        <v>283</v>
      </c>
      <c r="O564" s="10">
        <v>2011</v>
      </c>
      <c r="P564" s="8">
        <v>42786</v>
      </c>
      <c r="Q564" s="12" t="s">
        <v>335</v>
      </c>
    </row>
    <row r="565" spans="1:17" x14ac:dyDescent="0.2">
      <c r="A565">
        <f t="shared" si="8"/>
        <v>1701105</v>
      </c>
      <c r="B565" s="7" t="s">
        <v>2539</v>
      </c>
      <c r="C565" s="8"/>
      <c r="D565" s="8"/>
      <c r="E565" s="9" t="s">
        <v>37</v>
      </c>
      <c r="F565" s="10" t="s">
        <v>16</v>
      </c>
      <c r="G565" s="10" t="s">
        <v>337</v>
      </c>
      <c r="H565" s="10" t="s">
        <v>3296</v>
      </c>
      <c r="I565" s="10" t="s">
        <v>305</v>
      </c>
      <c r="J565" s="11">
        <v>865151380</v>
      </c>
      <c r="K565" s="11"/>
      <c r="L565" s="10" t="s">
        <v>3297</v>
      </c>
      <c r="M565" s="10" t="s">
        <v>42</v>
      </c>
      <c r="N565" s="10" t="s">
        <v>43</v>
      </c>
      <c r="O565" s="10">
        <v>2006</v>
      </c>
      <c r="P565" s="8" t="s">
        <v>1120</v>
      </c>
      <c r="Q565" s="12"/>
    </row>
    <row r="566" spans="1:17" x14ac:dyDescent="0.2">
      <c r="A566">
        <f t="shared" si="8"/>
        <v>1701106</v>
      </c>
      <c r="B566" s="7" t="s">
        <v>2540</v>
      </c>
      <c r="C566" s="8"/>
      <c r="D566" s="8"/>
      <c r="E566" s="9" t="s">
        <v>37</v>
      </c>
      <c r="F566" s="10" t="s">
        <v>16</v>
      </c>
      <c r="G566" s="10" t="s">
        <v>337</v>
      </c>
      <c r="H566" s="10" t="s">
        <v>3298</v>
      </c>
      <c r="I566" s="10" t="s">
        <v>286</v>
      </c>
      <c r="J566" s="11">
        <v>853955614</v>
      </c>
      <c r="K566" s="11"/>
      <c r="L566" s="10" t="s">
        <v>3299</v>
      </c>
      <c r="M566" s="10" t="s">
        <v>58</v>
      </c>
      <c r="N566" s="10" t="s">
        <v>414</v>
      </c>
      <c r="O566" s="10">
        <v>2009</v>
      </c>
      <c r="P566" s="8">
        <v>42823</v>
      </c>
      <c r="Q566" s="12" t="s">
        <v>251</v>
      </c>
    </row>
    <row r="567" spans="1:17" x14ac:dyDescent="0.2">
      <c r="A567">
        <f t="shared" si="8"/>
        <v>1701107</v>
      </c>
      <c r="B567" s="7" t="s">
        <v>2541</v>
      </c>
      <c r="C567" s="8"/>
      <c r="D567" s="8"/>
      <c r="E567" s="9" t="s">
        <v>37</v>
      </c>
      <c r="F567" s="10" t="s">
        <v>16</v>
      </c>
      <c r="G567" s="10" t="s">
        <v>220</v>
      </c>
      <c r="H567" s="10" t="s">
        <v>3300</v>
      </c>
      <c r="I567" s="10" t="s">
        <v>452</v>
      </c>
      <c r="J567" s="11">
        <v>858185188</v>
      </c>
      <c r="K567" s="11"/>
      <c r="L567" s="10" t="s">
        <v>3301</v>
      </c>
      <c r="M567" s="10" t="s">
        <v>58</v>
      </c>
      <c r="N567" s="10" t="s">
        <v>1154</v>
      </c>
      <c r="O567" s="10">
        <v>2007</v>
      </c>
      <c r="P567" s="8">
        <v>42899</v>
      </c>
      <c r="Q567" s="12" t="s">
        <v>774</v>
      </c>
    </row>
    <row r="568" spans="1:17" x14ac:dyDescent="0.2">
      <c r="A568">
        <f t="shared" si="8"/>
        <v>1701108</v>
      </c>
      <c r="B568" s="7" t="s">
        <v>2542</v>
      </c>
      <c r="C568" s="8"/>
      <c r="D568" s="8"/>
      <c r="E568" s="9" t="s">
        <v>37</v>
      </c>
      <c r="F568" s="10" t="s">
        <v>16</v>
      </c>
      <c r="G568" s="10" t="s">
        <v>303</v>
      </c>
      <c r="H568" s="10" t="s">
        <v>3302</v>
      </c>
      <c r="I568" s="10" t="s">
        <v>305</v>
      </c>
      <c r="J568" s="11">
        <v>863838434</v>
      </c>
      <c r="K568" s="11"/>
      <c r="L568" s="10" t="s">
        <v>3303</v>
      </c>
      <c r="M568" s="10" t="s">
        <v>54</v>
      </c>
      <c r="N568" s="10" t="s">
        <v>194</v>
      </c>
      <c r="O568" s="10">
        <v>2010</v>
      </c>
      <c r="P568" s="8">
        <v>42826</v>
      </c>
      <c r="Q568" s="12" t="s">
        <v>540</v>
      </c>
    </row>
    <row r="569" spans="1:17" x14ac:dyDescent="0.2">
      <c r="A569">
        <f t="shared" si="8"/>
        <v>1701109</v>
      </c>
      <c r="B569" s="7" t="s">
        <v>2543</v>
      </c>
      <c r="C569" s="8"/>
      <c r="D569" s="8"/>
      <c r="E569" s="9" t="s">
        <v>37</v>
      </c>
      <c r="F569" s="10" t="s">
        <v>16</v>
      </c>
      <c r="G569" s="10" t="s">
        <v>225</v>
      </c>
      <c r="H569" s="10" t="s">
        <v>1752</v>
      </c>
      <c r="I569" s="10" t="s">
        <v>452</v>
      </c>
      <c r="J569" s="11">
        <v>817509831</v>
      </c>
      <c r="K569" s="11"/>
      <c r="L569" s="10" t="s">
        <v>1753</v>
      </c>
      <c r="M569" s="10" t="s">
        <v>54</v>
      </c>
      <c r="N569" s="10" t="s">
        <v>837</v>
      </c>
      <c r="O569" s="10">
        <v>2011</v>
      </c>
      <c r="P569" s="8">
        <v>42882</v>
      </c>
      <c r="Q569" s="12" t="s">
        <v>1754</v>
      </c>
    </row>
    <row r="570" spans="1:17" x14ac:dyDescent="0.2">
      <c r="A570">
        <f t="shared" si="8"/>
        <v>1701110</v>
      </c>
      <c r="B570" s="7" t="s">
        <v>2544</v>
      </c>
      <c r="C570" s="8"/>
      <c r="D570" s="8"/>
      <c r="E570" s="9" t="s">
        <v>37</v>
      </c>
      <c r="F570" s="10" t="s">
        <v>16</v>
      </c>
      <c r="G570" s="10" t="s">
        <v>225</v>
      </c>
      <c r="H570" s="10" t="s">
        <v>3304</v>
      </c>
      <c r="I570" s="10" t="s">
        <v>243</v>
      </c>
      <c r="J570" s="11">
        <v>934744865</v>
      </c>
      <c r="K570" s="11"/>
      <c r="L570" s="10" t="s">
        <v>3305</v>
      </c>
      <c r="M570" s="10" t="s">
        <v>47</v>
      </c>
      <c r="N570" s="10" t="s">
        <v>106</v>
      </c>
      <c r="O570" s="10">
        <v>2011</v>
      </c>
      <c r="P570" s="8">
        <v>42812</v>
      </c>
      <c r="Q570" s="12" t="s">
        <v>540</v>
      </c>
    </row>
    <row r="571" spans="1:17" x14ac:dyDescent="0.2">
      <c r="A571">
        <f t="shared" si="8"/>
        <v>1701111</v>
      </c>
      <c r="B571" s="7" t="s">
        <v>2545</v>
      </c>
      <c r="C571" s="8"/>
      <c r="D571" s="8"/>
      <c r="E571" s="9" t="s">
        <v>37</v>
      </c>
      <c r="F571" s="10" t="s">
        <v>16</v>
      </c>
      <c r="G571" s="10" t="s">
        <v>207</v>
      </c>
      <c r="H571" s="10" t="s">
        <v>3306</v>
      </c>
      <c r="I571" s="10" t="s">
        <v>243</v>
      </c>
      <c r="J571" s="11">
        <v>980961047</v>
      </c>
      <c r="K571" s="11"/>
      <c r="L571" s="10" t="s">
        <v>3307</v>
      </c>
      <c r="M571" s="10" t="s">
        <v>47</v>
      </c>
      <c r="N571" s="10" t="s">
        <v>51</v>
      </c>
      <c r="O571" s="10">
        <v>2004</v>
      </c>
      <c r="P571" s="8">
        <v>42855</v>
      </c>
      <c r="Q571" s="12" t="s">
        <v>229</v>
      </c>
    </row>
    <row r="572" spans="1:17" x14ac:dyDescent="0.2">
      <c r="A572">
        <f t="shared" si="8"/>
        <v>1701112</v>
      </c>
      <c r="B572" s="7" t="s">
        <v>2546</v>
      </c>
      <c r="C572" s="8"/>
      <c r="D572" s="8"/>
      <c r="E572" s="9" t="s">
        <v>37</v>
      </c>
      <c r="F572" s="10" t="s">
        <v>40</v>
      </c>
      <c r="G572" s="10" t="s">
        <v>40</v>
      </c>
      <c r="H572" s="10" t="s">
        <v>3306</v>
      </c>
      <c r="I572" s="10" t="s">
        <v>243</v>
      </c>
      <c r="J572" s="11">
        <v>980961047</v>
      </c>
      <c r="K572" s="11">
        <v>0</v>
      </c>
      <c r="L572" s="10" t="s">
        <v>3308</v>
      </c>
      <c r="M572" s="10" t="s">
        <v>47</v>
      </c>
      <c r="N572" s="10" t="s">
        <v>51</v>
      </c>
      <c r="O572" s="10">
        <v>2004</v>
      </c>
      <c r="P572" s="8">
        <v>42855</v>
      </c>
      <c r="Q572" s="12" t="s">
        <v>229</v>
      </c>
    </row>
    <row r="573" spans="1:17" x14ac:dyDescent="0.2">
      <c r="A573">
        <f t="shared" si="8"/>
        <v>1701113</v>
      </c>
      <c r="B573" s="7" t="s">
        <v>2547</v>
      </c>
      <c r="C573" s="8"/>
      <c r="D573" s="8"/>
      <c r="E573" s="9" t="s">
        <v>37</v>
      </c>
      <c r="F573" s="10" t="s">
        <v>16</v>
      </c>
      <c r="G573" s="10" t="s">
        <v>202</v>
      </c>
      <c r="H573" s="10" t="s">
        <v>3309</v>
      </c>
      <c r="I573" s="10" t="s">
        <v>254</v>
      </c>
      <c r="J573" s="11">
        <v>834498294</v>
      </c>
      <c r="K573" s="11"/>
      <c r="L573" s="10" t="s">
        <v>3310</v>
      </c>
      <c r="M573" s="10" t="s">
        <v>126</v>
      </c>
      <c r="N573" s="10" t="s">
        <v>297</v>
      </c>
      <c r="O573" s="10">
        <v>2012</v>
      </c>
      <c r="P573" s="8">
        <v>42797</v>
      </c>
      <c r="Q573" s="12" t="s">
        <v>288</v>
      </c>
    </row>
    <row r="574" spans="1:17" x14ac:dyDescent="0.2">
      <c r="A574">
        <f t="shared" si="8"/>
        <v>1701114</v>
      </c>
      <c r="B574" s="7" t="s">
        <v>2548</v>
      </c>
      <c r="C574" s="8"/>
      <c r="D574" s="8"/>
      <c r="E574" s="9" t="s">
        <v>37</v>
      </c>
      <c r="F574" s="10" t="s">
        <v>16</v>
      </c>
      <c r="G574" s="10" t="s">
        <v>337</v>
      </c>
      <c r="H574" s="10" t="s">
        <v>3311</v>
      </c>
      <c r="I574" s="10" t="s">
        <v>271</v>
      </c>
      <c r="J574" s="11">
        <v>984600907</v>
      </c>
      <c r="K574" s="11"/>
      <c r="L574" s="10" t="s">
        <v>3312</v>
      </c>
      <c r="M574" s="10" t="s">
        <v>93</v>
      </c>
      <c r="N574" s="10" t="s">
        <v>155</v>
      </c>
      <c r="O574" s="10">
        <v>2012</v>
      </c>
      <c r="P574" s="8" t="s">
        <v>1120</v>
      </c>
      <c r="Q574" s="12"/>
    </row>
    <row r="575" spans="1:17" x14ac:dyDescent="0.2">
      <c r="A575">
        <f t="shared" si="8"/>
        <v>1701115</v>
      </c>
      <c r="B575" s="7" t="s">
        <v>2549</v>
      </c>
      <c r="C575" s="8"/>
      <c r="D575" s="8"/>
      <c r="E575" s="9" t="s">
        <v>37</v>
      </c>
      <c r="F575" s="10" t="s">
        <v>16</v>
      </c>
      <c r="G575" s="10" t="s">
        <v>207</v>
      </c>
      <c r="H575" s="10" t="s">
        <v>3313</v>
      </c>
      <c r="I575" s="10" t="s">
        <v>243</v>
      </c>
      <c r="J575" s="11">
        <v>616162950</v>
      </c>
      <c r="K575" s="11"/>
      <c r="L575" s="10" t="s">
        <v>3314</v>
      </c>
      <c r="M575" s="10" t="s">
        <v>58</v>
      </c>
      <c r="N575" s="10" t="s">
        <v>717</v>
      </c>
      <c r="O575" s="10">
        <v>2011</v>
      </c>
      <c r="P575" s="8">
        <v>42805</v>
      </c>
      <c r="Q575" s="12" t="s">
        <v>251</v>
      </c>
    </row>
    <row r="576" spans="1:17" x14ac:dyDescent="0.2">
      <c r="A576">
        <f t="shared" si="8"/>
        <v>1701116</v>
      </c>
      <c r="B576" s="7" t="s">
        <v>2550</v>
      </c>
      <c r="C576" s="8"/>
      <c r="D576" s="8"/>
      <c r="E576" s="9" t="s">
        <v>37</v>
      </c>
      <c r="F576" s="10" t="s">
        <v>16</v>
      </c>
      <c r="G576" s="10" t="s">
        <v>199</v>
      </c>
      <c r="H576" s="10" t="s">
        <v>3315</v>
      </c>
      <c r="I576" s="10" t="s">
        <v>263</v>
      </c>
      <c r="J576" s="11">
        <v>952516238</v>
      </c>
      <c r="K576" s="11"/>
      <c r="L576" s="10" t="s">
        <v>3316</v>
      </c>
      <c r="M576" s="10" t="s">
        <v>87</v>
      </c>
      <c r="N576" s="10">
        <v>2</v>
      </c>
      <c r="O576" s="10">
        <v>2013</v>
      </c>
      <c r="P576" s="8">
        <v>42886</v>
      </c>
      <c r="Q576" s="12" t="s">
        <v>256</v>
      </c>
    </row>
    <row r="577" spans="1:17" x14ac:dyDescent="0.2">
      <c r="A577">
        <f t="shared" si="8"/>
        <v>1701117</v>
      </c>
      <c r="B577" s="7" t="s">
        <v>2551</v>
      </c>
      <c r="C577" s="8"/>
      <c r="D577" s="8"/>
      <c r="E577" s="9" t="s">
        <v>37</v>
      </c>
      <c r="F577" s="10" t="s">
        <v>16</v>
      </c>
      <c r="G577" s="10" t="s">
        <v>207</v>
      </c>
      <c r="H577" s="10" t="s">
        <v>1540</v>
      </c>
      <c r="I577" s="10" t="s">
        <v>286</v>
      </c>
      <c r="J577" s="11">
        <v>896752294</v>
      </c>
      <c r="K577" s="11"/>
      <c r="L577" s="10" t="s">
        <v>1541</v>
      </c>
      <c r="M577" s="10" t="s">
        <v>58</v>
      </c>
      <c r="N577" s="10" t="s">
        <v>717</v>
      </c>
      <c r="O577" s="10">
        <v>2011</v>
      </c>
      <c r="P577" s="8">
        <v>42984</v>
      </c>
      <c r="Q577" s="12" t="s">
        <v>1542</v>
      </c>
    </row>
    <row r="578" spans="1:17" x14ac:dyDescent="0.2">
      <c r="A578">
        <f t="shared" si="8"/>
        <v>1701118</v>
      </c>
      <c r="B578" s="7" t="s">
        <v>2552</v>
      </c>
      <c r="C578" s="8"/>
      <c r="D578" s="8"/>
      <c r="E578" s="9" t="s">
        <v>37</v>
      </c>
      <c r="F578" s="10" t="s">
        <v>16</v>
      </c>
      <c r="G578" s="10" t="s">
        <v>1729</v>
      </c>
      <c r="H578" s="10" t="s">
        <v>3317</v>
      </c>
      <c r="I578" s="10" t="s">
        <v>215</v>
      </c>
      <c r="J578" s="11">
        <v>979393659</v>
      </c>
      <c r="K578" s="11">
        <v>619894485</v>
      </c>
      <c r="L578" s="10" t="s">
        <v>3318</v>
      </c>
      <c r="M578" s="10" t="s">
        <v>87</v>
      </c>
      <c r="N578" s="10">
        <v>3</v>
      </c>
      <c r="O578" s="10">
        <v>2005</v>
      </c>
      <c r="P578" s="8" t="s">
        <v>1120</v>
      </c>
      <c r="Q578" s="12"/>
    </row>
    <row r="579" spans="1:17" x14ac:dyDescent="0.2">
      <c r="A579">
        <f t="shared" si="8"/>
        <v>1701119</v>
      </c>
      <c r="B579" s="7" t="s">
        <v>2553</v>
      </c>
      <c r="C579" s="8"/>
      <c r="D579" s="8"/>
      <c r="E579" s="9" t="s">
        <v>37</v>
      </c>
      <c r="F579" s="10" t="s">
        <v>16</v>
      </c>
      <c r="G579" s="10" t="s">
        <v>337</v>
      </c>
      <c r="H579" s="10" t="s">
        <v>3319</v>
      </c>
      <c r="I579" s="10" t="s">
        <v>263</v>
      </c>
      <c r="J579" s="11">
        <v>896610115</v>
      </c>
      <c r="K579" s="11">
        <v>815658114</v>
      </c>
      <c r="L579" s="10" t="s">
        <v>3320</v>
      </c>
      <c r="M579" s="10" t="s">
        <v>126</v>
      </c>
      <c r="N579" s="10" t="s">
        <v>3321</v>
      </c>
      <c r="O579" s="10">
        <v>2002</v>
      </c>
      <c r="P579" s="8">
        <v>42836</v>
      </c>
      <c r="Q579" s="12" t="s">
        <v>331</v>
      </c>
    </row>
    <row r="580" spans="1:17" x14ac:dyDescent="0.2">
      <c r="A580">
        <f t="shared" ref="A580:A643" si="9">VALUE(B580)</f>
        <v>1701120</v>
      </c>
      <c r="B580" s="7" t="s">
        <v>2554</v>
      </c>
      <c r="C580" s="8"/>
      <c r="D580" s="8"/>
      <c r="E580" s="9" t="s">
        <v>37</v>
      </c>
      <c r="F580" s="10" t="s">
        <v>159</v>
      </c>
      <c r="G580" s="10" t="s">
        <v>40</v>
      </c>
      <c r="H580" s="10" t="s">
        <v>1663</v>
      </c>
      <c r="I580" s="10" t="s">
        <v>263</v>
      </c>
      <c r="J580" s="11">
        <v>802949872</v>
      </c>
      <c r="K580" s="11"/>
      <c r="L580" s="10" t="s">
        <v>1664</v>
      </c>
      <c r="M580" s="10" t="s">
        <v>47</v>
      </c>
      <c r="N580" s="10" t="s">
        <v>51</v>
      </c>
      <c r="O580" s="10"/>
      <c r="P580" s="8"/>
      <c r="Q580" s="12"/>
    </row>
    <row r="581" spans="1:17" x14ac:dyDescent="0.2">
      <c r="A581">
        <f t="shared" si="9"/>
        <v>1701121</v>
      </c>
      <c r="B581" s="7" t="s">
        <v>2555</v>
      </c>
      <c r="C581" s="8"/>
      <c r="D581" s="8"/>
      <c r="E581" s="9" t="s">
        <v>37</v>
      </c>
      <c r="F581" s="10" t="s">
        <v>16</v>
      </c>
      <c r="G581" s="10" t="s">
        <v>202</v>
      </c>
      <c r="H581" s="10" t="s">
        <v>1665</v>
      </c>
      <c r="I581" s="10" t="s">
        <v>254</v>
      </c>
      <c r="J581" s="11">
        <v>945520315</v>
      </c>
      <c r="K581" s="11"/>
      <c r="L581" s="10" t="s">
        <v>1666</v>
      </c>
      <c r="M581" s="10" t="s">
        <v>47</v>
      </c>
      <c r="N581" s="10" t="s">
        <v>106</v>
      </c>
      <c r="O581" s="10">
        <v>2009</v>
      </c>
      <c r="P581" s="8">
        <v>43092</v>
      </c>
      <c r="Q581" s="12" t="s">
        <v>335</v>
      </c>
    </row>
    <row r="582" spans="1:17" x14ac:dyDescent="0.2">
      <c r="A582">
        <f t="shared" si="9"/>
        <v>1701122</v>
      </c>
      <c r="B582" s="7" t="s">
        <v>2556</v>
      </c>
      <c r="C582" s="8"/>
      <c r="D582" s="8"/>
      <c r="E582" s="9" t="s">
        <v>37</v>
      </c>
      <c r="F582" s="10" t="s">
        <v>16</v>
      </c>
      <c r="G582" s="10" t="s">
        <v>3155</v>
      </c>
      <c r="H582" s="10" t="s">
        <v>3322</v>
      </c>
      <c r="I582" s="10" t="s">
        <v>233</v>
      </c>
      <c r="J582" s="11">
        <v>811705153</v>
      </c>
      <c r="K582" s="11">
        <v>0</v>
      </c>
      <c r="L582" s="10" t="s">
        <v>3323</v>
      </c>
      <c r="M582" s="10" t="s">
        <v>3324</v>
      </c>
      <c r="N582" s="10" t="s">
        <v>3325</v>
      </c>
      <c r="O582" s="10">
        <v>2004</v>
      </c>
      <c r="P582" s="8">
        <v>42803</v>
      </c>
      <c r="Q582" s="12" t="s">
        <v>685</v>
      </c>
    </row>
    <row r="583" spans="1:17" x14ac:dyDescent="0.2">
      <c r="A583">
        <f t="shared" si="9"/>
        <v>1701123</v>
      </c>
      <c r="B583" s="7" t="s">
        <v>2557</v>
      </c>
      <c r="C583" s="8"/>
      <c r="D583" s="8"/>
      <c r="E583" s="9" t="s">
        <v>37</v>
      </c>
      <c r="F583" s="10" t="s">
        <v>16</v>
      </c>
      <c r="G583" s="10" t="s">
        <v>207</v>
      </c>
      <c r="H583" s="10" t="s">
        <v>3326</v>
      </c>
      <c r="I583" s="10" t="s">
        <v>625</v>
      </c>
      <c r="J583" s="11">
        <v>899544324</v>
      </c>
      <c r="K583" s="11">
        <v>982591134</v>
      </c>
      <c r="L583" s="10" t="s">
        <v>3327</v>
      </c>
      <c r="M583" s="10" t="s">
        <v>58</v>
      </c>
      <c r="N583" s="10" t="s">
        <v>59</v>
      </c>
      <c r="O583" s="10">
        <v>2011</v>
      </c>
      <c r="P583" s="8">
        <v>43120</v>
      </c>
      <c r="Q583" s="12" t="s">
        <v>1755</v>
      </c>
    </row>
    <row r="584" spans="1:17" x14ac:dyDescent="0.2">
      <c r="A584">
        <f t="shared" si="9"/>
        <v>1701124</v>
      </c>
      <c r="B584" s="7" t="s">
        <v>2558</v>
      </c>
      <c r="C584" s="8"/>
      <c r="D584" s="8"/>
      <c r="E584" s="9" t="s">
        <v>37</v>
      </c>
      <c r="F584" s="10" t="s">
        <v>16</v>
      </c>
      <c r="G584" s="10" t="s">
        <v>225</v>
      </c>
      <c r="H584" s="10" t="s">
        <v>3328</v>
      </c>
      <c r="I584" s="10" t="s">
        <v>452</v>
      </c>
      <c r="J584" s="11">
        <v>841121920</v>
      </c>
      <c r="K584" s="11">
        <v>815559602</v>
      </c>
      <c r="L584" s="10" t="s">
        <v>3329</v>
      </c>
      <c r="M584" s="10" t="s">
        <v>54</v>
      </c>
      <c r="N584" s="10" t="s">
        <v>3281</v>
      </c>
      <c r="O584" s="10">
        <v>0</v>
      </c>
      <c r="P584" s="8" t="s">
        <v>44</v>
      </c>
      <c r="Q584" s="12" t="s">
        <v>596</v>
      </c>
    </row>
    <row r="585" spans="1:17" x14ac:dyDescent="0.2">
      <c r="A585">
        <f t="shared" si="9"/>
        <v>1701125</v>
      </c>
      <c r="B585" s="7" t="s">
        <v>2559</v>
      </c>
      <c r="C585" s="8"/>
      <c r="D585" s="8"/>
      <c r="E585" s="9" t="s">
        <v>37</v>
      </c>
      <c r="F585" s="10" t="s">
        <v>16</v>
      </c>
      <c r="G585" s="10" t="s">
        <v>207</v>
      </c>
      <c r="H585" s="10" t="s">
        <v>3330</v>
      </c>
      <c r="I585" s="10" t="s">
        <v>305</v>
      </c>
      <c r="J585" s="11">
        <v>802622627</v>
      </c>
      <c r="K585" s="11">
        <v>846420738</v>
      </c>
      <c r="L585" s="10" t="s">
        <v>3331</v>
      </c>
      <c r="M585" s="10" t="s">
        <v>42</v>
      </c>
      <c r="N585" s="10" t="s">
        <v>75</v>
      </c>
      <c r="O585" s="10">
        <v>2003</v>
      </c>
      <c r="P585" s="8">
        <v>42891</v>
      </c>
      <c r="Q585" s="12" t="s">
        <v>217</v>
      </c>
    </row>
    <row r="586" spans="1:17" x14ac:dyDescent="0.2">
      <c r="A586">
        <f t="shared" si="9"/>
        <v>1701126</v>
      </c>
      <c r="B586" s="7" t="s">
        <v>2560</v>
      </c>
      <c r="C586" s="8"/>
      <c r="D586" s="8"/>
      <c r="E586" s="9" t="s">
        <v>37</v>
      </c>
      <c r="F586" s="10" t="s">
        <v>16</v>
      </c>
      <c r="G586" s="10" t="s">
        <v>231</v>
      </c>
      <c r="H586" s="10" t="s">
        <v>3332</v>
      </c>
      <c r="I586" s="10" t="s">
        <v>263</v>
      </c>
      <c r="J586" s="11">
        <v>982707977</v>
      </c>
      <c r="K586" s="11">
        <v>0</v>
      </c>
      <c r="L586" s="10" t="s">
        <v>3333</v>
      </c>
      <c r="M586" s="10" t="s">
        <v>54</v>
      </c>
      <c r="N586" s="10" t="s">
        <v>194</v>
      </c>
      <c r="O586" s="10">
        <v>2006</v>
      </c>
      <c r="P586" s="8">
        <v>42869</v>
      </c>
      <c r="Q586" s="12" t="s">
        <v>909</v>
      </c>
    </row>
    <row r="587" spans="1:17" x14ac:dyDescent="0.2">
      <c r="A587">
        <f t="shared" si="9"/>
        <v>1701127</v>
      </c>
      <c r="B587" s="7" t="s">
        <v>2561</v>
      </c>
      <c r="C587" s="8"/>
      <c r="D587" s="8"/>
      <c r="E587" s="9" t="s">
        <v>37</v>
      </c>
      <c r="F587" s="10" t="s">
        <v>16</v>
      </c>
      <c r="G587" s="10" t="s">
        <v>199</v>
      </c>
      <c r="H587" s="10" t="s">
        <v>3334</v>
      </c>
      <c r="I587" s="10" t="s">
        <v>286</v>
      </c>
      <c r="J587" s="11">
        <v>625144525</v>
      </c>
      <c r="K587" s="11"/>
      <c r="L587" s="10" t="s">
        <v>3335</v>
      </c>
      <c r="M587" s="10" t="s">
        <v>126</v>
      </c>
      <c r="N587" s="10" t="s">
        <v>410</v>
      </c>
      <c r="O587" s="10">
        <v>0</v>
      </c>
      <c r="P587" s="8">
        <v>43067</v>
      </c>
      <c r="Q587" s="12">
        <v>3</v>
      </c>
    </row>
    <row r="588" spans="1:17" x14ac:dyDescent="0.2">
      <c r="A588">
        <f t="shared" si="9"/>
        <v>1701128</v>
      </c>
      <c r="B588" s="7" t="s">
        <v>2562</v>
      </c>
      <c r="C588" s="8"/>
      <c r="D588" s="8"/>
      <c r="E588" s="9" t="s">
        <v>37</v>
      </c>
      <c r="F588" s="10" t="s">
        <v>16</v>
      </c>
      <c r="G588" s="10" t="s">
        <v>202</v>
      </c>
      <c r="H588" s="10" t="s">
        <v>1756</v>
      </c>
      <c r="I588" s="10" t="s">
        <v>339</v>
      </c>
      <c r="J588" s="11">
        <v>819612232</v>
      </c>
      <c r="K588" s="11">
        <v>819362232</v>
      </c>
      <c r="L588" s="10" t="s">
        <v>1757</v>
      </c>
      <c r="M588" s="10" t="s">
        <v>47</v>
      </c>
      <c r="N588" s="10" t="s">
        <v>48</v>
      </c>
      <c r="O588" s="10">
        <v>2006</v>
      </c>
      <c r="P588" s="8" t="s">
        <v>1120</v>
      </c>
      <c r="Q588" s="12"/>
    </row>
    <row r="589" spans="1:17" x14ac:dyDescent="0.2">
      <c r="A589">
        <f t="shared" si="9"/>
        <v>1701129</v>
      </c>
      <c r="B589" s="7" t="s">
        <v>2563</v>
      </c>
      <c r="C589" s="8"/>
      <c r="D589" s="8"/>
      <c r="E589" s="9" t="s">
        <v>37</v>
      </c>
      <c r="F589" s="10" t="s">
        <v>16</v>
      </c>
      <c r="G589" s="10" t="s">
        <v>207</v>
      </c>
      <c r="H589" s="10" t="s">
        <v>3336</v>
      </c>
      <c r="I589" s="10" t="s">
        <v>263</v>
      </c>
      <c r="J589" s="11">
        <v>870271860</v>
      </c>
      <c r="K589" s="11"/>
      <c r="L589" s="10" t="s">
        <v>3337</v>
      </c>
      <c r="M589" s="10" t="s">
        <v>58</v>
      </c>
      <c r="N589" s="10" t="s">
        <v>717</v>
      </c>
      <c r="O589" s="10">
        <v>2009</v>
      </c>
      <c r="P589" s="8">
        <v>42877</v>
      </c>
      <c r="Q589" s="12" t="s">
        <v>292</v>
      </c>
    </row>
    <row r="590" spans="1:17" x14ac:dyDescent="0.2">
      <c r="A590">
        <f t="shared" si="9"/>
        <v>1701130</v>
      </c>
      <c r="B590" s="7" t="s">
        <v>2564</v>
      </c>
      <c r="C590" s="8"/>
      <c r="D590" s="8"/>
      <c r="E590" s="9" t="s">
        <v>37</v>
      </c>
      <c r="F590" s="10" t="s">
        <v>16</v>
      </c>
      <c r="G590" s="10" t="s">
        <v>196</v>
      </c>
      <c r="H590" s="10" t="s">
        <v>3338</v>
      </c>
      <c r="I590" s="10"/>
      <c r="J590" s="11">
        <v>879573594</v>
      </c>
      <c r="K590" s="11">
        <v>879573592</v>
      </c>
      <c r="L590" s="10" t="s">
        <v>3339</v>
      </c>
      <c r="M590" s="10" t="s">
        <v>47</v>
      </c>
      <c r="N590" s="10" t="s">
        <v>106</v>
      </c>
      <c r="O590" s="10">
        <v>2008</v>
      </c>
      <c r="P590" s="8">
        <v>42764</v>
      </c>
      <c r="Q590" s="12" t="s">
        <v>256</v>
      </c>
    </row>
    <row r="591" spans="1:17" x14ac:dyDescent="0.2">
      <c r="A591">
        <f t="shared" si="9"/>
        <v>1701131</v>
      </c>
      <c r="B591" s="7" t="s">
        <v>2565</v>
      </c>
      <c r="C591" s="8"/>
      <c r="D591" s="8"/>
      <c r="E591" s="9" t="s">
        <v>37</v>
      </c>
      <c r="F591" s="10" t="s">
        <v>16</v>
      </c>
      <c r="G591" s="10" t="s">
        <v>225</v>
      </c>
      <c r="H591" s="10" t="s">
        <v>3340</v>
      </c>
      <c r="I591" s="10"/>
      <c r="J591" s="11">
        <v>926201384</v>
      </c>
      <c r="K591" s="11"/>
      <c r="L591" s="10" t="s">
        <v>3341</v>
      </c>
      <c r="M591" s="10" t="s">
        <v>87</v>
      </c>
      <c r="N591" s="10" t="s">
        <v>498</v>
      </c>
      <c r="O591" s="10">
        <v>2012</v>
      </c>
      <c r="P591" s="8">
        <v>42817</v>
      </c>
      <c r="Q591" s="12" t="s">
        <v>301</v>
      </c>
    </row>
    <row r="592" spans="1:17" x14ac:dyDescent="0.2">
      <c r="A592">
        <f t="shared" si="9"/>
        <v>1701132</v>
      </c>
      <c r="B592" s="7" t="s">
        <v>2566</v>
      </c>
      <c r="C592" s="8"/>
      <c r="D592" s="8"/>
      <c r="E592" s="9" t="s">
        <v>37</v>
      </c>
      <c r="F592" s="10" t="s">
        <v>16</v>
      </c>
      <c r="G592" s="10" t="s">
        <v>202</v>
      </c>
      <c r="H592" s="10" t="s">
        <v>3342</v>
      </c>
      <c r="I592" s="10" t="s">
        <v>222</v>
      </c>
      <c r="J592" s="11">
        <v>817336411</v>
      </c>
      <c r="K592" s="11"/>
      <c r="L592" s="10" t="s">
        <v>3343</v>
      </c>
      <c r="M592" s="10" t="s">
        <v>87</v>
      </c>
      <c r="N592" s="10">
        <v>3</v>
      </c>
      <c r="O592" s="10">
        <v>2010</v>
      </c>
      <c r="P592" s="8">
        <v>42793</v>
      </c>
      <c r="Q592" s="12" t="s">
        <v>260</v>
      </c>
    </row>
    <row r="593" spans="1:17" x14ac:dyDescent="0.2">
      <c r="A593">
        <f t="shared" si="9"/>
        <v>1701133</v>
      </c>
      <c r="B593" s="7" t="s">
        <v>2567</v>
      </c>
      <c r="C593" s="8"/>
      <c r="D593" s="8"/>
      <c r="E593" s="9" t="s">
        <v>37</v>
      </c>
      <c r="F593" s="10" t="s">
        <v>16</v>
      </c>
      <c r="G593" s="10" t="s">
        <v>337</v>
      </c>
      <c r="H593" s="10" t="s">
        <v>3344</v>
      </c>
      <c r="I593" s="10"/>
      <c r="J593" s="11">
        <v>991688211</v>
      </c>
      <c r="K593" s="11"/>
      <c r="L593" s="10" t="s">
        <v>3345</v>
      </c>
      <c r="M593" s="10" t="s">
        <v>93</v>
      </c>
      <c r="N593" s="10" t="s">
        <v>155</v>
      </c>
      <c r="O593" s="10">
        <v>2014</v>
      </c>
      <c r="P593" s="8" t="s">
        <v>1120</v>
      </c>
      <c r="Q593" s="12"/>
    </row>
    <row r="594" spans="1:17" x14ac:dyDescent="0.2">
      <c r="A594">
        <f t="shared" si="9"/>
        <v>1701134</v>
      </c>
      <c r="B594" s="7" t="s">
        <v>2568</v>
      </c>
      <c r="C594" s="8"/>
      <c r="D594" s="8"/>
      <c r="E594" s="9" t="s">
        <v>37</v>
      </c>
      <c r="F594" s="10" t="s">
        <v>159</v>
      </c>
      <c r="G594" s="10" t="s">
        <v>40</v>
      </c>
      <c r="H594" s="10" t="s">
        <v>3346</v>
      </c>
      <c r="I594" s="10"/>
      <c r="J594" s="11">
        <v>830809607</v>
      </c>
      <c r="K594" s="11">
        <v>813710632</v>
      </c>
      <c r="L594" s="10" t="s">
        <v>3347</v>
      </c>
      <c r="M594" s="10" t="s">
        <v>47</v>
      </c>
      <c r="N594" s="10" t="s">
        <v>51</v>
      </c>
      <c r="O594" s="10"/>
      <c r="P594" s="8"/>
      <c r="Q594" s="12"/>
    </row>
    <row r="595" spans="1:17" x14ac:dyDescent="0.2">
      <c r="A595">
        <f t="shared" si="9"/>
        <v>1701135</v>
      </c>
      <c r="B595" s="7" t="s">
        <v>2569</v>
      </c>
      <c r="C595" s="8"/>
      <c r="D595" s="8"/>
      <c r="E595" s="9" t="s">
        <v>37</v>
      </c>
      <c r="F595" s="10" t="s">
        <v>16</v>
      </c>
      <c r="G595" s="10" t="s">
        <v>1729</v>
      </c>
      <c r="H595" s="10" t="s">
        <v>1600</v>
      </c>
      <c r="I595" s="10"/>
      <c r="J595" s="11">
        <v>800238465</v>
      </c>
      <c r="K595" s="11"/>
      <c r="L595" s="10" t="s">
        <v>1602</v>
      </c>
      <c r="M595" s="10" t="s">
        <v>47</v>
      </c>
      <c r="N595" s="10" t="s">
        <v>51</v>
      </c>
      <c r="O595" s="10">
        <v>2013</v>
      </c>
      <c r="P595" s="8">
        <v>42851</v>
      </c>
      <c r="Q595" s="12" t="s">
        <v>251</v>
      </c>
    </row>
    <row r="596" spans="1:17" x14ac:dyDescent="0.2">
      <c r="A596">
        <f t="shared" si="9"/>
        <v>1701136</v>
      </c>
      <c r="B596" s="7" t="s">
        <v>2570</v>
      </c>
      <c r="C596" s="8"/>
      <c r="D596" s="8"/>
      <c r="E596" s="9" t="s">
        <v>37</v>
      </c>
      <c r="F596" s="10" t="s">
        <v>16</v>
      </c>
      <c r="G596" s="10" t="s">
        <v>337</v>
      </c>
      <c r="H596" s="10" t="s">
        <v>1092</v>
      </c>
      <c r="I596" s="10" t="s">
        <v>243</v>
      </c>
      <c r="J596" s="11">
        <v>981349877</v>
      </c>
      <c r="K596" s="11"/>
      <c r="L596" s="10" t="s">
        <v>1093</v>
      </c>
      <c r="M596" s="10" t="s">
        <v>93</v>
      </c>
      <c r="N596" s="10" t="s">
        <v>94</v>
      </c>
      <c r="O596" s="10">
        <v>2011</v>
      </c>
      <c r="P596" s="8">
        <v>42720</v>
      </c>
      <c r="Q596" s="12" t="s">
        <v>341</v>
      </c>
    </row>
    <row r="597" spans="1:17" x14ac:dyDescent="0.2">
      <c r="A597">
        <f t="shared" si="9"/>
        <v>1701137</v>
      </c>
      <c r="B597" s="7" t="s">
        <v>2571</v>
      </c>
      <c r="C597" s="8"/>
      <c r="D597" s="8"/>
      <c r="E597" s="9" t="s">
        <v>37</v>
      </c>
      <c r="F597" s="10" t="s">
        <v>16</v>
      </c>
      <c r="G597" s="10" t="s">
        <v>202</v>
      </c>
      <c r="H597" s="10" t="s">
        <v>3348</v>
      </c>
      <c r="I597" s="10" t="s">
        <v>979</v>
      </c>
      <c r="J597" s="11">
        <v>890770627</v>
      </c>
      <c r="K597" s="11"/>
      <c r="L597" s="10" t="s">
        <v>1667</v>
      </c>
      <c r="M597" s="10" t="s">
        <v>42</v>
      </c>
      <c r="N597" s="10" t="s">
        <v>75</v>
      </c>
      <c r="O597" s="10">
        <v>2012</v>
      </c>
      <c r="P597" s="8">
        <v>42956</v>
      </c>
      <c r="Q597" s="12" t="s">
        <v>877</v>
      </c>
    </row>
    <row r="598" spans="1:17" x14ac:dyDescent="0.2">
      <c r="A598">
        <f t="shared" si="9"/>
        <v>1701138</v>
      </c>
      <c r="B598" s="7" t="s">
        <v>2572</v>
      </c>
      <c r="C598" s="8"/>
      <c r="D598" s="8"/>
      <c r="E598" s="9" t="s">
        <v>37</v>
      </c>
      <c r="F598" s="10" t="s">
        <v>16</v>
      </c>
      <c r="G598" s="10" t="s">
        <v>207</v>
      </c>
      <c r="H598" s="10" t="s">
        <v>3349</v>
      </c>
      <c r="I598" s="10" t="s">
        <v>254</v>
      </c>
      <c r="J598" s="11">
        <v>870687476</v>
      </c>
      <c r="K598" s="11"/>
      <c r="L598" s="10" t="s">
        <v>3350</v>
      </c>
      <c r="M598" s="10" t="s">
        <v>47</v>
      </c>
      <c r="N598" s="10" t="s">
        <v>106</v>
      </c>
      <c r="O598" s="10">
        <v>2013</v>
      </c>
      <c r="P598" s="8">
        <v>42796</v>
      </c>
      <c r="Q598" s="12" t="s">
        <v>415</v>
      </c>
    </row>
    <row r="599" spans="1:17" x14ac:dyDescent="0.2">
      <c r="A599">
        <f t="shared" si="9"/>
        <v>1701139</v>
      </c>
      <c r="B599" s="7" t="s">
        <v>2573</v>
      </c>
      <c r="C599" s="8"/>
      <c r="D599" s="8"/>
      <c r="E599" s="9" t="s">
        <v>37</v>
      </c>
      <c r="F599" s="10" t="s">
        <v>16</v>
      </c>
      <c r="G599" s="10" t="s">
        <v>207</v>
      </c>
      <c r="H599" s="10" t="s">
        <v>3351</v>
      </c>
      <c r="I599" s="10" t="s">
        <v>243</v>
      </c>
      <c r="J599" s="11">
        <v>891233224</v>
      </c>
      <c r="K599" s="11"/>
      <c r="L599" s="10" t="s">
        <v>3352</v>
      </c>
      <c r="M599" s="10" t="s">
        <v>47</v>
      </c>
      <c r="N599" s="10" t="s">
        <v>78</v>
      </c>
      <c r="O599" s="10">
        <v>2011</v>
      </c>
      <c r="P599" s="8">
        <v>42818</v>
      </c>
      <c r="Q599" s="12" t="s">
        <v>1758</v>
      </c>
    </row>
    <row r="600" spans="1:17" x14ac:dyDescent="0.2">
      <c r="A600">
        <f t="shared" si="9"/>
        <v>1701140</v>
      </c>
      <c r="B600" s="7" t="s">
        <v>2574</v>
      </c>
      <c r="C600" s="8"/>
      <c r="D600" s="8"/>
      <c r="E600" s="9" t="s">
        <v>37</v>
      </c>
      <c r="F600" s="10" t="s">
        <v>16</v>
      </c>
      <c r="G600" s="10" t="s">
        <v>207</v>
      </c>
      <c r="H600" s="10" t="s">
        <v>3353</v>
      </c>
      <c r="I600" s="10" t="s">
        <v>227</v>
      </c>
      <c r="J600" s="11">
        <v>926782240</v>
      </c>
      <c r="K600" s="11">
        <v>854958918</v>
      </c>
      <c r="L600" s="10" t="s">
        <v>3354</v>
      </c>
      <c r="M600" s="10" t="s">
        <v>47</v>
      </c>
      <c r="N600" s="10" t="s">
        <v>106</v>
      </c>
      <c r="O600" s="10">
        <v>2006</v>
      </c>
      <c r="P600" s="8" t="s">
        <v>1120</v>
      </c>
      <c r="Q600" s="12"/>
    </row>
    <row r="601" spans="1:17" x14ac:dyDescent="0.2">
      <c r="A601">
        <f t="shared" si="9"/>
        <v>1701141</v>
      </c>
      <c r="B601" s="7" t="s">
        <v>2575</v>
      </c>
      <c r="C601" s="8"/>
      <c r="D601" s="8"/>
      <c r="E601" s="9" t="s">
        <v>37</v>
      </c>
      <c r="F601" s="10" t="s">
        <v>16</v>
      </c>
      <c r="G601" s="10" t="s">
        <v>207</v>
      </c>
      <c r="H601" s="10" t="s">
        <v>1759</v>
      </c>
      <c r="I601" s="10" t="s">
        <v>286</v>
      </c>
      <c r="J601" s="11">
        <v>898626549</v>
      </c>
      <c r="K601" s="11"/>
      <c r="L601" s="10" t="s">
        <v>1760</v>
      </c>
      <c r="M601" s="10" t="s">
        <v>54</v>
      </c>
      <c r="N601" s="10" t="s">
        <v>134</v>
      </c>
      <c r="O601" s="10">
        <v>2013</v>
      </c>
      <c r="P601" s="8">
        <v>42757</v>
      </c>
      <c r="Q601" s="12" t="s">
        <v>797</v>
      </c>
    </row>
    <row r="602" spans="1:17" x14ac:dyDescent="0.2">
      <c r="A602">
        <f t="shared" si="9"/>
        <v>1701142</v>
      </c>
      <c r="B602" s="7" t="s">
        <v>2576</v>
      </c>
      <c r="C602" s="8"/>
      <c r="D602" s="8"/>
      <c r="E602" s="9" t="s">
        <v>37</v>
      </c>
      <c r="F602" s="10" t="s">
        <v>16</v>
      </c>
      <c r="G602" s="10" t="s">
        <v>225</v>
      </c>
      <c r="H602" s="10" t="s">
        <v>3355</v>
      </c>
      <c r="I602" s="10" t="s">
        <v>222</v>
      </c>
      <c r="J602" s="11">
        <v>936496151</v>
      </c>
      <c r="K602" s="11"/>
      <c r="L602" s="10" t="s">
        <v>3356</v>
      </c>
      <c r="M602" s="10" t="s">
        <v>47</v>
      </c>
      <c r="N602" s="10" t="s">
        <v>212</v>
      </c>
      <c r="O602" s="10">
        <v>2009</v>
      </c>
      <c r="P602" s="8">
        <v>42558</v>
      </c>
      <c r="Q602" s="12" t="s">
        <v>1069</v>
      </c>
    </row>
    <row r="603" spans="1:17" x14ac:dyDescent="0.2">
      <c r="A603">
        <f t="shared" si="9"/>
        <v>1701143</v>
      </c>
      <c r="B603" s="7" t="s">
        <v>2577</v>
      </c>
      <c r="C603" s="8"/>
      <c r="D603" s="8"/>
      <c r="E603" s="9" t="s">
        <v>37</v>
      </c>
      <c r="F603" s="10" t="s">
        <v>16</v>
      </c>
      <c r="G603" s="10" t="s">
        <v>202</v>
      </c>
      <c r="H603" s="10" t="s">
        <v>1761</v>
      </c>
      <c r="I603" s="10" t="s">
        <v>267</v>
      </c>
      <c r="J603" s="11">
        <v>924536550</v>
      </c>
      <c r="K603" s="11"/>
      <c r="L603" s="10" t="s">
        <v>1762</v>
      </c>
      <c r="M603" s="10" t="s">
        <v>47</v>
      </c>
      <c r="N603" s="10" t="s">
        <v>106</v>
      </c>
      <c r="O603" s="10">
        <v>2008</v>
      </c>
      <c r="P603" s="8">
        <v>42798</v>
      </c>
      <c r="Q603" s="12" t="s">
        <v>419</v>
      </c>
    </row>
    <row r="604" spans="1:17" x14ac:dyDescent="0.2">
      <c r="A604">
        <f t="shared" si="9"/>
        <v>1701144</v>
      </c>
      <c r="B604" s="7" t="s">
        <v>2578</v>
      </c>
      <c r="C604" s="8"/>
      <c r="D604" s="8"/>
      <c r="E604" s="9" t="s">
        <v>37</v>
      </c>
      <c r="F604" s="10" t="s">
        <v>16</v>
      </c>
      <c r="G604" s="10" t="s">
        <v>207</v>
      </c>
      <c r="H604" s="10" t="s">
        <v>3357</v>
      </c>
      <c r="I604" s="10" t="s">
        <v>506</v>
      </c>
      <c r="J604" s="11">
        <v>972806665</v>
      </c>
      <c r="K604" s="11"/>
      <c r="L604" s="10" t="s">
        <v>3358</v>
      </c>
      <c r="M604" s="10" t="s">
        <v>538</v>
      </c>
      <c r="N604" s="10" t="s">
        <v>3359</v>
      </c>
      <c r="O604" s="10">
        <v>2010</v>
      </c>
      <c r="P604" s="8">
        <v>42752</v>
      </c>
      <c r="Q604" s="12" t="s">
        <v>229</v>
      </c>
    </row>
    <row r="605" spans="1:17" x14ac:dyDescent="0.2">
      <c r="A605">
        <f t="shared" si="9"/>
        <v>1701145</v>
      </c>
      <c r="B605" s="7" t="s">
        <v>2579</v>
      </c>
      <c r="C605" s="8"/>
      <c r="D605" s="8"/>
      <c r="E605" s="9" t="s">
        <v>37</v>
      </c>
      <c r="F605" s="10" t="s">
        <v>16</v>
      </c>
      <c r="G605" s="10" t="s">
        <v>1729</v>
      </c>
      <c r="H605" s="10" t="s">
        <v>3360</v>
      </c>
      <c r="I605" s="10" t="s">
        <v>979</v>
      </c>
      <c r="J605" s="11">
        <v>891554289</v>
      </c>
      <c r="K605" s="11"/>
      <c r="L605" s="10" t="s">
        <v>3361</v>
      </c>
      <c r="M605" s="10" t="s">
        <v>47</v>
      </c>
      <c r="N605" s="10" t="s">
        <v>48</v>
      </c>
      <c r="O605" s="10">
        <v>2012</v>
      </c>
      <c r="P605" s="8">
        <v>43025</v>
      </c>
      <c r="Q605" s="12" t="s">
        <v>1013</v>
      </c>
    </row>
    <row r="606" spans="1:17" x14ac:dyDescent="0.2">
      <c r="A606">
        <f t="shared" si="9"/>
        <v>1701146</v>
      </c>
      <c r="B606" s="7" t="s">
        <v>2580</v>
      </c>
      <c r="C606" s="8"/>
      <c r="D606" s="8"/>
      <c r="E606" s="9" t="s">
        <v>37</v>
      </c>
      <c r="F606" s="10" t="s">
        <v>16</v>
      </c>
      <c r="G606" s="10" t="s">
        <v>337</v>
      </c>
      <c r="H606" s="10" t="s">
        <v>3362</v>
      </c>
      <c r="I606" s="10" t="s">
        <v>233</v>
      </c>
      <c r="J606" s="11">
        <v>968955655</v>
      </c>
      <c r="K606" s="11"/>
      <c r="L606" s="10" t="s">
        <v>3363</v>
      </c>
      <c r="M606" s="10" t="s">
        <v>47</v>
      </c>
      <c r="N606" s="10" t="s">
        <v>106</v>
      </c>
      <c r="O606" s="10">
        <v>2010</v>
      </c>
      <c r="P606" s="8">
        <v>42927</v>
      </c>
      <c r="Q606" s="12" t="s">
        <v>335</v>
      </c>
    </row>
    <row r="607" spans="1:17" x14ac:dyDescent="0.2">
      <c r="A607">
        <f t="shared" si="9"/>
        <v>1701147</v>
      </c>
      <c r="B607" s="7" t="s">
        <v>2581</v>
      </c>
      <c r="C607" s="8"/>
      <c r="D607" s="8"/>
      <c r="E607" s="9" t="s">
        <v>37</v>
      </c>
      <c r="F607" s="10" t="s">
        <v>16</v>
      </c>
      <c r="G607" s="10" t="s">
        <v>207</v>
      </c>
      <c r="H607" s="10" t="s">
        <v>3364</v>
      </c>
      <c r="I607" s="10" t="s">
        <v>577</v>
      </c>
      <c r="J607" s="11">
        <v>627435892</v>
      </c>
      <c r="K607" s="11"/>
      <c r="L607" s="10" t="s">
        <v>3365</v>
      </c>
      <c r="M607" s="10" t="s">
        <v>47</v>
      </c>
      <c r="N607" s="10" t="s">
        <v>106</v>
      </c>
      <c r="O607" s="10">
        <v>2013</v>
      </c>
      <c r="P607" s="8" t="s">
        <v>1120</v>
      </c>
      <c r="Q607" s="12"/>
    </row>
    <row r="608" spans="1:17" x14ac:dyDescent="0.2">
      <c r="A608">
        <f t="shared" si="9"/>
        <v>1701148</v>
      </c>
      <c r="B608" s="7" t="s">
        <v>2582</v>
      </c>
      <c r="C608" s="8"/>
      <c r="D608" s="8"/>
      <c r="E608" s="9" t="s">
        <v>37</v>
      </c>
      <c r="F608" s="10" t="s">
        <v>16</v>
      </c>
      <c r="G608" s="10" t="s">
        <v>1729</v>
      </c>
      <c r="H608" s="10" t="s">
        <v>1763</v>
      </c>
      <c r="I608" s="10" t="s">
        <v>305</v>
      </c>
      <c r="J608" s="11">
        <v>852347045</v>
      </c>
      <c r="K608" s="11"/>
      <c r="L608" s="10" t="s">
        <v>1764</v>
      </c>
      <c r="M608" s="10" t="s">
        <v>58</v>
      </c>
      <c r="N608" s="10" t="s">
        <v>414</v>
      </c>
      <c r="O608" s="10">
        <v>2014</v>
      </c>
      <c r="P608" s="8">
        <v>42947</v>
      </c>
      <c r="Q608" s="12" t="s">
        <v>564</v>
      </c>
    </row>
    <row r="609" spans="1:17" x14ac:dyDescent="0.2">
      <c r="A609">
        <f t="shared" si="9"/>
        <v>1701149</v>
      </c>
      <c r="B609" s="7" t="s">
        <v>2583</v>
      </c>
      <c r="C609" s="8"/>
      <c r="D609" s="8"/>
      <c r="E609" s="9" t="s">
        <v>37</v>
      </c>
      <c r="F609" s="10" t="s">
        <v>16</v>
      </c>
      <c r="G609" s="10" t="s">
        <v>337</v>
      </c>
      <c r="H609" s="10" t="s">
        <v>3366</v>
      </c>
      <c r="I609" s="10">
        <v>811947748</v>
      </c>
      <c r="J609" s="11" t="s">
        <v>3367</v>
      </c>
      <c r="K609" s="11">
        <v>811947748</v>
      </c>
      <c r="L609" s="10" t="s">
        <v>3368</v>
      </c>
      <c r="M609" s="10" t="s">
        <v>58</v>
      </c>
      <c r="N609" s="10" t="s">
        <v>3369</v>
      </c>
      <c r="O609" s="10">
        <v>2014</v>
      </c>
      <c r="P609" s="8">
        <v>43089</v>
      </c>
      <c r="Q609" s="12" t="s">
        <v>1406</v>
      </c>
    </row>
    <row r="610" spans="1:17" x14ac:dyDescent="0.2">
      <c r="A610">
        <f t="shared" si="9"/>
        <v>1701150</v>
      </c>
      <c r="B610" s="7" t="s">
        <v>2584</v>
      </c>
      <c r="C610" s="8"/>
      <c r="D610" s="8"/>
      <c r="E610" s="9" t="s">
        <v>37</v>
      </c>
      <c r="F610" s="10" t="s">
        <v>16</v>
      </c>
      <c r="G610" s="10" t="s">
        <v>207</v>
      </c>
      <c r="H610" s="10" t="s">
        <v>3370</v>
      </c>
      <c r="I610" s="10" t="s">
        <v>305</v>
      </c>
      <c r="J610" s="11">
        <v>617083460</v>
      </c>
      <c r="K610" s="11"/>
      <c r="L610" s="10" t="s">
        <v>3371</v>
      </c>
      <c r="M610" s="10" t="s">
        <v>109</v>
      </c>
      <c r="N610" s="10" t="s">
        <v>240</v>
      </c>
      <c r="O610" s="10">
        <v>2016</v>
      </c>
      <c r="P610" s="8">
        <v>42906</v>
      </c>
      <c r="Q610" s="12" t="s">
        <v>389</v>
      </c>
    </row>
    <row r="611" spans="1:17" x14ac:dyDescent="0.2">
      <c r="A611">
        <f t="shared" si="9"/>
        <v>1701151</v>
      </c>
      <c r="B611" s="7" t="s">
        <v>2585</v>
      </c>
      <c r="C611" s="8"/>
      <c r="D611" s="8"/>
      <c r="E611" s="9" t="s">
        <v>37</v>
      </c>
      <c r="F611" s="10" t="s">
        <v>16</v>
      </c>
      <c r="G611" s="10" t="s">
        <v>3156</v>
      </c>
      <c r="H611" s="10" t="s">
        <v>3372</v>
      </c>
      <c r="I611" s="10" t="s">
        <v>243</v>
      </c>
      <c r="J611" s="11">
        <v>909569843</v>
      </c>
      <c r="K611" s="11"/>
      <c r="L611" s="10" t="s">
        <v>3373</v>
      </c>
      <c r="M611" s="10" t="s">
        <v>47</v>
      </c>
      <c r="N611" s="10" t="s">
        <v>121</v>
      </c>
      <c r="O611" s="10">
        <v>2011</v>
      </c>
      <c r="P611" s="8">
        <v>42824</v>
      </c>
      <c r="Q611" s="12" t="s">
        <v>288</v>
      </c>
    </row>
    <row r="612" spans="1:17" x14ac:dyDescent="0.2">
      <c r="A612">
        <f t="shared" si="9"/>
        <v>1701152</v>
      </c>
      <c r="B612" s="7" t="s">
        <v>2586</v>
      </c>
      <c r="C612" s="8"/>
      <c r="D612" s="8"/>
      <c r="E612" s="9" t="s">
        <v>37</v>
      </c>
      <c r="F612" s="10" t="s">
        <v>16</v>
      </c>
      <c r="G612" s="10" t="s">
        <v>337</v>
      </c>
      <c r="H612" s="10" t="s">
        <v>1976</v>
      </c>
      <c r="I612" s="10" t="s">
        <v>492</v>
      </c>
      <c r="J612" s="11">
        <v>814089838</v>
      </c>
      <c r="K612" s="11"/>
      <c r="L612" s="10" t="s">
        <v>1765</v>
      </c>
      <c r="M612" s="10" t="s">
        <v>47</v>
      </c>
      <c r="N612" s="10" t="s">
        <v>209</v>
      </c>
      <c r="O612" s="10">
        <v>2005</v>
      </c>
      <c r="P612" s="8">
        <v>42984</v>
      </c>
      <c r="Q612" s="12" t="s">
        <v>317</v>
      </c>
    </row>
    <row r="613" spans="1:17" x14ac:dyDescent="0.2">
      <c r="A613">
        <f t="shared" si="9"/>
        <v>1701153</v>
      </c>
      <c r="B613" s="7" t="s">
        <v>2587</v>
      </c>
      <c r="C613" s="8"/>
      <c r="D613" s="8"/>
      <c r="E613" s="9" t="s">
        <v>37</v>
      </c>
      <c r="F613" s="10" t="s">
        <v>16</v>
      </c>
      <c r="G613" s="10" t="s">
        <v>1729</v>
      </c>
      <c r="H613" s="10" t="s">
        <v>3374</v>
      </c>
      <c r="I613" s="10" t="s">
        <v>233</v>
      </c>
      <c r="J613" s="11">
        <v>854838009</v>
      </c>
      <c r="K613" s="11"/>
      <c r="L613" s="10" t="s">
        <v>3375</v>
      </c>
      <c r="M613" s="10" t="s">
        <v>47</v>
      </c>
      <c r="N613" s="10" t="s">
        <v>106</v>
      </c>
      <c r="O613" s="10">
        <v>2014</v>
      </c>
      <c r="P613" s="8">
        <v>42810</v>
      </c>
      <c r="Q613" s="12" t="s">
        <v>366</v>
      </c>
    </row>
    <row r="614" spans="1:17" x14ac:dyDescent="0.2">
      <c r="A614">
        <f t="shared" si="9"/>
        <v>1701154</v>
      </c>
      <c r="B614" s="7" t="s">
        <v>2588</v>
      </c>
      <c r="C614" s="8"/>
      <c r="D614" s="8"/>
      <c r="E614" s="9" t="s">
        <v>37</v>
      </c>
      <c r="F614" s="10" t="s">
        <v>16</v>
      </c>
      <c r="G614" s="10" t="s">
        <v>1729</v>
      </c>
      <c r="H614" s="10" t="s">
        <v>3376</v>
      </c>
      <c r="I614" s="10" t="s">
        <v>577</v>
      </c>
      <c r="J614" s="11">
        <v>849122139</v>
      </c>
      <c r="K614" s="11"/>
      <c r="L614" s="10" t="s">
        <v>3377</v>
      </c>
      <c r="M614" s="10" t="s">
        <v>47</v>
      </c>
      <c r="N614" s="10" t="s">
        <v>51</v>
      </c>
      <c r="O614" s="10">
        <v>2007</v>
      </c>
      <c r="P614" s="8">
        <v>43090</v>
      </c>
      <c r="Q614" s="12" t="s">
        <v>301</v>
      </c>
    </row>
    <row r="615" spans="1:17" x14ac:dyDescent="0.2">
      <c r="A615">
        <f t="shared" si="9"/>
        <v>1701155</v>
      </c>
      <c r="B615" s="7" t="s">
        <v>2589</v>
      </c>
      <c r="C615" s="8"/>
      <c r="D615" s="8"/>
      <c r="E615" s="9" t="s">
        <v>37</v>
      </c>
      <c r="F615" s="10" t="s">
        <v>16</v>
      </c>
      <c r="G615" s="10" t="s">
        <v>207</v>
      </c>
      <c r="H615" s="10" t="s">
        <v>1766</v>
      </c>
      <c r="I615" s="10" t="s">
        <v>286</v>
      </c>
      <c r="J615" s="11">
        <v>612195674</v>
      </c>
      <c r="K615" s="11"/>
      <c r="L615" s="10" t="s">
        <v>1767</v>
      </c>
      <c r="M615" s="10" t="s">
        <v>3378</v>
      </c>
      <c r="N615" s="10" t="s">
        <v>240</v>
      </c>
      <c r="O615" s="10">
        <v>2014</v>
      </c>
      <c r="P615" s="8">
        <v>42973</v>
      </c>
      <c r="Q615" s="12" t="s">
        <v>640</v>
      </c>
    </row>
    <row r="616" spans="1:17" x14ac:dyDescent="0.2">
      <c r="A616">
        <f t="shared" si="9"/>
        <v>1701156</v>
      </c>
      <c r="B616" s="7" t="s">
        <v>2590</v>
      </c>
      <c r="C616" s="8"/>
      <c r="D616" s="8"/>
      <c r="E616" s="9" t="s">
        <v>37</v>
      </c>
      <c r="F616" s="10" t="s">
        <v>16</v>
      </c>
      <c r="G616" s="10" t="s">
        <v>202</v>
      </c>
      <c r="H616" s="10" t="s">
        <v>3379</v>
      </c>
      <c r="I616" s="10" t="s">
        <v>254</v>
      </c>
      <c r="J616" s="11">
        <v>849093739</v>
      </c>
      <c r="K616" s="11"/>
      <c r="L616" s="10" t="s">
        <v>3380</v>
      </c>
      <c r="M616" s="10" t="s">
        <v>47</v>
      </c>
      <c r="N616" s="10" t="s">
        <v>51</v>
      </c>
      <c r="O616" s="10">
        <v>2014</v>
      </c>
      <c r="P616" s="8">
        <v>43019</v>
      </c>
      <c r="Q616" s="12" t="s">
        <v>260</v>
      </c>
    </row>
    <row r="617" spans="1:17" x14ac:dyDescent="0.2">
      <c r="A617">
        <f t="shared" si="9"/>
        <v>1701157</v>
      </c>
      <c r="B617" s="7" t="s">
        <v>2591</v>
      </c>
      <c r="C617" s="8"/>
      <c r="D617" s="8"/>
      <c r="E617" s="9" t="s">
        <v>37</v>
      </c>
      <c r="F617" s="10" t="s">
        <v>16</v>
      </c>
      <c r="G617" s="10" t="s">
        <v>580</v>
      </c>
      <c r="H617" s="10" t="s">
        <v>1432</v>
      </c>
      <c r="I617" s="10" t="s">
        <v>254</v>
      </c>
      <c r="J617" s="11">
        <v>987825692</v>
      </c>
      <c r="K617" s="11"/>
      <c r="L617" s="10" t="s">
        <v>3381</v>
      </c>
      <c r="M617" s="10" t="s">
        <v>42</v>
      </c>
      <c r="N617" s="10" t="s">
        <v>75</v>
      </c>
      <c r="O617" s="10">
        <v>2010</v>
      </c>
      <c r="P617" s="8">
        <v>42794</v>
      </c>
      <c r="Q617" s="12" t="s">
        <v>256</v>
      </c>
    </row>
    <row r="618" spans="1:17" x14ac:dyDescent="0.2">
      <c r="A618">
        <f t="shared" si="9"/>
        <v>1701158</v>
      </c>
      <c r="B618" s="7" t="s">
        <v>2592</v>
      </c>
      <c r="C618" s="8"/>
      <c r="D618" s="8"/>
      <c r="E618" s="9" t="s">
        <v>37</v>
      </c>
      <c r="F618" s="10" t="s">
        <v>16</v>
      </c>
      <c r="G618" s="10" t="s">
        <v>207</v>
      </c>
      <c r="H618" s="10" t="s">
        <v>3382</v>
      </c>
      <c r="I618" s="10" t="s">
        <v>254</v>
      </c>
      <c r="J618" s="11">
        <v>876938859</v>
      </c>
      <c r="K618" s="11"/>
      <c r="L618" s="10" t="s">
        <v>3383</v>
      </c>
      <c r="M618" s="10" t="s">
        <v>42</v>
      </c>
      <c r="N618" s="10" t="s">
        <v>84</v>
      </c>
      <c r="O618" s="10">
        <v>2009</v>
      </c>
      <c r="P618" s="8">
        <v>43095</v>
      </c>
      <c r="Q618" s="12" t="s">
        <v>217</v>
      </c>
    </row>
    <row r="619" spans="1:17" x14ac:dyDescent="0.2">
      <c r="A619">
        <f t="shared" si="9"/>
        <v>1701159</v>
      </c>
      <c r="B619" s="7" t="s">
        <v>2593</v>
      </c>
      <c r="C619" s="8"/>
      <c r="D619" s="8"/>
      <c r="E619" s="9" t="s">
        <v>37</v>
      </c>
      <c r="F619" s="10" t="s">
        <v>16</v>
      </c>
      <c r="G619" s="10" t="s">
        <v>202</v>
      </c>
      <c r="H619" s="10" t="s">
        <v>3384</v>
      </c>
      <c r="I619" s="10" t="s">
        <v>271</v>
      </c>
      <c r="J619" s="11">
        <v>800097128</v>
      </c>
      <c r="K619" s="11"/>
      <c r="L619" s="10" t="s">
        <v>3385</v>
      </c>
      <c r="M619" s="10" t="s">
        <v>47</v>
      </c>
      <c r="N619" s="10" t="s">
        <v>106</v>
      </c>
      <c r="O619" s="10">
        <v>2010</v>
      </c>
      <c r="P619" s="8">
        <v>42709</v>
      </c>
      <c r="Q619" s="12" t="s">
        <v>877</v>
      </c>
    </row>
    <row r="620" spans="1:17" x14ac:dyDescent="0.2">
      <c r="A620">
        <f t="shared" si="9"/>
        <v>1701160</v>
      </c>
      <c r="B620" s="7" t="s">
        <v>2594</v>
      </c>
      <c r="C620" s="8"/>
      <c r="D620" s="8"/>
      <c r="E620" s="9" t="s">
        <v>37</v>
      </c>
      <c r="F620" s="10" t="s">
        <v>16</v>
      </c>
      <c r="G620" s="10" t="s">
        <v>207</v>
      </c>
      <c r="H620" s="10" t="s">
        <v>3386</v>
      </c>
      <c r="I620" s="10"/>
      <c r="J620" s="11">
        <v>985051088</v>
      </c>
      <c r="K620" s="11"/>
      <c r="L620" s="10" t="s">
        <v>3387</v>
      </c>
      <c r="M620" s="10" t="s">
        <v>47</v>
      </c>
      <c r="N620" s="10" t="s">
        <v>106</v>
      </c>
      <c r="O620" s="10">
        <v>2014</v>
      </c>
      <c r="P620" s="8" t="s">
        <v>1120</v>
      </c>
      <c r="Q620" s="12"/>
    </row>
    <row r="621" spans="1:17" x14ac:dyDescent="0.2">
      <c r="A621">
        <f t="shared" si="9"/>
        <v>1701161</v>
      </c>
      <c r="B621" s="7" t="s">
        <v>2595</v>
      </c>
      <c r="C621" s="8"/>
      <c r="D621" s="8"/>
      <c r="E621" s="9" t="s">
        <v>37</v>
      </c>
      <c r="F621" s="10" t="s">
        <v>16</v>
      </c>
      <c r="G621" s="10" t="s">
        <v>337</v>
      </c>
      <c r="H621" s="10" t="s">
        <v>3388</v>
      </c>
      <c r="I621" s="10"/>
      <c r="J621" s="11">
        <v>892168707</v>
      </c>
      <c r="K621" s="11"/>
      <c r="L621" s="10" t="s">
        <v>3389</v>
      </c>
      <c r="M621" s="10" t="s">
        <v>42</v>
      </c>
      <c r="N621" s="10" t="s">
        <v>75</v>
      </c>
      <c r="O621" s="10">
        <v>2010</v>
      </c>
      <c r="P621" s="8">
        <v>42874</v>
      </c>
      <c r="Q621" s="12" t="s">
        <v>256</v>
      </c>
    </row>
    <row r="622" spans="1:17" x14ac:dyDescent="0.2">
      <c r="A622">
        <f t="shared" si="9"/>
        <v>1701162</v>
      </c>
      <c r="B622" s="7" t="s">
        <v>2596</v>
      </c>
      <c r="C622" s="8"/>
      <c r="D622" s="8"/>
      <c r="E622" s="9" t="s">
        <v>37</v>
      </c>
      <c r="F622" s="10" t="s">
        <v>16</v>
      </c>
      <c r="G622" s="10" t="s">
        <v>207</v>
      </c>
      <c r="H622" s="10" t="s">
        <v>3234</v>
      </c>
      <c r="I622" s="10" t="s">
        <v>506</v>
      </c>
      <c r="J622" s="11">
        <v>983931580</v>
      </c>
      <c r="K622" s="11"/>
      <c r="L622" s="10" t="s">
        <v>3235</v>
      </c>
      <c r="M622" s="10" t="s">
        <v>47</v>
      </c>
      <c r="N622" s="10" t="s">
        <v>51</v>
      </c>
      <c r="O622" s="10">
        <v>2015</v>
      </c>
      <c r="P622" s="8">
        <v>43077</v>
      </c>
      <c r="Q622" s="12" t="s">
        <v>374</v>
      </c>
    </row>
    <row r="623" spans="1:17" x14ac:dyDescent="0.2">
      <c r="A623">
        <f t="shared" si="9"/>
        <v>1701163</v>
      </c>
      <c r="B623" s="7" t="s">
        <v>2597</v>
      </c>
      <c r="C623" s="8"/>
      <c r="D623" s="8"/>
      <c r="E623" s="9" t="s">
        <v>37</v>
      </c>
      <c r="F623" s="10" t="s">
        <v>16</v>
      </c>
      <c r="G623" s="10" t="s">
        <v>202</v>
      </c>
      <c r="H623" s="10" t="s">
        <v>1768</v>
      </c>
      <c r="I623" s="10" t="s">
        <v>254</v>
      </c>
      <c r="J623" s="11">
        <v>917823353</v>
      </c>
      <c r="K623" s="11"/>
      <c r="L623" s="10" t="s">
        <v>1769</v>
      </c>
      <c r="M623" s="10" t="s">
        <v>42</v>
      </c>
      <c r="N623" s="10" t="s">
        <v>884</v>
      </c>
      <c r="O623" s="10">
        <v>2010</v>
      </c>
      <c r="P623" s="8">
        <v>42660</v>
      </c>
      <c r="Q623" s="12" t="s">
        <v>685</v>
      </c>
    </row>
    <row r="624" spans="1:17" x14ac:dyDescent="0.2">
      <c r="A624">
        <f t="shared" si="9"/>
        <v>1701164</v>
      </c>
      <c r="B624" s="7" t="s">
        <v>2598</v>
      </c>
      <c r="C624" s="8"/>
      <c r="D624" s="8"/>
      <c r="E624" s="9" t="s">
        <v>37</v>
      </c>
      <c r="F624" s="10" t="s">
        <v>16</v>
      </c>
      <c r="G624" s="10" t="s">
        <v>225</v>
      </c>
      <c r="H624" s="10" t="s">
        <v>3390</v>
      </c>
      <c r="I624" s="10" t="s">
        <v>233</v>
      </c>
      <c r="J624" s="11">
        <v>813002894</v>
      </c>
      <c r="K624" s="11"/>
      <c r="L624" s="10" t="s">
        <v>1770</v>
      </c>
      <c r="M624" s="10" t="s">
        <v>47</v>
      </c>
      <c r="N624" s="10" t="s">
        <v>106</v>
      </c>
      <c r="O624" s="10">
        <v>2006</v>
      </c>
      <c r="P624" s="8">
        <v>42943</v>
      </c>
      <c r="Q624" s="12" t="s">
        <v>660</v>
      </c>
    </row>
    <row r="625" spans="1:17" x14ac:dyDescent="0.2">
      <c r="A625">
        <f t="shared" si="9"/>
        <v>1701165</v>
      </c>
      <c r="B625" s="7" t="s">
        <v>2599</v>
      </c>
      <c r="C625" s="8"/>
      <c r="D625" s="8"/>
      <c r="E625" s="9" t="s">
        <v>37</v>
      </c>
      <c r="F625" s="10" t="s">
        <v>16</v>
      </c>
      <c r="G625" s="10" t="s">
        <v>580</v>
      </c>
      <c r="H625" s="10" t="s">
        <v>3391</v>
      </c>
      <c r="I625" s="10" t="s">
        <v>254</v>
      </c>
      <c r="J625" s="11">
        <v>909948837</v>
      </c>
      <c r="K625" s="11"/>
      <c r="L625" s="10" t="s">
        <v>3392</v>
      </c>
      <c r="M625" s="10" t="s">
        <v>42</v>
      </c>
      <c r="N625" s="10" t="s">
        <v>75</v>
      </c>
      <c r="O625" s="10">
        <v>2012</v>
      </c>
      <c r="P625" s="8">
        <v>43084</v>
      </c>
      <c r="Q625" s="12" t="s">
        <v>520</v>
      </c>
    </row>
    <row r="626" spans="1:17" x14ac:dyDescent="0.2">
      <c r="A626">
        <f t="shared" si="9"/>
        <v>1701166</v>
      </c>
      <c r="B626" s="7" t="s">
        <v>2600</v>
      </c>
      <c r="C626" s="8"/>
      <c r="D626" s="8"/>
      <c r="E626" s="9" t="s">
        <v>37</v>
      </c>
      <c r="F626" s="10" t="s">
        <v>16</v>
      </c>
      <c r="G626" s="10" t="s">
        <v>207</v>
      </c>
      <c r="H626" s="10" t="s">
        <v>1771</v>
      </c>
      <c r="I626" s="10" t="s">
        <v>506</v>
      </c>
      <c r="J626" s="11">
        <v>863745359</v>
      </c>
      <c r="K626" s="11"/>
      <c r="L626" s="10" t="s">
        <v>1772</v>
      </c>
      <c r="M626" s="10" t="s">
        <v>109</v>
      </c>
      <c r="N626" s="10" t="s">
        <v>730</v>
      </c>
      <c r="O626" s="10">
        <v>2011</v>
      </c>
      <c r="P626" s="8" t="s">
        <v>1120</v>
      </c>
      <c r="Q626" s="12"/>
    </row>
    <row r="627" spans="1:17" x14ac:dyDescent="0.2">
      <c r="A627">
        <f t="shared" si="9"/>
        <v>1701167</v>
      </c>
      <c r="B627" s="7" t="s">
        <v>2601</v>
      </c>
      <c r="C627" s="8"/>
      <c r="D627" s="8"/>
      <c r="E627" s="9" t="s">
        <v>37</v>
      </c>
      <c r="F627" s="10" t="s">
        <v>16</v>
      </c>
      <c r="G627" s="10" t="s">
        <v>303</v>
      </c>
      <c r="H627" s="10" t="s">
        <v>3393</v>
      </c>
      <c r="I627" s="10" t="s">
        <v>243</v>
      </c>
      <c r="J627" s="11">
        <v>819171606</v>
      </c>
      <c r="K627" s="11"/>
      <c r="L627" s="10" t="s">
        <v>3394</v>
      </c>
      <c r="M627" s="10" t="s">
        <v>54</v>
      </c>
      <c r="N627" s="10" t="s">
        <v>873</v>
      </c>
      <c r="O627" s="10">
        <v>2010</v>
      </c>
      <c r="P627" s="8">
        <v>43112</v>
      </c>
      <c r="Q627" s="12" t="s">
        <v>664</v>
      </c>
    </row>
    <row r="628" spans="1:17" x14ac:dyDescent="0.2">
      <c r="A628">
        <f t="shared" si="9"/>
        <v>1701168</v>
      </c>
      <c r="B628" s="7" t="s">
        <v>2602</v>
      </c>
      <c r="C628" s="8"/>
      <c r="D628" s="8"/>
      <c r="E628" s="9" t="s">
        <v>37</v>
      </c>
      <c r="F628" s="10" t="s">
        <v>16</v>
      </c>
      <c r="G628" s="10" t="s">
        <v>196</v>
      </c>
      <c r="H628" s="10" t="s">
        <v>3395</v>
      </c>
      <c r="I628" s="10" t="s">
        <v>263</v>
      </c>
      <c r="J628" s="11">
        <v>870363872</v>
      </c>
      <c r="K628" s="11"/>
      <c r="L628" s="10" t="s">
        <v>3396</v>
      </c>
      <c r="M628" s="10" t="s">
        <v>47</v>
      </c>
      <c r="N628" s="10" t="s">
        <v>106</v>
      </c>
      <c r="O628" s="10">
        <v>2014</v>
      </c>
      <c r="P628" s="8">
        <v>43091</v>
      </c>
      <c r="Q628" s="12" t="s">
        <v>656</v>
      </c>
    </row>
    <row r="629" spans="1:17" x14ac:dyDescent="0.2">
      <c r="A629">
        <f t="shared" si="9"/>
        <v>1701169</v>
      </c>
      <c r="B629" s="7" t="s">
        <v>2603</v>
      </c>
      <c r="C629" s="8"/>
      <c r="D629" s="8"/>
      <c r="E629" s="9" t="s">
        <v>37</v>
      </c>
      <c r="F629" s="10" t="s">
        <v>16</v>
      </c>
      <c r="G629" s="10" t="s">
        <v>231</v>
      </c>
      <c r="H629" s="10" t="s">
        <v>3397</v>
      </c>
      <c r="I629" s="10" t="s">
        <v>429</v>
      </c>
      <c r="J629" s="11">
        <v>994054941</v>
      </c>
      <c r="K629" s="11"/>
      <c r="L629" s="10" t="s">
        <v>3398</v>
      </c>
      <c r="M629" s="10" t="s">
        <v>47</v>
      </c>
      <c r="N629" s="10" t="s">
        <v>3399</v>
      </c>
      <c r="O629" s="10">
        <v>2004</v>
      </c>
      <c r="P629" s="8">
        <v>42667</v>
      </c>
      <c r="Q629" s="12" t="s">
        <v>1773</v>
      </c>
    </row>
    <row r="630" spans="1:17" x14ac:dyDescent="0.2">
      <c r="A630">
        <f t="shared" si="9"/>
        <v>1701170</v>
      </c>
      <c r="B630" s="7" t="s">
        <v>2604</v>
      </c>
      <c r="C630" s="8"/>
      <c r="D630" s="8"/>
      <c r="E630" s="9" t="s">
        <v>37</v>
      </c>
      <c r="F630" s="10" t="s">
        <v>16</v>
      </c>
      <c r="G630" s="10" t="s">
        <v>202</v>
      </c>
      <c r="H630" s="10" t="s">
        <v>3400</v>
      </c>
      <c r="I630" s="10" t="s">
        <v>506</v>
      </c>
      <c r="J630" s="11">
        <v>837883194</v>
      </c>
      <c r="K630" s="11"/>
      <c r="L630" s="10" t="s">
        <v>3401</v>
      </c>
      <c r="M630" s="10" t="s">
        <v>47</v>
      </c>
      <c r="N630" s="10" t="s">
        <v>51</v>
      </c>
      <c r="O630" s="10">
        <v>2013</v>
      </c>
      <c r="P630" s="8">
        <v>42857</v>
      </c>
      <c r="Q630" s="12" t="s">
        <v>540</v>
      </c>
    </row>
    <row r="631" spans="1:17" x14ac:dyDescent="0.2">
      <c r="A631">
        <f t="shared" si="9"/>
        <v>1701171</v>
      </c>
      <c r="B631" s="7" t="s">
        <v>2605</v>
      </c>
      <c r="C631" s="8"/>
      <c r="D631" s="8"/>
      <c r="E631" s="9" t="s">
        <v>37</v>
      </c>
      <c r="F631" s="10" t="s">
        <v>16</v>
      </c>
      <c r="G631" s="10" t="s">
        <v>202</v>
      </c>
      <c r="H631" s="10" t="s">
        <v>3402</v>
      </c>
      <c r="I631" s="10" t="s">
        <v>3403</v>
      </c>
      <c r="J631" s="11">
        <v>850997826</v>
      </c>
      <c r="K631" s="11"/>
      <c r="L631" s="10" t="s">
        <v>3404</v>
      </c>
      <c r="M631" s="10" t="s">
        <v>47</v>
      </c>
      <c r="N631" s="10" t="s">
        <v>106</v>
      </c>
      <c r="O631" s="10">
        <v>2006</v>
      </c>
      <c r="P631" s="8">
        <v>42705</v>
      </c>
      <c r="Q631" s="12" t="s">
        <v>236</v>
      </c>
    </row>
    <row r="632" spans="1:17" x14ac:dyDescent="0.2">
      <c r="A632">
        <f t="shared" si="9"/>
        <v>1701172</v>
      </c>
      <c r="B632" s="7" t="s">
        <v>2606</v>
      </c>
      <c r="C632" s="8"/>
      <c r="D632" s="8"/>
      <c r="E632" s="9" t="s">
        <v>37</v>
      </c>
      <c r="F632" s="10" t="s">
        <v>16</v>
      </c>
      <c r="G632" s="10" t="s">
        <v>207</v>
      </c>
      <c r="H632" s="10" t="s">
        <v>1685</v>
      </c>
      <c r="I632" s="10" t="s">
        <v>243</v>
      </c>
      <c r="J632" s="11">
        <v>928294164</v>
      </c>
      <c r="K632" s="11"/>
      <c r="L632" s="10" t="s">
        <v>1686</v>
      </c>
      <c r="M632" s="10" t="s">
        <v>47</v>
      </c>
      <c r="N632" s="10" t="s">
        <v>51</v>
      </c>
      <c r="O632" s="10">
        <v>2011</v>
      </c>
      <c r="P632" s="8">
        <v>42817</v>
      </c>
      <c r="Q632" s="12" t="s">
        <v>236</v>
      </c>
    </row>
    <row r="633" spans="1:17" x14ac:dyDescent="0.2">
      <c r="A633">
        <f t="shared" si="9"/>
        <v>1702001</v>
      </c>
      <c r="B633" s="7" t="s">
        <v>2607</v>
      </c>
      <c r="C633" s="8"/>
      <c r="D633" s="8"/>
      <c r="E633" s="9" t="s">
        <v>37</v>
      </c>
      <c r="F633" s="10" t="s">
        <v>16</v>
      </c>
      <c r="G633" s="10" t="s">
        <v>202</v>
      </c>
      <c r="H633" s="10" t="s">
        <v>1687</v>
      </c>
      <c r="I633" s="10" t="s">
        <v>305</v>
      </c>
      <c r="J633" s="11">
        <v>811724884</v>
      </c>
      <c r="K633" s="11"/>
      <c r="L633" s="10" t="s">
        <v>1688</v>
      </c>
      <c r="M633" s="10" t="s">
        <v>58</v>
      </c>
      <c r="N633" s="10" t="s">
        <v>414</v>
      </c>
      <c r="O633" s="10">
        <v>2000</v>
      </c>
      <c r="P633" s="8" t="s">
        <v>1120</v>
      </c>
      <c r="Q633" s="12"/>
    </row>
    <row r="634" spans="1:17" x14ac:dyDescent="0.2">
      <c r="A634">
        <f t="shared" si="9"/>
        <v>1702002</v>
      </c>
      <c r="B634" s="7" t="s">
        <v>2608</v>
      </c>
      <c r="C634" s="8"/>
      <c r="D634" s="8"/>
      <c r="E634" s="9" t="s">
        <v>37</v>
      </c>
      <c r="F634" s="10" t="s">
        <v>16</v>
      </c>
      <c r="G634" s="10" t="s">
        <v>207</v>
      </c>
      <c r="H634" s="10" t="s">
        <v>1687</v>
      </c>
      <c r="I634" s="10" t="s">
        <v>305</v>
      </c>
      <c r="J634" s="11">
        <v>811724884</v>
      </c>
      <c r="K634" s="11">
        <v>0</v>
      </c>
      <c r="L634" s="10" t="s">
        <v>1688</v>
      </c>
      <c r="M634" s="10" t="s">
        <v>58</v>
      </c>
      <c r="N634" s="10" t="s">
        <v>414</v>
      </c>
      <c r="O634" s="10">
        <v>2000</v>
      </c>
      <c r="P634" s="8" t="s">
        <v>1120</v>
      </c>
      <c r="Q634" s="12">
        <v>0</v>
      </c>
    </row>
    <row r="635" spans="1:17" x14ac:dyDescent="0.2">
      <c r="A635">
        <f t="shared" si="9"/>
        <v>1702003</v>
      </c>
      <c r="B635" s="7" t="s">
        <v>2609</v>
      </c>
      <c r="C635" s="8"/>
      <c r="D635" s="8"/>
      <c r="E635" s="9" t="s">
        <v>37</v>
      </c>
      <c r="F635" s="10" t="s">
        <v>16</v>
      </c>
      <c r="G635" s="10" t="s">
        <v>225</v>
      </c>
      <c r="H635" s="10" t="s">
        <v>3405</v>
      </c>
      <c r="I635" s="10" t="s">
        <v>1401</v>
      </c>
      <c r="J635" s="11">
        <v>864102280</v>
      </c>
      <c r="K635" s="11"/>
      <c r="L635" s="10" t="s">
        <v>1689</v>
      </c>
      <c r="M635" s="10" t="s">
        <v>126</v>
      </c>
      <c r="N635" s="10" t="s">
        <v>410</v>
      </c>
      <c r="O635" s="10">
        <v>2005</v>
      </c>
      <c r="P635" s="8" t="s">
        <v>1120</v>
      </c>
      <c r="Q635" s="12"/>
    </row>
    <row r="636" spans="1:17" x14ac:dyDescent="0.2">
      <c r="A636">
        <f t="shared" si="9"/>
        <v>1702004</v>
      </c>
      <c r="B636" s="7" t="s">
        <v>2610</v>
      </c>
      <c r="C636" s="8"/>
      <c r="D636" s="8"/>
      <c r="E636" s="9" t="s">
        <v>37</v>
      </c>
      <c r="F636" s="10" t="s">
        <v>16</v>
      </c>
      <c r="G636" s="10" t="s">
        <v>202</v>
      </c>
      <c r="H636" s="10" t="s">
        <v>1977</v>
      </c>
      <c r="I636" s="10" t="s">
        <v>506</v>
      </c>
      <c r="J636" s="11">
        <v>942410947</v>
      </c>
      <c r="K636" s="11">
        <v>854832030</v>
      </c>
      <c r="L636" s="10" t="s">
        <v>1774</v>
      </c>
      <c r="M636" s="10" t="s">
        <v>47</v>
      </c>
      <c r="N636" s="10" t="s">
        <v>78</v>
      </c>
      <c r="O636" s="10">
        <v>2010</v>
      </c>
      <c r="P636" s="8">
        <v>42757</v>
      </c>
      <c r="Q636" s="12" t="s">
        <v>1561</v>
      </c>
    </row>
    <row r="637" spans="1:17" x14ac:dyDescent="0.2">
      <c r="A637">
        <f t="shared" si="9"/>
        <v>1702005</v>
      </c>
      <c r="B637" s="7" t="s">
        <v>2611</v>
      </c>
      <c r="C637" s="8"/>
      <c r="D637" s="8"/>
      <c r="E637" s="9" t="s">
        <v>37</v>
      </c>
      <c r="F637" s="10" t="s">
        <v>16</v>
      </c>
      <c r="G637" s="10" t="s">
        <v>207</v>
      </c>
      <c r="H637" s="10" t="s">
        <v>1775</v>
      </c>
      <c r="I637" s="10" t="s">
        <v>286</v>
      </c>
      <c r="J637" s="11">
        <v>878064772</v>
      </c>
      <c r="K637" s="11"/>
      <c r="L637" s="10" t="s">
        <v>1776</v>
      </c>
      <c r="M637" s="10" t="s">
        <v>47</v>
      </c>
      <c r="N637" s="10" t="s">
        <v>209</v>
      </c>
      <c r="O637" s="10">
        <v>2003</v>
      </c>
      <c r="P637" s="8"/>
      <c r="Q637" s="12"/>
    </row>
    <row r="638" spans="1:17" x14ac:dyDescent="0.2">
      <c r="A638">
        <f t="shared" si="9"/>
        <v>1702006</v>
      </c>
      <c r="B638" s="7" t="s">
        <v>2612</v>
      </c>
      <c r="C638" s="8"/>
      <c r="D638" s="8"/>
      <c r="E638" s="9" t="s">
        <v>37</v>
      </c>
      <c r="F638" s="10" t="s">
        <v>16</v>
      </c>
      <c r="G638" s="10" t="s">
        <v>337</v>
      </c>
      <c r="H638" s="10" t="s">
        <v>1690</v>
      </c>
      <c r="I638" s="10" t="s">
        <v>305</v>
      </c>
      <c r="J638" s="11">
        <v>926872544</v>
      </c>
      <c r="K638" s="11"/>
      <c r="L638" s="10" t="s">
        <v>4340</v>
      </c>
      <c r="M638" s="10" t="s">
        <v>47</v>
      </c>
      <c r="N638" s="10" t="s">
        <v>51</v>
      </c>
      <c r="O638" s="10">
        <v>2011</v>
      </c>
      <c r="P638" s="8" t="s">
        <v>1777</v>
      </c>
      <c r="Q638" s="12" t="s">
        <v>1777</v>
      </c>
    </row>
    <row r="639" spans="1:17" x14ac:dyDescent="0.2">
      <c r="A639">
        <f t="shared" si="9"/>
        <v>1702007</v>
      </c>
      <c r="B639" s="7" t="s">
        <v>2613</v>
      </c>
      <c r="C639" s="8"/>
      <c r="D639" s="8"/>
      <c r="E639" s="9" t="s">
        <v>37</v>
      </c>
      <c r="F639" s="10" t="s">
        <v>16</v>
      </c>
      <c r="G639" s="10" t="s">
        <v>202</v>
      </c>
      <c r="H639" s="10" t="s">
        <v>931</v>
      </c>
      <c r="I639" s="10" t="s">
        <v>506</v>
      </c>
      <c r="J639" s="11">
        <v>636410744</v>
      </c>
      <c r="K639" s="11"/>
      <c r="L639" s="10" t="s">
        <v>932</v>
      </c>
      <c r="M639" s="10" t="s">
        <v>47</v>
      </c>
      <c r="N639" s="10" t="s">
        <v>106</v>
      </c>
      <c r="O639" s="10">
        <v>2014</v>
      </c>
      <c r="P639" s="8">
        <v>42804</v>
      </c>
      <c r="Q639" s="12">
        <v>2.0000000000000001E-4</v>
      </c>
    </row>
    <row r="640" spans="1:17" x14ac:dyDescent="0.2">
      <c r="A640">
        <f t="shared" si="9"/>
        <v>1702008</v>
      </c>
      <c r="B640" s="7" t="s">
        <v>2614</v>
      </c>
      <c r="C640" s="8"/>
      <c r="D640" s="8"/>
      <c r="E640" s="9" t="s">
        <v>37</v>
      </c>
      <c r="F640" s="10" t="s">
        <v>16</v>
      </c>
      <c r="G640" s="10" t="s">
        <v>337</v>
      </c>
      <c r="H640" s="10" t="s">
        <v>983</v>
      </c>
      <c r="I640" s="10" t="s">
        <v>577</v>
      </c>
      <c r="J640" s="11">
        <v>874859557</v>
      </c>
      <c r="K640" s="11"/>
      <c r="L640" s="10" t="s">
        <v>984</v>
      </c>
      <c r="M640" s="10" t="s">
        <v>282</v>
      </c>
      <c r="N640" s="10" t="s">
        <v>283</v>
      </c>
      <c r="O640" s="10">
        <v>2014</v>
      </c>
      <c r="P640" s="8">
        <v>42792</v>
      </c>
      <c r="Q640" s="12" t="s">
        <v>419</v>
      </c>
    </row>
    <row r="641" spans="1:17" x14ac:dyDescent="0.2">
      <c r="A641">
        <f t="shared" si="9"/>
        <v>1702009</v>
      </c>
      <c r="B641" s="7" t="s">
        <v>2615</v>
      </c>
      <c r="C641" s="8"/>
      <c r="D641" s="8"/>
      <c r="E641" s="9" t="s">
        <v>37</v>
      </c>
      <c r="F641" s="10" t="s">
        <v>16</v>
      </c>
      <c r="G641" s="10" t="s">
        <v>225</v>
      </c>
      <c r="H641" s="10" t="s">
        <v>3406</v>
      </c>
      <c r="I641" s="10" t="s">
        <v>452</v>
      </c>
      <c r="J641" s="11">
        <v>851330314</v>
      </c>
      <c r="K641" s="11">
        <v>81363223</v>
      </c>
      <c r="L641" s="10" t="s">
        <v>3407</v>
      </c>
      <c r="M641" s="10" t="s">
        <v>47</v>
      </c>
      <c r="N641" s="10" t="s">
        <v>209</v>
      </c>
      <c r="O641" s="10">
        <v>2000</v>
      </c>
      <c r="P641" s="8">
        <v>42986</v>
      </c>
      <c r="Q641" s="12" t="s">
        <v>301</v>
      </c>
    </row>
    <row r="642" spans="1:17" x14ac:dyDescent="0.2">
      <c r="A642">
        <f t="shared" si="9"/>
        <v>1702010</v>
      </c>
      <c r="B642" s="7" t="s">
        <v>2616</v>
      </c>
      <c r="C642" s="8"/>
      <c r="D642" s="8"/>
      <c r="E642" s="9" t="s">
        <v>37</v>
      </c>
      <c r="F642" s="10" t="s">
        <v>16</v>
      </c>
      <c r="G642" s="10" t="s">
        <v>207</v>
      </c>
      <c r="H642" s="10" t="s">
        <v>1061</v>
      </c>
      <c r="I642" s="10" t="s">
        <v>286</v>
      </c>
      <c r="J642" s="11">
        <v>876849746</v>
      </c>
      <c r="K642" s="11"/>
      <c r="L642" s="10" t="s">
        <v>1062</v>
      </c>
      <c r="M642" s="10" t="s">
        <v>47</v>
      </c>
      <c r="N642" s="10" t="s">
        <v>106</v>
      </c>
      <c r="O642" s="10">
        <v>2013</v>
      </c>
      <c r="P642" s="8">
        <v>42821</v>
      </c>
      <c r="Q642" s="12" t="s">
        <v>260</v>
      </c>
    </row>
    <row r="643" spans="1:17" x14ac:dyDescent="0.2">
      <c r="A643">
        <f t="shared" si="9"/>
        <v>1702011</v>
      </c>
      <c r="B643" s="7" t="s">
        <v>2617</v>
      </c>
      <c r="C643" s="8"/>
      <c r="D643" s="8"/>
      <c r="E643" s="9" t="s">
        <v>37</v>
      </c>
      <c r="F643" s="10" t="s">
        <v>16</v>
      </c>
      <c r="G643" s="10" t="s">
        <v>225</v>
      </c>
      <c r="H643" s="10" t="s">
        <v>1778</v>
      </c>
      <c r="I643" s="10" t="s">
        <v>233</v>
      </c>
      <c r="J643" s="11">
        <v>827968559</v>
      </c>
      <c r="K643" s="11"/>
      <c r="L643" s="10" t="s">
        <v>829</v>
      </c>
      <c r="M643" s="10" t="s">
        <v>47</v>
      </c>
      <c r="N643" s="10" t="s">
        <v>51</v>
      </c>
      <c r="O643" s="10">
        <v>2007</v>
      </c>
      <c r="P643" s="8" t="s">
        <v>1120</v>
      </c>
      <c r="Q643" s="12"/>
    </row>
    <row r="644" spans="1:17" x14ac:dyDescent="0.2">
      <c r="A644">
        <f t="shared" ref="A644:A707" si="10">VALUE(B644)</f>
        <v>1702012</v>
      </c>
      <c r="B644" s="7" t="s">
        <v>2618</v>
      </c>
      <c r="C644" s="8"/>
      <c r="D644" s="8"/>
      <c r="E644" s="9" t="s">
        <v>37</v>
      </c>
      <c r="F644" s="10" t="s">
        <v>16</v>
      </c>
      <c r="G644" s="10" t="s">
        <v>225</v>
      </c>
      <c r="H644" s="10" t="s">
        <v>1779</v>
      </c>
      <c r="I644" s="10" t="s">
        <v>263</v>
      </c>
      <c r="J644" s="11">
        <v>924943311</v>
      </c>
      <c r="K644" s="11"/>
      <c r="L644" s="10" t="s">
        <v>1780</v>
      </c>
      <c r="M644" s="10" t="s">
        <v>47</v>
      </c>
      <c r="N644" s="10" t="s">
        <v>51</v>
      </c>
      <c r="O644" s="10">
        <v>2007</v>
      </c>
      <c r="P644" s="8">
        <v>42842</v>
      </c>
      <c r="Q644" s="12" t="s">
        <v>909</v>
      </c>
    </row>
    <row r="645" spans="1:17" x14ac:dyDescent="0.2">
      <c r="A645">
        <f t="shared" si="10"/>
        <v>1702013</v>
      </c>
      <c r="B645" s="7" t="s">
        <v>2619</v>
      </c>
      <c r="C645" s="8"/>
      <c r="D645" s="8"/>
      <c r="E645" s="9" t="s">
        <v>37</v>
      </c>
      <c r="F645" s="10" t="s">
        <v>16</v>
      </c>
      <c r="G645" s="10" t="s">
        <v>196</v>
      </c>
      <c r="H645" s="10" t="s">
        <v>3408</v>
      </c>
      <c r="I645" s="10" t="s">
        <v>286</v>
      </c>
      <c r="J645" s="11">
        <v>946979444</v>
      </c>
      <c r="K645" s="11"/>
      <c r="L645" s="10" t="s">
        <v>3409</v>
      </c>
      <c r="M645" s="10" t="s">
        <v>47</v>
      </c>
      <c r="N645" s="10" t="s">
        <v>51</v>
      </c>
      <c r="O645" s="10"/>
      <c r="P645" s="8" t="s">
        <v>1120</v>
      </c>
      <c r="Q645" s="12"/>
    </row>
    <row r="646" spans="1:17" x14ac:dyDescent="0.2">
      <c r="A646">
        <f t="shared" si="10"/>
        <v>1702014</v>
      </c>
      <c r="B646" s="7" t="s">
        <v>2620</v>
      </c>
      <c r="C646" s="8"/>
      <c r="D646" s="8"/>
      <c r="E646" s="9" t="s">
        <v>37</v>
      </c>
      <c r="F646" s="10" t="s">
        <v>16</v>
      </c>
      <c r="G646" s="10" t="s">
        <v>202</v>
      </c>
      <c r="H646" s="10" t="s">
        <v>1978</v>
      </c>
      <c r="I646" s="10" t="s">
        <v>286</v>
      </c>
      <c r="J646" s="11">
        <v>928233658</v>
      </c>
      <c r="K646" s="11"/>
      <c r="L646" s="10" t="s">
        <v>1979</v>
      </c>
      <c r="M646" s="10" t="s">
        <v>47</v>
      </c>
      <c r="N646" s="10" t="s">
        <v>48</v>
      </c>
      <c r="O646" s="10">
        <v>2012</v>
      </c>
      <c r="P646" s="8">
        <v>42756</v>
      </c>
      <c r="Q646" s="12" t="s">
        <v>774</v>
      </c>
    </row>
    <row r="647" spans="1:17" x14ac:dyDescent="0.2">
      <c r="A647">
        <f t="shared" si="10"/>
        <v>1702015</v>
      </c>
      <c r="B647" s="7" t="s">
        <v>2621</v>
      </c>
      <c r="C647" s="8"/>
      <c r="D647" s="8"/>
      <c r="E647" s="9" t="s">
        <v>37</v>
      </c>
      <c r="F647" s="10" t="s">
        <v>16</v>
      </c>
      <c r="G647" s="10" t="s">
        <v>202</v>
      </c>
      <c r="H647" s="10" t="s">
        <v>3410</v>
      </c>
      <c r="I647" s="10" t="s">
        <v>254</v>
      </c>
      <c r="J647" s="11">
        <v>879172814</v>
      </c>
      <c r="K647" s="11"/>
      <c r="L647" s="10" t="s">
        <v>3411</v>
      </c>
      <c r="M647" s="10" t="s">
        <v>58</v>
      </c>
      <c r="N647" s="10" t="s">
        <v>414</v>
      </c>
      <c r="O647" s="10">
        <v>2009</v>
      </c>
      <c r="P647" s="8">
        <v>42903</v>
      </c>
      <c r="Q647" s="12" t="s">
        <v>335</v>
      </c>
    </row>
    <row r="648" spans="1:17" x14ac:dyDescent="0.2">
      <c r="A648">
        <f t="shared" si="10"/>
        <v>1702016</v>
      </c>
      <c r="B648" s="7" t="s">
        <v>2622</v>
      </c>
      <c r="C648" s="8"/>
      <c r="D648" s="8"/>
      <c r="E648" s="9" t="s">
        <v>37</v>
      </c>
      <c r="F648" s="10" t="s">
        <v>16</v>
      </c>
      <c r="G648" s="10" t="s">
        <v>207</v>
      </c>
      <c r="H648" s="10" t="s">
        <v>1980</v>
      </c>
      <c r="I648" s="10" t="s">
        <v>1192</v>
      </c>
      <c r="J648" s="11">
        <v>992465169</v>
      </c>
      <c r="K648" s="11">
        <v>954988657</v>
      </c>
      <c r="L648" s="10" t="s">
        <v>1981</v>
      </c>
      <c r="M648" s="10" t="s">
        <v>47</v>
      </c>
      <c r="N648" s="10">
        <v>2</v>
      </c>
      <c r="O648" s="10">
        <v>2011</v>
      </c>
      <c r="P648" s="8">
        <v>43049</v>
      </c>
      <c r="Q648" s="12" t="s">
        <v>350</v>
      </c>
    </row>
    <row r="649" spans="1:17" x14ac:dyDescent="0.2">
      <c r="A649">
        <f t="shared" si="10"/>
        <v>1702017</v>
      </c>
      <c r="B649" s="7" t="s">
        <v>2623</v>
      </c>
      <c r="C649" s="8"/>
      <c r="D649" s="8"/>
      <c r="E649" s="9" t="s">
        <v>37</v>
      </c>
      <c r="F649" s="10" t="s">
        <v>16</v>
      </c>
      <c r="G649" s="10" t="s">
        <v>196</v>
      </c>
      <c r="H649" s="10" t="s">
        <v>3412</v>
      </c>
      <c r="I649" s="10" t="s">
        <v>233</v>
      </c>
      <c r="J649" s="11">
        <v>898112396</v>
      </c>
      <c r="K649" s="11"/>
      <c r="L649" s="10" t="s">
        <v>3413</v>
      </c>
      <c r="M649" s="10" t="s">
        <v>47</v>
      </c>
      <c r="N649" s="10" t="s">
        <v>106</v>
      </c>
      <c r="O649" s="10">
        <v>2007</v>
      </c>
      <c r="P649" s="8">
        <v>42939</v>
      </c>
      <c r="Q649" s="12" t="s">
        <v>256</v>
      </c>
    </row>
    <row r="650" spans="1:17" x14ac:dyDescent="0.2">
      <c r="A650">
        <f t="shared" si="10"/>
        <v>1702018</v>
      </c>
      <c r="B650" s="7" t="s">
        <v>2624</v>
      </c>
      <c r="C650" s="8"/>
      <c r="D650" s="8"/>
      <c r="E650" s="9" t="s">
        <v>37</v>
      </c>
      <c r="F650" s="10" t="s">
        <v>16</v>
      </c>
      <c r="G650" s="10" t="s">
        <v>202</v>
      </c>
      <c r="H650" s="10" t="s">
        <v>1982</v>
      </c>
      <c r="I650" s="10" t="s">
        <v>305</v>
      </c>
      <c r="J650" s="11">
        <v>890088788</v>
      </c>
      <c r="K650" s="11"/>
      <c r="L650" s="10" t="s">
        <v>1983</v>
      </c>
      <c r="M650" s="10" t="s">
        <v>54</v>
      </c>
      <c r="N650" s="10" t="s">
        <v>837</v>
      </c>
      <c r="O650" s="10">
        <v>2008</v>
      </c>
      <c r="P650" s="8">
        <v>42713</v>
      </c>
      <c r="Q650" s="12" t="s">
        <v>820</v>
      </c>
    </row>
    <row r="651" spans="1:17" x14ac:dyDescent="0.2">
      <c r="A651">
        <f t="shared" si="10"/>
        <v>1702019</v>
      </c>
      <c r="B651" s="7" t="s">
        <v>2625</v>
      </c>
      <c r="C651" s="8"/>
      <c r="D651" s="8"/>
      <c r="E651" s="9" t="s">
        <v>37</v>
      </c>
      <c r="F651" s="10" t="s">
        <v>16</v>
      </c>
      <c r="G651" s="10" t="s">
        <v>196</v>
      </c>
      <c r="H651" s="10" t="s">
        <v>3414</v>
      </c>
      <c r="I651" s="10" t="s">
        <v>577</v>
      </c>
      <c r="J651" s="11">
        <v>867748114</v>
      </c>
      <c r="K651" s="11"/>
      <c r="L651" s="10" t="s">
        <v>3415</v>
      </c>
      <c r="M651" s="10" t="s">
        <v>47</v>
      </c>
      <c r="N651" s="10" t="s">
        <v>106</v>
      </c>
      <c r="O651" s="10">
        <v>2013</v>
      </c>
      <c r="P651" s="8">
        <v>43022</v>
      </c>
      <c r="Q651" s="12" t="s">
        <v>260</v>
      </c>
    </row>
    <row r="652" spans="1:17" x14ac:dyDescent="0.2">
      <c r="A652">
        <f t="shared" si="10"/>
        <v>1702020</v>
      </c>
      <c r="B652" s="7" t="s">
        <v>2626</v>
      </c>
      <c r="C652" s="8"/>
      <c r="D652" s="8"/>
      <c r="E652" s="9" t="s">
        <v>37</v>
      </c>
      <c r="F652" s="10" t="s">
        <v>16</v>
      </c>
      <c r="G652" s="10" t="s">
        <v>337</v>
      </c>
      <c r="H652" s="10" t="s">
        <v>3416</v>
      </c>
      <c r="I652" s="10" t="s">
        <v>254</v>
      </c>
      <c r="J652" s="11">
        <v>843872040</v>
      </c>
      <c r="K652" s="11"/>
      <c r="L652" s="10" t="s">
        <v>3417</v>
      </c>
      <c r="M652" s="10" t="s">
        <v>47</v>
      </c>
      <c r="N652" s="10" t="s">
        <v>51</v>
      </c>
      <c r="O652" s="10">
        <v>2012</v>
      </c>
      <c r="P652" s="8" t="s">
        <v>1120</v>
      </c>
      <c r="Q652" s="12"/>
    </row>
    <row r="653" spans="1:17" x14ac:dyDescent="0.2">
      <c r="A653">
        <f t="shared" si="10"/>
        <v>1702021</v>
      </c>
      <c r="B653" s="7" t="s">
        <v>2627</v>
      </c>
      <c r="C653" s="8"/>
      <c r="D653" s="8"/>
      <c r="E653" s="9" t="s">
        <v>37</v>
      </c>
      <c r="F653" s="10" t="s">
        <v>16</v>
      </c>
      <c r="G653" s="10" t="s">
        <v>337</v>
      </c>
      <c r="H653" s="10" t="s">
        <v>3418</v>
      </c>
      <c r="I653" s="10" t="s">
        <v>263</v>
      </c>
      <c r="J653" s="11">
        <v>816580782</v>
      </c>
      <c r="K653" s="11"/>
      <c r="L653" s="10" t="s">
        <v>3419</v>
      </c>
      <c r="M653" s="10" t="s">
        <v>47</v>
      </c>
      <c r="N653" s="10" t="s">
        <v>48</v>
      </c>
      <c r="O653" s="10">
        <v>2011</v>
      </c>
      <c r="P653" s="8">
        <v>42780</v>
      </c>
      <c r="Q653" s="12" t="s">
        <v>260</v>
      </c>
    </row>
    <row r="654" spans="1:17" x14ac:dyDescent="0.2">
      <c r="A654">
        <f t="shared" si="10"/>
        <v>1702022</v>
      </c>
      <c r="B654" s="7" t="s">
        <v>2628</v>
      </c>
      <c r="C654" s="8"/>
      <c r="D654" s="8"/>
      <c r="E654" s="9" t="s">
        <v>37</v>
      </c>
      <c r="F654" s="10" t="s">
        <v>16</v>
      </c>
      <c r="G654" s="10" t="s">
        <v>207</v>
      </c>
      <c r="H654" s="10" t="s">
        <v>3420</v>
      </c>
      <c r="I654" s="10" t="s">
        <v>1086</v>
      </c>
      <c r="J654" s="11">
        <v>948829356</v>
      </c>
      <c r="K654" s="11"/>
      <c r="L654" s="10" t="s">
        <v>3421</v>
      </c>
      <c r="M654" s="10" t="s">
        <v>58</v>
      </c>
      <c r="N654" s="10" t="s">
        <v>717</v>
      </c>
      <c r="O654" s="10">
        <v>2012</v>
      </c>
      <c r="P654" s="8">
        <v>42796</v>
      </c>
      <c r="Q654" s="12" t="s">
        <v>1128</v>
      </c>
    </row>
    <row r="655" spans="1:17" x14ac:dyDescent="0.2">
      <c r="A655">
        <f t="shared" si="10"/>
        <v>1702023</v>
      </c>
      <c r="B655" s="7" t="s">
        <v>2629</v>
      </c>
      <c r="C655" s="8"/>
      <c r="D655" s="8"/>
      <c r="E655" s="9" t="s">
        <v>37</v>
      </c>
      <c r="F655" s="10" t="s">
        <v>16</v>
      </c>
      <c r="G655" s="10" t="s">
        <v>202</v>
      </c>
      <c r="H655" s="10" t="s">
        <v>3422</v>
      </c>
      <c r="I655" s="10" t="s">
        <v>457</v>
      </c>
      <c r="J655" s="11">
        <v>873237502</v>
      </c>
      <c r="K655" s="11"/>
      <c r="L655" s="10" t="s">
        <v>3423</v>
      </c>
      <c r="M655" s="10" t="s">
        <v>58</v>
      </c>
      <c r="N655" s="10" t="s">
        <v>1154</v>
      </c>
      <c r="O655" s="10">
        <v>2005</v>
      </c>
      <c r="P655" s="8">
        <v>42785</v>
      </c>
      <c r="Q655" s="12" t="s">
        <v>301</v>
      </c>
    </row>
    <row r="656" spans="1:17" x14ac:dyDescent="0.2">
      <c r="A656">
        <f t="shared" si="10"/>
        <v>1702024</v>
      </c>
      <c r="B656" s="7" t="s">
        <v>2630</v>
      </c>
      <c r="C656" s="8"/>
      <c r="D656" s="8"/>
      <c r="E656" s="9" t="s">
        <v>37</v>
      </c>
      <c r="F656" s="10" t="s">
        <v>16</v>
      </c>
      <c r="G656" s="10" t="s">
        <v>337</v>
      </c>
      <c r="H656" s="10" t="s">
        <v>1781</v>
      </c>
      <c r="I656" s="10" t="s">
        <v>979</v>
      </c>
      <c r="J656" s="11">
        <v>819279293</v>
      </c>
      <c r="K656" s="11"/>
      <c r="L656" s="10" t="s">
        <v>1782</v>
      </c>
      <c r="M656" s="10" t="s">
        <v>47</v>
      </c>
      <c r="N656" s="10" t="s">
        <v>48</v>
      </c>
      <c r="O656" s="10"/>
      <c r="P656" s="8" t="s">
        <v>1120</v>
      </c>
      <c r="Q656" s="12"/>
    </row>
    <row r="657" spans="1:17" x14ac:dyDescent="0.2">
      <c r="A657">
        <f t="shared" si="10"/>
        <v>1702025</v>
      </c>
      <c r="B657" s="7" t="s">
        <v>2631</v>
      </c>
      <c r="C657" s="8"/>
      <c r="D657" s="8"/>
      <c r="E657" s="9" t="s">
        <v>37</v>
      </c>
      <c r="F657" s="10" t="s">
        <v>16</v>
      </c>
      <c r="G657" s="10" t="s">
        <v>202</v>
      </c>
      <c r="H657" s="10" t="s">
        <v>3424</v>
      </c>
      <c r="I657" s="10" t="s">
        <v>243</v>
      </c>
      <c r="J657" s="11">
        <v>952453664</v>
      </c>
      <c r="K657" s="11"/>
      <c r="L657" s="10" t="s">
        <v>3425</v>
      </c>
      <c r="M657" s="10" t="s">
        <v>47</v>
      </c>
      <c r="N657" s="10" t="s">
        <v>51</v>
      </c>
      <c r="O657" s="10">
        <v>2010</v>
      </c>
      <c r="P657" s="8" t="s">
        <v>1120</v>
      </c>
      <c r="Q657" s="12"/>
    </row>
    <row r="658" spans="1:17" x14ac:dyDescent="0.2">
      <c r="A658">
        <f t="shared" si="10"/>
        <v>1702026</v>
      </c>
      <c r="B658" s="7" t="s">
        <v>2632</v>
      </c>
      <c r="C658" s="8"/>
      <c r="D658" s="8"/>
      <c r="E658" s="9" t="s">
        <v>37</v>
      </c>
      <c r="F658" s="10" t="s">
        <v>16</v>
      </c>
      <c r="G658" s="10" t="s">
        <v>196</v>
      </c>
      <c r="H658" s="10" t="s">
        <v>3426</v>
      </c>
      <c r="I658" s="10" t="s">
        <v>506</v>
      </c>
      <c r="J658" s="11">
        <v>917279991</v>
      </c>
      <c r="K658" s="11"/>
      <c r="L658" s="10" t="s">
        <v>3427</v>
      </c>
      <c r="M658" s="10" t="s">
        <v>42</v>
      </c>
      <c r="N658" s="10" t="s">
        <v>75</v>
      </c>
      <c r="O658" s="10">
        <v>2012</v>
      </c>
      <c r="P658" s="8" t="s">
        <v>1120</v>
      </c>
      <c r="Q658" s="12"/>
    </row>
    <row r="659" spans="1:17" x14ac:dyDescent="0.2">
      <c r="A659">
        <f t="shared" si="10"/>
        <v>1702027</v>
      </c>
      <c r="B659" s="7" t="s">
        <v>2633</v>
      </c>
      <c r="C659" s="8"/>
      <c r="D659" s="8"/>
      <c r="E659" s="9" t="s">
        <v>37</v>
      </c>
      <c r="F659" s="10" t="s">
        <v>16</v>
      </c>
      <c r="G659" s="10" t="s">
        <v>207</v>
      </c>
      <c r="H659" s="10" t="s">
        <v>3428</v>
      </c>
      <c r="I659" s="10" t="s">
        <v>286</v>
      </c>
      <c r="J659" s="11">
        <v>814073255</v>
      </c>
      <c r="K659" s="11"/>
      <c r="L659" s="10" t="s">
        <v>3429</v>
      </c>
      <c r="M659" s="10" t="s">
        <v>126</v>
      </c>
      <c r="N659" s="10" t="s">
        <v>172</v>
      </c>
      <c r="O659" s="10">
        <v>2012</v>
      </c>
      <c r="P659" s="8" t="s">
        <v>1120</v>
      </c>
      <c r="Q659" s="12"/>
    </row>
    <row r="660" spans="1:17" x14ac:dyDescent="0.2">
      <c r="A660">
        <f t="shared" si="10"/>
        <v>1702028</v>
      </c>
      <c r="B660" s="7" t="s">
        <v>2634</v>
      </c>
      <c r="C660" s="8"/>
      <c r="D660" s="8"/>
      <c r="E660" s="9" t="s">
        <v>37</v>
      </c>
      <c r="F660" s="10" t="s">
        <v>16</v>
      </c>
      <c r="G660" s="10" t="s">
        <v>207</v>
      </c>
      <c r="H660" s="10" t="s">
        <v>3430</v>
      </c>
      <c r="I660" s="10" t="s">
        <v>222</v>
      </c>
      <c r="J660" s="11">
        <v>819110590</v>
      </c>
      <c r="K660" s="11"/>
      <c r="L660" s="10" t="s">
        <v>3431</v>
      </c>
      <c r="M660" s="10" t="s">
        <v>58</v>
      </c>
      <c r="N660" s="10" t="s">
        <v>717</v>
      </c>
      <c r="O660" s="10">
        <v>2010</v>
      </c>
      <c r="P660" s="8">
        <v>42909</v>
      </c>
      <c r="Q660" s="12" t="s">
        <v>292</v>
      </c>
    </row>
    <row r="661" spans="1:17" x14ac:dyDescent="0.2">
      <c r="A661">
        <f t="shared" si="10"/>
        <v>1702029</v>
      </c>
      <c r="B661" s="7" t="s">
        <v>2635</v>
      </c>
      <c r="C661" s="8"/>
      <c r="D661" s="8"/>
      <c r="E661" s="9" t="s">
        <v>37</v>
      </c>
      <c r="F661" s="10" t="s">
        <v>16</v>
      </c>
      <c r="G661" s="10" t="s">
        <v>303</v>
      </c>
      <c r="H661" s="10" t="s">
        <v>3432</v>
      </c>
      <c r="I661" s="10" t="s">
        <v>286</v>
      </c>
      <c r="J661" s="11">
        <v>802170804</v>
      </c>
      <c r="K661" s="11"/>
      <c r="L661" s="10" t="s">
        <v>3433</v>
      </c>
      <c r="M661" s="10" t="s">
        <v>126</v>
      </c>
      <c r="N661" s="10"/>
      <c r="O661" s="10"/>
      <c r="P661" s="8" t="s">
        <v>1120</v>
      </c>
      <c r="Q661" s="12"/>
    </row>
    <row r="662" spans="1:17" x14ac:dyDescent="0.2">
      <c r="A662">
        <f t="shared" si="10"/>
        <v>1702030</v>
      </c>
      <c r="B662" s="7" t="s">
        <v>2636</v>
      </c>
      <c r="C662" s="8"/>
      <c r="D662" s="8"/>
      <c r="E662" s="9" t="s">
        <v>37</v>
      </c>
      <c r="F662" s="10" t="s">
        <v>16</v>
      </c>
      <c r="G662" s="10" t="s">
        <v>202</v>
      </c>
      <c r="H662" s="10" t="s">
        <v>1783</v>
      </c>
      <c r="I662" s="10" t="s">
        <v>1784</v>
      </c>
      <c r="J662" s="11">
        <v>866691725</v>
      </c>
      <c r="K662" s="11"/>
      <c r="L662" s="10" t="s">
        <v>1785</v>
      </c>
      <c r="M662" s="10" t="s">
        <v>282</v>
      </c>
      <c r="N662" s="10" t="s">
        <v>283</v>
      </c>
      <c r="O662" s="10">
        <v>2013</v>
      </c>
      <c r="P662" s="8">
        <v>42851</v>
      </c>
      <c r="Q662" s="12" t="s">
        <v>1069</v>
      </c>
    </row>
    <row r="663" spans="1:17" x14ac:dyDescent="0.2">
      <c r="A663">
        <f t="shared" si="10"/>
        <v>1702031</v>
      </c>
      <c r="B663" s="7" t="s">
        <v>2637</v>
      </c>
      <c r="C663" s="8"/>
      <c r="D663" s="8"/>
      <c r="E663" s="9" t="s">
        <v>37</v>
      </c>
      <c r="F663" s="10" t="s">
        <v>16</v>
      </c>
      <c r="G663" s="10" t="s">
        <v>207</v>
      </c>
      <c r="H663" s="10" t="s">
        <v>501</v>
      </c>
      <c r="I663" s="10" t="s">
        <v>286</v>
      </c>
      <c r="J663" s="11">
        <v>923986918</v>
      </c>
      <c r="K663" s="11"/>
      <c r="L663" s="10" t="s">
        <v>3434</v>
      </c>
      <c r="M663" s="10" t="s">
        <v>54</v>
      </c>
      <c r="N663" s="10" t="s">
        <v>72</v>
      </c>
      <c r="O663" s="10">
        <v>2012</v>
      </c>
      <c r="P663" s="8">
        <v>42886</v>
      </c>
      <c r="Q663" s="12" t="s">
        <v>503</v>
      </c>
    </row>
    <row r="664" spans="1:17" x14ac:dyDescent="0.2">
      <c r="A664">
        <f t="shared" si="10"/>
        <v>1702032</v>
      </c>
      <c r="B664" s="7" t="s">
        <v>2638</v>
      </c>
      <c r="C664" s="8"/>
      <c r="D664" s="8"/>
      <c r="E664" s="9" t="s">
        <v>37</v>
      </c>
      <c r="F664" s="10" t="s">
        <v>16</v>
      </c>
      <c r="G664" s="10" t="s">
        <v>303</v>
      </c>
      <c r="H664" s="10" t="s">
        <v>1786</v>
      </c>
      <c r="I664" s="10" t="s">
        <v>267</v>
      </c>
      <c r="J664" s="11">
        <v>614038762</v>
      </c>
      <c r="K664" s="11"/>
      <c r="L664" s="10" t="s">
        <v>1787</v>
      </c>
      <c r="M664" s="10" t="s">
        <v>47</v>
      </c>
      <c r="N664" s="10" t="s">
        <v>209</v>
      </c>
      <c r="O664" s="10">
        <v>2009</v>
      </c>
      <c r="P664" s="8">
        <v>42902</v>
      </c>
      <c r="Q664" s="12" t="s">
        <v>1758</v>
      </c>
    </row>
    <row r="665" spans="1:17" x14ac:dyDescent="0.2">
      <c r="A665">
        <f t="shared" si="10"/>
        <v>1702033</v>
      </c>
      <c r="B665" s="7" t="s">
        <v>2639</v>
      </c>
      <c r="C665" s="8"/>
      <c r="D665" s="8"/>
      <c r="E665" s="9" t="s">
        <v>37</v>
      </c>
      <c r="F665" s="10" t="s">
        <v>16</v>
      </c>
      <c r="G665" s="10" t="s">
        <v>225</v>
      </c>
      <c r="H665" s="10" t="s">
        <v>1786</v>
      </c>
      <c r="I665" s="10" t="s">
        <v>267</v>
      </c>
      <c r="J665" s="11">
        <v>614038762</v>
      </c>
      <c r="K665" s="11">
        <v>0</v>
      </c>
      <c r="L665" s="10" t="s">
        <v>1787</v>
      </c>
      <c r="M665" s="10" t="s">
        <v>47</v>
      </c>
      <c r="N665" s="10" t="s">
        <v>209</v>
      </c>
      <c r="O665" s="10">
        <v>2009</v>
      </c>
      <c r="P665" s="8">
        <v>42902</v>
      </c>
      <c r="Q665" s="12" t="s">
        <v>1758</v>
      </c>
    </row>
    <row r="666" spans="1:17" x14ac:dyDescent="0.2">
      <c r="A666">
        <f t="shared" si="10"/>
        <v>1702034</v>
      </c>
      <c r="B666" s="7" t="s">
        <v>2640</v>
      </c>
      <c r="C666" s="8"/>
      <c r="D666" s="8"/>
      <c r="E666" s="9" t="s">
        <v>37</v>
      </c>
      <c r="F666" s="10" t="s">
        <v>16</v>
      </c>
      <c r="G666" s="10" t="s">
        <v>202</v>
      </c>
      <c r="H666" s="10" t="s">
        <v>3435</v>
      </c>
      <c r="I666" s="10" t="s">
        <v>506</v>
      </c>
      <c r="J666" s="11">
        <v>818665946</v>
      </c>
      <c r="K666" s="11"/>
      <c r="L666" s="10" t="s">
        <v>3436</v>
      </c>
      <c r="M666" s="10" t="s">
        <v>47</v>
      </c>
      <c r="N666" s="10" t="s">
        <v>48</v>
      </c>
      <c r="O666" s="10">
        <v>2008</v>
      </c>
      <c r="P666" s="8">
        <v>42975</v>
      </c>
      <c r="Q666" s="12" t="s">
        <v>477</v>
      </c>
    </row>
    <row r="667" spans="1:17" x14ac:dyDescent="0.2">
      <c r="A667">
        <f t="shared" si="10"/>
        <v>1702035</v>
      </c>
      <c r="B667" s="7" t="s">
        <v>2641</v>
      </c>
      <c r="C667" s="8"/>
      <c r="D667" s="8"/>
      <c r="E667" s="9" t="s">
        <v>37</v>
      </c>
      <c r="F667" s="10" t="s">
        <v>16</v>
      </c>
      <c r="G667" s="10" t="s">
        <v>207</v>
      </c>
      <c r="H667" s="10" t="s">
        <v>3437</v>
      </c>
      <c r="I667" s="10" t="s">
        <v>263</v>
      </c>
      <c r="J667" s="11">
        <v>875047448</v>
      </c>
      <c r="K667" s="11"/>
      <c r="L667" s="10" t="s">
        <v>3438</v>
      </c>
      <c r="M667" s="10" t="s">
        <v>47</v>
      </c>
      <c r="N667" s="10" t="s">
        <v>106</v>
      </c>
      <c r="O667" s="10">
        <v>2012</v>
      </c>
      <c r="P667" s="8">
        <v>42835</v>
      </c>
      <c r="Q667" s="12" t="s">
        <v>1566</v>
      </c>
    </row>
    <row r="668" spans="1:17" x14ac:dyDescent="0.2">
      <c r="A668">
        <f t="shared" si="10"/>
        <v>1702036</v>
      </c>
      <c r="B668" s="7" t="s">
        <v>2642</v>
      </c>
      <c r="C668" s="8"/>
      <c r="D668" s="8"/>
      <c r="E668" s="9" t="s">
        <v>37</v>
      </c>
      <c r="F668" s="10" t="s">
        <v>16</v>
      </c>
      <c r="G668" s="10" t="s">
        <v>231</v>
      </c>
      <c r="H668" s="10" t="s">
        <v>1788</v>
      </c>
      <c r="I668" s="10" t="s">
        <v>263</v>
      </c>
      <c r="J668" s="11">
        <v>902469526</v>
      </c>
      <c r="K668" s="11">
        <v>623232452</v>
      </c>
      <c r="L668" s="10" t="s">
        <v>1789</v>
      </c>
      <c r="M668" s="10" t="s">
        <v>47</v>
      </c>
      <c r="N668" s="10" t="s">
        <v>630</v>
      </c>
      <c r="O668" s="10">
        <v>2000</v>
      </c>
      <c r="P668" s="8">
        <v>42931</v>
      </c>
      <c r="Q668" s="12" t="s">
        <v>1790</v>
      </c>
    </row>
    <row r="669" spans="1:17" x14ac:dyDescent="0.2">
      <c r="A669">
        <f t="shared" si="10"/>
        <v>1702037</v>
      </c>
      <c r="B669" s="7" t="s">
        <v>2643</v>
      </c>
      <c r="C669" s="8"/>
      <c r="D669" s="8"/>
      <c r="E669" s="9" t="s">
        <v>37</v>
      </c>
      <c r="F669" s="10" t="s">
        <v>16</v>
      </c>
      <c r="G669" s="10" t="s">
        <v>207</v>
      </c>
      <c r="H669" s="10" t="s">
        <v>3439</v>
      </c>
      <c r="I669" s="10" t="s">
        <v>506</v>
      </c>
      <c r="J669" s="11">
        <v>890485714</v>
      </c>
      <c r="K669" s="11">
        <v>879252684</v>
      </c>
      <c r="L669" s="10" t="s">
        <v>3440</v>
      </c>
      <c r="M669" s="10" t="s">
        <v>47</v>
      </c>
      <c r="N669" s="10" t="s">
        <v>106</v>
      </c>
      <c r="O669" s="10">
        <v>2013</v>
      </c>
      <c r="P669" s="8">
        <v>42926</v>
      </c>
      <c r="Q669" s="12" t="s">
        <v>499</v>
      </c>
    </row>
    <row r="670" spans="1:17" x14ac:dyDescent="0.2">
      <c r="A670">
        <f t="shared" si="10"/>
        <v>1702038</v>
      </c>
      <c r="B670" s="7" t="s">
        <v>2644</v>
      </c>
      <c r="C670" s="8"/>
      <c r="D670" s="8"/>
      <c r="E670" s="9" t="s">
        <v>37</v>
      </c>
      <c r="F670" s="10" t="s">
        <v>16</v>
      </c>
      <c r="G670" s="10" t="s">
        <v>303</v>
      </c>
      <c r="H670" s="10" t="s">
        <v>3441</v>
      </c>
      <c r="I670" s="10" t="s">
        <v>305</v>
      </c>
      <c r="J670" s="11">
        <v>870442156</v>
      </c>
      <c r="K670" s="11"/>
      <c r="L670" s="10" t="s">
        <v>3442</v>
      </c>
      <c r="M670" s="10" t="s">
        <v>58</v>
      </c>
      <c r="N670" s="10" t="s">
        <v>414</v>
      </c>
      <c r="O670" s="10">
        <v>2007</v>
      </c>
      <c r="P670" s="8">
        <v>43085</v>
      </c>
      <c r="Q670" s="12" t="s">
        <v>664</v>
      </c>
    </row>
    <row r="671" spans="1:17" x14ac:dyDescent="0.2">
      <c r="A671">
        <f t="shared" si="10"/>
        <v>1702039</v>
      </c>
      <c r="B671" s="7" t="s">
        <v>2645</v>
      </c>
      <c r="C671" s="8"/>
      <c r="D671" s="8"/>
      <c r="E671" s="9" t="s">
        <v>37</v>
      </c>
      <c r="F671" s="10" t="s">
        <v>16</v>
      </c>
      <c r="G671" s="10" t="s">
        <v>207</v>
      </c>
      <c r="H671" s="10" t="s">
        <v>3443</v>
      </c>
      <c r="I671" s="10" t="s">
        <v>243</v>
      </c>
      <c r="J671" s="11">
        <v>874078691</v>
      </c>
      <c r="K671" s="11">
        <v>827360329</v>
      </c>
      <c r="L671" s="10" t="s">
        <v>3444</v>
      </c>
      <c r="M671" s="10" t="s">
        <v>47</v>
      </c>
      <c r="N671" s="10" t="s">
        <v>106</v>
      </c>
      <c r="O671" s="10">
        <v>2008</v>
      </c>
      <c r="P671" s="8">
        <v>42688</v>
      </c>
      <c r="Q671" s="12" t="s">
        <v>1128</v>
      </c>
    </row>
    <row r="672" spans="1:17" x14ac:dyDescent="0.2">
      <c r="A672">
        <f t="shared" si="10"/>
        <v>1702040</v>
      </c>
      <c r="B672" s="7" t="s">
        <v>2646</v>
      </c>
      <c r="C672" s="8"/>
      <c r="D672" s="8"/>
      <c r="E672" s="9" t="s">
        <v>37</v>
      </c>
      <c r="F672" s="10" t="s">
        <v>16</v>
      </c>
      <c r="G672" s="10" t="s">
        <v>202</v>
      </c>
      <c r="H672" s="10" t="s">
        <v>3445</v>
      </c>
      <c r="I672" s="10" t="s">
        <v>625</v>
      </c>
      <c r="J672" s="11">
        <v>815746461</v>
      </c>
      <c r="K672" s="11"/>
      <c r="L672" s="10" t="s">
        <v>3446</v>
      </c>
      <c r="M672" s="10" t="s">
        <v>87</v>
      </c>
      <c r="N672" s="10" t="s">
        <v>498</v>
      </c>
      <c r="O672" s="10">
        <v>2013</v>
      </c>
      <c r="P672" s="8" t="s">
        <v>1120</v>
      </c>
      <c r="Q672" s="12"/>
    </row>
    <row r="673" spans="1:17" x14ac:dyDescent="0.2">
      <c r="A673">
        <f t="shared" si="10"/>
        <v>1702041</v>
      </c>
      <c r="B673" s="7" t="s">
        <v>2647</v>
      </c>
      <c r="C673" s="8"/>
      <c r="D673" s="8"/>
      <c r="E673" s="9" t="s">
        <v>37</v>
      </c>
      <c r="F673" s="10" t="s">
        <v>16</v>
      </c>
      <c r="G673" s="10" t="s">
        <v>207</v>
      </c>
      <c r="H673" s="10" t="s">
        <v>3447</v>
      </c>
      <c r="I673" s="10" t="s">
        <v>243</v>
      </c>
      <c r="J673" s="11">
        <v>944252940</v>
      </c>
      <c r="K673" s="11"/>
      <c r="L673" s="10" t="s">
        <v>3448</v>
      </c>
      <c r="M673" s="10" t="s">
        <v>58</v>
      </c>
      <c r="N673" s="10" t="s">
        <v>3270</v>
      </c>
      <c r="O673" s="10">
        <v>2013</v>
      </c>
      <c r="P673" s="8">
        <v>42884</v>
      </c>
      <c r="Q673" s="12" t="s">
        <v>656</v>
      </c>
    </row>
    <row r="674" spans="1:17" x14ac:dyDescent="0.2">
      <c r="A674">
        <f t="shared" si="10"/>
        <v>1702042</v>
      </c>
      <c r="B674" s="7" t="s">
        <v>2648</v>
      </c>
      <c r="C674" s="8"/>
      <c r="D674" s="8"/>
      <c r="E674" s="9" t="s">
        <v>37</v>
      </c>
      <c r="F674" s="10" t="s">
        <v>16</v>
      </c>
      <c r="G674" s="10" t="s">
        <v>196</v>
      </c>
      <c r="H674" s="10" t="s">
        <v>3449</v>
      </c>
      <c r="I674" s="10" t="s">
        <v>506</v>
      </c>
      <c r="J674" s="11">
        <v>814538605</v>
      </c>
      <c r="K674" s="11">
        <v>814975516</v>
      </c>
      <c r="L674" s="10" t="s">
        <v>3450</v>
      </c>
      <c r="M674" s="10" t="s">
        <v>47</v>
      </c>
      <c r="N674" s="10" t="s">
        <v>209</v>
      </c>
      <c r="O674" s="10">
        <v>2010</v>
      </c>
      <c r="P674" s="8">
        <v>42902</v>
      </c>
      <c r="Q674" s="12" t="s">
        <v>1758</v>
      </c>
    </row>
    <row r="675" spans="1:17" x14ac:dyDescent="0.2">
      <c r="A675">
        <f t="shared" si="10"/>
        <v>1702043</v>
      </c>
      <c r="B675" s="7" t="s">
        <v>2649</v>
      </c>
      <c r="C675" s="8"/>
      <c r="D675" s="8"/>
      <c r="E675" s="9" t="s">
        <v>37</v>
      </c>
      <c r="F675" s="10" t="s">
        <v>16</v>
      </c>
      <c r="G675" s="10" t="s">
        <v>202</v>
      </c>
      <c r="H675" s="10" t="s">
        <v>3451</v>
      </c>
      <c r="I675" s="10" t="s">
        <v>286</v>
      </c>
      <c r="J675" s="11">
        <v>818211653</v>
      </c>
      <c r="K675" s="11"/>
      <c r="L675" s="10" t="s">
        <v>3452</v>
      </c>
      <c r="M675" s="10" t="s">
        <v>58</v>
      </c>
      <c r="N675" s="10" t="s">
        <v>1154</v>
      </c>
      <c r="O675" s="10">
        <v>2011</v>
      </c>
      <c r="P675" s="8">
        <v>42749</v>
      </c>
      <c r="Q675" s="12" t="s">
        <v>520</v>
      </c>
    </row>
    <row r="676" spans="1:17" x14ac:dyDescent="0.2">
      <c r="A676">
        <f t="shared" si="10"/>
        <v>1702044</v>
      </c>
      <c r="B676" s="7" t="s">
        <v>2650</v>
      </c>
      <c r="C676" s="8"/>
      <c r="D676" s="8"/>
      <c r="E676" s="9" t="s">
        <v>37</v>
      </c>
      <c r="F676" s="10" t="s">
        <v>16</v>
      </c>
      <c r="G676" s="10" t="s">
        <v>202</v>
      </c>
      <c r="H676" s="10" t="s">
        <v>3453</v>
      </c>
      <c r="I676" s="10" t="s">
        <v>3454</v>
      </c>
      <c r="J676" s="11">
        <v>916989489</v>
      </c>
      <c r="K676" s="11"/>
      <c r="L676" s="10" t="s">
        <v>3455</v>
      </c>
      <c r="M676" s="10" t="s">
        <v>47</v>
      </c>
      <c r="N676" s="10" t="s">
        <v>106</v>
      </c>
      <c r="O676" s="10">
        <v>2011</v>
      </c>
      <c r="P676" s="8">
        <v>43119</v>
      </c>
      <c r="Q676" s="12" t="s">
        <v>419</v>
      </c>
    </row>
    <row r="677" spans="1:17" x14ac:dyDescent="0.2">
      <c r="A677">
        <f t="shared" si="10"/>
        <v>1702045</v>
      </c>
      <c r="B677" s="7" t="s">
        <v>2651</v>
      </c>
      <c r="C677" s="8"/>
      <c r="D677" s="8"/>
      <c r="E677" s="9" t="s">
        <v>37</v>
      </c>
      <c r="F677" s="10" t="s">
        <v>16</v>
      </c>
      <c r="G677" s="10" t="s">
        <v>231</v>
      </c>
      <c r="H677" s="10" t="s">
        <v>3456</v>
      </c>
      <c r="I677" s="10" t="s">
        <v>3457</v>
      </c>
      <c r="J677" s="11">
        <v>896789369</v>
      </c>
      <c r="K677" s="11"/>
      <c r="L677" s="10" t="s">
        <v>3458</v>
      </c>
      <c r="M677" s="10" t="s">
        <v>126</v>
      </c>
      <c r="N677" s="10" t="s">
        <v>3459</v>
      </c>
      <c r="O677" s="10"/>
      <c r="P677" s="8" t="s">
        <v>1120</v>
      </c>
      <c r="Q677" s="12"/>
    </row>
    <row r="678" spans="1:17" x14ac:dyDescent="0.2">
      <c r="A678">
        <f t="shared" si="10"/>
        <v>1702046</v>
      </c>
      <c r="B678" s="7" t="s">
        <v>2652</v>
      </c>
      <c r="C678" s="8"/>
      <c r="D678" s="8"/>
      <c r="E678" s="9" t="s">
        <v>37</v>
      </c>
      <c r="F678" s="10" t="s">
        <v>16</v>
      </c>
      <c r="G678" s="10" t="s">
        <v>207</v>
      </c>
      <c r="H678" s="10" t="s">
        <v>3460</v>
      </c>
      <c r="I678" s="10" t="s">
        <v>233</v>
      </c>
      <c r="J678" s="11">
        <v>971855881</v>
      </c>
      <c r="K678" s="11"/>
      <c r="L678" s="10" t="s">
        <v>3461</v>
      </c>
      <c r="M678" s="10" t="s">
        <v>87</v>
      </c>
      <c r="N678" s="10">
        <v>2</v>
      </c>
      <c r="O678" s="10">
        <v>2010</v>
      </c>
      <c r="P678" s="8">
        <v>42986</v>
      </c>
      <c r="Q678" s="12" t="s">
        <v>350</v>
      </c>
    </row>
    <row r="679" spans="1:17" x14ac:dyDescent="0.2">
      <c r="A679">
        <f t="shared" si="10"/>
        <v>1702047</v>
      </c>
      <c r="B679" s="7" t="s">
        <v>2653</v>
      </c>
      <c r="C679" s="8"/>
      <c r="D679" s="8"/>
      <c r="E679" s="9" t="s">
        <v>37</v>
      </c>
      <c r="F679" s="10" t="s">
        <v>16</v>
      </c>
      <c r="G679" s="10" t="s">
        <v>207</v>
      </c>
      <c r="H679" s="10" t="s">
        <v>3462</v>
      </c>
      <c r="I679" s="10" t="s">
        <v>577</v>
      </c>
      <c r="J679" s="11">
        <v>942926162</v>
      </c>
      <c r="K679" s="11"/>
      <c r="L679" s="10" t="s">
        <v>3463</v>
      </c>
      <c r="M679" s="10" t="s">
        <v>42</v>
      </c>
      <c r="N679" s="10" t="s">
        <v>778</v>
      </c>
      <c r="O679" s="10">
        <v>2013</v>
      </c>
      <c r="P679" s="8" t="s">
        <v>1120</v>
      </c>
      <c r="Q679" s="12"/>
    </row>
    <row r="680" spans="1:17" x14ac:dyDescent="0.2">
      <c r="A680">
        <f t="shared" si="10"/>
        <v>1702048</v>
      </c>
      <c r="B680" s="7" t="s">
        <v>2654</v>
      </c>
      <c r="C680" s="8"/>
      <c r="D680" s="8"/>
      <c r="E680" s="9" t="s">
        <v>37</v>
      </c>
      <c r="F680" s="10" t="s">
        <v>16</v>
      </c>
      <c r="G680" s="10" t="s">
        <v>207</v>
      </c>
      <c r="H680" s="10" t="s">
        <v>1791</v>
      </c>
      <c r="I680" s="10" t="s">
        <v>433</v>
      </c>
      <c r="J680" s="11">
        <v>900315120</v>
      </c>
      <c r="K680" s="11"/>
      <c r="L680" s="10" t="s">
        <v>1792</v>
      </c>
      <c r="M680" s="10" t="s">
        <v>58</v>
      </c>
      <c r="N680" s="10" t="s">
        <v>717</v>
      </c>
      <c r="O680" s="10">
        <v>2008</v>
      </c>
      <c r="P680" s="8">
        <v>42902</v>
      </c>
      <c r="Q680" s="12" t="s">
        <v>229</v>
      </c>
    </row>
    <row r="681" spans="1:17" x14ac:dyDescent="0.2">
      <c r="A681">
        <f t="shared" si="10"/>
        <v>1702049</v>
      </c>
      <c r="B681" s="7" t="s">
        <v>2655</v>
      </c>
      <c r="C681" s="8"/>
      <c r="D681" s="8"/>
      <c r="E681" s="9" t="s">
        <v>37</v>
      </c>
      <c r="F681" s="10" t="s">
        <v>16</v>
      </c>
      <c r="G681" s="10" t="s">
        <v>207</v>
      </c>
      <c r="H681" s="10" t="s">
        <v>3464</v>
      </c>
      <c r="I681" s="10" t="s">
        <v>243</v>
      </c>
      <c r="J681" s="11">
        <v>890605959</v>
      </c>
      <c r="K681" s="11"/>
      <c r="L681" s="10" t="s">
        <v>3465</v>
      </c>
      <c r="M681" s="10" t="s">
        <v>47</v>
      </c>
      <c r="N681" s="10" t="s">
        <v>51</v>
      </c>
      <c r="O681" s="10">
        <v>2004</v>
      </c>
      <c r="P681" s="8">
        <v>42846</v>
      </c>
      <c r="Q681" s="12" t="s">
        <v>301</v>
      </c>
    </row>
    <row r="682" spans="1:17" x14ac:dyDescent="0.2">
      <c r="A682">
        <f t="shared" si="10"/>
        <v>1702050</v>
      </c>
      <c r="B682" s="7" t="s">
        <v>2656</v>
      </c>
      <c r="C682" s="8"/>
      <c r="D682" s="8"/>
      <c r="E682" s="9" t="s">
        <v>37</v>
      </c>
      <c r="F682" s="10" t="s">
        <v>159</v>
      </c>
      <c r="G682" s="10" t="s">
        <v>40</v>
      </c>
      <c r="H682" s="10" t="s">
        <v>3466</v>
      </c>
      <c r="I682" s="10" t="s">
        <v>286</v>
      </c>
      <c r="J682" s="11">
        <v>823229784</v>
      </c>
      <c r="K682" s="11"/>
      <c r="L682" s="10" t="s">
        <v>3467</v>
      </c>
      <c r="M682" s="10" t="s">
        <v>58</v>
      </c>
      <c r="N682" s="10" t="s">
        <v>414</v>
      </c>
      <c r="O682" s="10"/>
      <c r="P682" s="8"/>
      <c r="Q682" s="12"/>
    </row>
    <row r="683" spans="1:17" x14ac:dyDescent="0.2">
      <c r="A683">
        <f t="shared" si="10"/>
        <v>1702051</v>
      </c>
      <c r="B683" s="7" t="s">
        <v>2657</v>
      </c>
      <c r="C683" s="8"/>
      <c r="D683" s="8"/>
      <c r="E683" s="9" t="s">
        <v>37</v>
      </c>
      <c r="F683" s="10" t="s">
        <v>16</v>
      </c>
      <c r="G683" s="10" t="s">
        <v>225</v>
      </c>
      <c r="H683" s="10" t="s">
        <v>3468</v>
      </c>
      <c r="I683" s="10" t="s">
        <v>286</v>
      </c>
      <c r="J683" s="11">
        <v>945611943</v>
      </c>
      <c r="K683" s="11"/>
      <c r="L683" s="10" t="s">
        <v>3469</v>
      </c>
      <c r="M683" s="10" t="s">
        <v>126</v>
      </c>
      <c r="N683" s="10" t="s">
        <v>127</v>
      </c>
      <c r="O683" s="10">
        <v>2007</v>
      </c>
      <c r="P683" s="8">
        <v>43030</v>
      </c>
      <c r="Q683" s="12" t="s">
        <v>301</v>
      </c>
    </row>
    <row r="684" spans="1:17" x14ac:dyDescent="0.2">
      <c r="A684">
        <f t="shared" si="10"/>
        <v>1702052</v>
      </c>
      <c r="B684" s="7" t="s">
        <v>2658</v>
      </c>
      <c r="C684" s="8"/>
      <c r="D684" s="8"/>
      <c r="E684" s="9" t="s">
        <v>37</v>
      </c>
      <c r="F684" s="10" t="s">
        <v>16</v>
      </c>
      <c r="G684" s="10" t="s">
        <v>207</v>
      </c>
      <c r="H684" s="10" t="s">
        <v>1984</v>
      </c>
      <c r="I684" s="10" t="s">
        <v>305</v>
      </c>
      <c r="J684" s="11">
        <v>814092549</v>
      </c>
      <c r="K684" s="11"/>
      <c r="L684" s="10" t="s">
        <v>1793</v>
      </c>
      <c r="M684" s="10" t="s">
        <v>58</v>
      </c>
      <c r="N684" s="10" t="s">
        <v>717</v>
      </c>
      <c r="O684" s="10">
        <v>2012</v>
      </c>
      <c r="P684" s="8">
        <v>42941</v>
      </c>
      <c r="Q684" s="12" t="s">
        <v>260</v>
      </c>
    </row>
    <row r="685" spans="1:17" x14ac:dyDescent="0.2">
      <c r="A685">
        <f t="shared" si="10"/>
        <v>1702053</v>
      </c>
      <c r="B685" s="7" t="s">
        <v>2659</v>
      </c>
      <c r="C685" s="8"/>
      <c r="D685" s="8"/>
      <c r="E685" s="9" t="s">
        <v>37</v>
      </c>
      <c r="F685" s="10" t="s">
        <v>1465</v>
      </c>
      <c r="G685" s="10" t="s">
        <v>40</v>
      </c>
      <c r="H685" s="10" t="s">
        <v>839</v>
      </c>
      <c r="I685" s="10" t="s">
        <v>263</v>
      </c>
      <c r="J685" s="11">
        <v>884959663</v>
      </c>
      <c r="K685" s="11"/>
      <c r="L685" s="10" t="s">
        <v>840</v>
      </c>
      <c r="M685" s="10" t="s">
        <v>47</v>
      </c>
      <c r="N685" s="10" t="s">
        <v>48</v>
      </c>
      <c r="O685" s="10"/>
      <c r="P685" s="8"/>
      <c r="Q685" s="12"/>
    </row>
    <row r="686" spans="1:17" x14ac:dyDescent="0.2">
      <c r="A686">
        <f t="shared" si="10"/>
        <v>1702054</v>
      </c>
      <c r="B686" s="7" t="s">
        <v>2660</v>
      </c>
      <c r="C686" s="8"/>
      <c r="D686" s="8"/>
      <c r="E686" s="9" t="s">
        <v>37</v>
      </c>
      <c r="F686" s="10" t="s">
        <v>16</v>
      </c>
      <c r="G686" s="10" t="s">
        <v>196</v>
      </c>
      <c r="H686" s="10" t="s">
        <v>3470</v>
      </c>
      <c r="I686" s="10" t="s">
        <v>222</v>
      </c>
      <c r="J686" s="11">
        <v>906075575</v>
      </c>
      <c r="K686" s="11"/>
      <c r="L686" s="10" t="s">
        <v>3471</v>
      </c>
      <c r="M686" s="10" t="s">
        <v>47</v>
      </c>
      <c r="N686" s="10" t="s">
        <v>51</v>
      </c>
      <c r="O686" s="10">
        <v>2011</v>
      </c>
      <c r="P686" s="8">
        <v>42852</v>
      </c>
      <c r="Q686" s="12" t="s">
        <v>260</v>
      </c>
    </row>
    <row r="687" spans="1:17" x14ac:dyDescent="0.2">
      <c r="A687">
        <f t="shared" si="10"/>
        <v>1702055</v>
      </c>
      <c r="B687" s="7" t="s">
        <v>2661</v>
      </c>
      <c r="C687" s="8"/>
      <c r="D687" s="8"/>
      <c r="E687" s="9" t="s">
        <v>37</v>
      </c>
      <c r="F687" s="10" t="s">
        <v>16</v>
      </c>
      <c r="G687" s="10" t="s">
        <v>196</v>
      </c>
      <c r="H687" s="10" t="s">
        <v>3472</v>
      </c>
      <c r="I687" s="10"/>
      <c r="J687" s="11">
        <v>909850620</v>
      </c>
      <c r="K687" s="11"/>
      <c r="L687" s="10" t="s">
        <v>3473</v>
      </c>
      <c r="M687" s="10" t="s">
        <v>109</v>
      </c>
      <c r="N687" s="10" t="s">
        <v>240</v>
      </c>
      <c r="O687" s="10">
        <v>2005</v>
      </c>
      <c r="P687" s="8">
        <v>43105</v>
      </c>
      <c r="Q687" s="12" t="s">
        <v>301</v>
      </c>
    </row>
    <row r="688" spans="1:17" x14ac:dyDescent="0.2">
      <c r="A688">
        <f t="shared" si="10"/>
        <v>1702056</v>
      </c>
      <c r="B688" s="7" t="s">
        <v>2662</v>
      </c>
      <c r="C688" s="8"/>
      <c r="D688" s="8"/>
      <c r="E688" s="9" t="s">
        <v>37</v>
      </c>
      <c r="F688" s="10" t="s">
        <v>16</v>
      </c>
      <c r="G688" s="10" t="s">
        <v>207</v>
      </c>
      <c r="H688" s="10" t="s">
        <v>3474</v>
      </c>
      <c r="I688" s="10" t="s">
        <v>254</v>
      </c>
      <c r="J688" s="11">
        <v>617173807</v>
      </c>
      <c r="K688" s="11"/>
      <c r="L688" s="10" t="s">
        <v>3475</v>
      </c>
      <c r="M688" s="10" t="s">
        <v>109</v>
      </c>
      <c r="N688" s="10" t="s">
        <v>240</v>
      </c>
      <c r="O688" s="10">
        <v>2016</v>
      </c>
      <c r="P688" s="8" t="s">
        <v>1120</v>
      </c>
      <c r="Q688" s="12"/>
    </row>
    <row r="689" spans="1:17" x14ac:dyDescent="0.2">
      <c r="A689">
        <f t="shared" si="10"/>
        <v>1702057</v>
      </c>
      <c r="B689" s="7" t="s">
        <v>2663</v>
      </c>
      <c r="C689" s="8"/>
      <c r="D689" s="8"/>
      <c r="E689" s="9" t="s">
        <v>37</v>
      </c>
      <c r="F689" s="10" t="s">
        <v>16</v>
      </c>
      <c r="G689" s="10" t="s">
        <v>303</v>
      </c>
      <c r="H689" s="10" t="s">
        <v>3476</v>
      </c>
      <c r="I689" s="10" t="s">
        <v>263</v>
      </c>
      <c r="J689" s="11">
        <v>804077619</v>
      </c>
      <c r="K689" s="11"/>
      <c r="L689" s="10" t="s">
        <v>1805</v>
      </c>
      <c r="M689" s="10" t="s">
        <v>54</v>
      </c>
      <c r="N689" s="10" t="s">
        <v>72</v>
      </c>
      <c r="O689" s="10">
        <v>2010</v>
      </c>
      <c r="P689" s="8" t="s">
        <v>1120</v>
      </c>
      <c r="Q689" s="12"/>
    </row>
    <row r="690" spans="1:17" x14ac:dyDescent="0.2">
      <c r="A690">
        <f t="shared" si="10"/>
        <v>1702058</v>
      </c>
      <c r="B690" s="7" t="s">
        <v>2664</v>
      </c>
      <c r="C690" s="8"/>
      <c r="D690" s="8"/>
      <c r="E690" s="9" t="s">
        <v>37</v>
      </c>
      <c r="F690" s="10" t="s">
        <v>16</v>
      </c>
      <c r="G690" s="10" t="s">
        <v>202</v>
      </c>
      <c r="H690" s="10" t="s">
        <v>1806</v>
      </c>
      <c r="I690" s="10" t="s">
        <v>305</v>
      </c>
      <c r="J690" s="11">
        <v>616388481</v>
      </c>
      <c r="K690" s="11">
        <v>614411688</v>
      </c>
      <c r="L690" s="10" t="s">
        <v>1807</v>
      </c>
      <c r="M690" s="10" t="s">
        <v>58</v>
      </c>
      <c r="N690" s="10" t="s">
        <v>414</v>
      </c>
      <c r="O690" s="10">
        <v>2012</v>
      </c>
      <c r="P690" s="8">
        <v>42770</v>
      </c>
      <c r="Q690" s="12" t="s">
        <v>564</v>
      </c>
    </row>
    <row r="691" spans="1:17" x14ac:dyDescent="0.2">
      <c r="A691">
        <f t="shared" si="10"/>
        <v>1702059</v>
      </c>
      <c r="B691" s="7" t="s">
        <v>2665</v>
      </c>
      <c r="C691" s="8"/>
      <c r="D691" s="8"/>
      <c r="E691" s="9" t="s">
        <v>37</v>
      </c>
      <c r="F691" s="10" t="s">
        <v>16</v>
      </c>
      <c r="G691" s="10" t="s">
        <v>225</v>
      </c>
      <c r="H691" s="10" t="s">
        <v>3477</v>
      </c>
      <c r="I691" s="10" t="s">
        <v>286</v>
      </c>
      <c r="J691" s="11">
        <v>815789796</v>
      </c>
      <c r="K691" s="11"/>
      <c r="L691" s="10" t="s">
        <v>3478</v>
      </c>
      <c r="M691" s="10" t="s">
        <v>47</v>
      </c>
      <c r="N691" s="10" t="s">
        <v>106</v>
      </c>
      <c r="O691" s="10">
        <v>2011</v>
      </c>
      <c r="P691" s="8">
        <v>42694</v>
      </c>
      <c r="Q691" s="12" t="s">
        <v>774</v>
      </c>
    </row>
    <row r="692" spans="1:17" x14ac:dyDescent="0.2">
      <c r="A692">
        <f t="shared" si="10"/>
        <v>1702060</v>
      </c>
      <c r="B692" s="7" t="s">
        <v>2666</v>
      </c>
      <c r="C692" s="8"/>
      <c r="D692" s="8"/>
      <c r="E692" s="9" t="s">
        <v>37</v>
      </c>
      <c r="F692" s="10" t="s">
        <v>16</v>
      </c>
      <c r="G692" s="10" t="s">
        <v>231</v>
      </c>
      <c r="H692" s="10" t="s">
        <v>3479</v>
      </c>
      <c r="I692" s="10" t="s">
        <v>243</v>
      </c>
      <c r="J692" s="11">
        <v>909898415</v>
      </c>
      <c r="K692" s="11">
        <v>818509863</v>
      </c>
      <c r="L692" s="10" t="s">
        <v>3480</v>
      </c>
      <c r="M692" s="10" t="s">
        <v>42</v>
      </c>
      <c r="N692" s="10" t="s">
        <v>84</v>
      </c>
      <c r="O692" s="10">
        <v>2011</v>
      </c>
      <c r="P692" s="8">
        <v>42976</v>
      </c>
      <c r="Q692" s="12" t="s">
        <v>260</v>
      </c>
    </row>
    <row r="693" spans="1:17" x14ac:dyDescent="0.2">
      <c r="A693">
        <f t="shared" si="10"/>
        <v>1702061</v>
      </c>
      <c r="B693" s="7" t="s">
        <v>2667</v>
      </c>
      <c r="C693" s="8"/>
      <c r="D693" s="8"/>
      <c r="E693" s="9" t="s">
        <v>37</v>
      </c>
      <c r="F693" s="10" t="s">
        <v>16</v>
      </c>
      <c r="G693" s="10" t="s">
        <v>207</v>
      </c>
      <c r="H693" s="10" t="s">
        <v>3481</v>
      </c>
      <c r="I693" s="10" t="s">
        <v>625</v>
      </c>
      <c r="J693" s="11">
        <v>853061926</v>
      </c>
      <c r="K693" s="11">
        <v>896162465</v>
      </c>
      <c r="L693" s="10" t="s">
        <v>3482</v>
      </c>
      <c r="M693" s="10" t="s">
        <v>3483</v>
      </c>
      <c r="N693" s="10" t="s">
        <v>106</v>
      </c>
      <c r="O693" s="10">
        <v>2015</v>
      </c>
      <c r="P693" s="8" t="s">
        <v>1120</v>
      </c>
      <c r="Q693" s="12"/>
    </row>
    <row r="694" spans="1:17" x14ac:dyDescent="0.2">
      <c r="A694">
        <f t="shared" si="10"/>
        <v>1702062</v>
      </c>
      <c r="B694" s="7" t="s">
        <v>2668</v>
      </c>
      <c r="C694" s="8"/>
      <c r="D694" s="8"/>
      <c r="E694" s="9" t="s">
        <v>37</v>
      </c>
      <c r="F694" s="10" t="s">
        <v>16</v>
      </c>
      <c r="G694" s="10" t="s">
        <v>231</v>
      </c>
      <c r="H694" s="10" t="s">
        <v>1808</v>
      </c>
      <c r="I694" s="10" t="s">
        <v>506</v>
      </c>
      <c r="J694" s="11">
        <v>929492079</v>
      </c>
      <c r="K694" s="11"/>
      <c r="L694" s="10" t="s">
        <v>1809</v>
      </c>
      <c r="M694" s="10" t="s">
        <v>42</v>
      </c>
      <c r="N694" s="10" t="s">
        <v>75</v>
      </c>
      <c r="O694" s="10">
        <v>2013</v>
      </c>
      <c r="P694" s="8">
        <v>42792</v>
      </c>
      <c r="Q694" s="12" t="s">
        <v>260</v>
      </c>
    </row>
    <row r="695" spans="1:17" x14ac:dyDescent="0.2">
      <c r="A695">
        <f t="shared" si="10"/>
        <v>1702063</v>
      </c>
      <c r="B695" s="7" t="s">
        <v>2669</v>
      </c>
      <c r="C695" s="8"/>
      <c r="D695" s="8"/>
      <c r="E695" s="9" t="s">
        <v>37</v>
      </c>
      <c r="F695" s="10" t="s">
        <v>16</v>
      </c>
      <c r="G695" s="10" t="s">
        <v>337</v>
      </c>
      <c r="H695" s="10" t="s">
        <v>3484</v>
      </c>
      <c r="I695" s="10" t="s">
        <v>233</v>
      </c>
      <c r="J695" s="11">
        <v>897726304</v>
      </c>
      <c r="K695" s="11"/>
      <c r="L695" s="10" t="s">
        <v>3485</v>
      </c>
      <c r="M695" s="10" t="s">
        <v>47</v>
      </c>
      <c r="N695" s="10" t="s">
        <v>51</v>
      </c>
      <c r="O695" s="10">
        <v>2011</v>
      </c>
      <c r="P695" s="8">
        <v>42869</v>
      </c>
      <c r="Q695" s="12" t="s">
        <v>256</v>
      </c>
    </row>
    <row r="696" spans="1:17" x14ac:dyDescent="0.2">
      <c r="A696">
        <f t="shared" si="10"/>
        <v>1702064</v>
      </c>
      <c r="B696" s="7" t="s">
        <v>2670</v>
      </c>
      <c r="C696" s="8"/>
      <c r="D696" s="8"/>
      <c r="E696" s="9" t="s">
        <v>37</v>
      </c>
      <c r="F696" s="10" t="s">
        <v>16</v>
      </c>
      <c r="G696" s="10" t="s">
        <v>207</v>
      </c>
      <c r="H696" s="10" t="s">
        <v>3486</v>
      </c>
      <c r="I696" s="10" t="s">
        <v>577</v>
      </c>
      <c r="J696" s="11">
        <v>853344163</v>
      </c>
      <c r="K696" s="11"/>
      <c r="L696" s="10" t="s">
        <v>3487</v>
      </c>
      <c r="M696" s="10" t="s">
        <v>47</v>
      </c>
      <c r="N696" s="10" t="s">
        <v>3488</v>
      </c>
      <c r="O696" s="10">
        <v>2008</v>
      </c>
      <c r="P696" s="8" t="s">
        <v>1120</v>
      </c>
      <c r="Q696" s="12"/>
    </row>
    <row r="697" spans="1:17" x14ac:dyDescent="0.2">
      <c r="A697">
        <f t="shared" si="10"/>
        <v>1702065</v>
      </c>
      <c r="B697" s="7" t="s">
        <v>2671</v>
      </c>
      <c r="C697" s="8"/>
      <c r="D697" s="8"/>
      <c r="E697" s="9" t="s">
        <v>37</v>
      </c>
      <c r="F697" s="10" t="s">
        <v>16</v>
      </c>
      <c r="G697" s="10" t="s">
        <v>225</v>
      </c>
      <c r="H697" s="10" t="s">
        <v>3489</v>
      </c>
      <c r="I697" s="10" t="s">
        <v>215</v>
      </c>
      <c r="J697" s="11">
        <v>632598792</v>
      </c>
      <c r="K697" s="11"/>
      <c r="L697" s="10" t="s">
        <v>3490</v>
      </c>
      <c r="M697" s="10" t="s">
        <v>47</v>
      </c>
      <c r="N697" s="10" t="s">
        <v>51</v>
      </c>
      <c r="O697" s="10">
        <v>2011</v>
      </c>
      <c r="P697" s="8">
        <v>42830</v>
      </c>
      <c r="Q697" s="12" t="s">
        <v>477</v>
      </c>
    </row>
    <row r="698" spans="1:17" x14ac:dyDescent="0.2">
      <c r="A698">
        <f t="shared" si="10"/>
        <v>1702066</v>
      </c>
      <c r="B698" s="7" t="s">
        <v>2672</v>
      </c>
      <c r="C698" s="8"/>
      <c r="D698" s="8"/>
      <c r="E698" s="9" t="s">
        <v>37</v>
      </c>
      <c r="F698" s="10" t="s">
        <v>16</v>
      </c>
      <c r="G698" s="10" t="s">
        <v>207</v>
      </c>
      <c r="H698" s="10" t="s">
        <v>3491</v>
      </c>
      <c r="I698" s="10" t="s">
        <v>1192</v>
      </c>
      <c r="J698" s="11">
        <v>841545995</v>
      </c>
      <c r="K698" s="11">
        <v>815554842</v>
      </c>
      <c r="L698" s="10" t="s">
        <v>3492</v>
      </c>
      <c r="M698" s="10" t="s">
        <v>47</v>
      </c>
      <c r="N698" s="10" t="s">
        <v>106</v>
      </c>
      <c r="O698" s="10">
        <v>2007</v>
      </c>
      <c r="P698" s="8">
        <v>42600</v>
      </c>
      <c r="Q698" s="12" t="s">
        <v>288</v>
      </c>
    </row>
    <row r="699" spans="1:17" x14ac:dyDescent="0.2">
      <c r="A699">
        <f t="shared" si="10"/>
        <v>1702067</v>
      </c>
      <c r="B699" s="7" t="s">
        <v>2673</v>
      </c>
      <c r="C699" s="8"/>
      <c r="D699" s="8"/>
      <c r="E699" s="9" t="s">
        <v>37</v>
      </c>
      <c r="F699" s="10" t="s">
        <v>16</v>
      </c>
      <c r="G699" s="10" t="s">
        <v>207</v>
      </c>
      <c r="H699" s="10" t="s">
        <v>1985</v>
      </c>
      <c r="I699" s="10" t="s">
        <v>263</v>
      </c>
      <c r="J699" s="11">
        <v>898197795</v>
      </c>
      <c r="K699" s="11"/>
      <c r="L699" s="10" t="s">
        <v>1986</v>
      </c>
      <c r="M699" s="10" t="s">
        <v>126</v>
      </c>
      <c r="N699" s="10" t="s">
        <v>297</v>
      </c>
      <c r="O699" s="10">
        <v>2014</v>
      </c>
      <c r="P699" s="8">
        <v>43034</v>
      </c>
      <c r="Q699" s="12" t="s">
        <v>256</v>
      </c>
    </row>
    <row r="700" spans="1:17" x14ac:dyDescent="0.2">
      <c r="A700">
        <f t="shared" si="10"/>
        <v>1702068</v>
      </c>
      <c r="B700" s="7" t="s">
        <v>2674</v>
      </c>
      <c r="C700" s="8"/>
      <c r="D700" s="8"/>
      <c r="E700" s="9" t="s">
        <v>37</v>
      </c>
      <c r="F700" s="10" t="s">
        <v>16</v>
      </c>
      <c r="G700" s="10" t="s">
        <v>207</v>
      </c>
      <c r="H700" s="10" t="s">
        <v>3493</v>
      </c>
      <c r="I700" s="10" t="s">
        <v>243</v>
      </c>
      <c r="J700" s="11">
        <v>817162655</v>
      </c>
      <c r="K700" s="11"/>
      <c r="L700" s="10" t="s">
        <v>3494</v>
      </c>
      <c r="M700" s="10" t="s">
        <v>42</v>
      </c>
      <c r="N700" s="10" t="s">
        <v>75</v>
      </c>
      <c r="O700" s="10">
        <v>2010</v>
      </c>
      <c r="P700" s="8">
        <v>42598</v>
      </c>
      <c r="Q700" s="12" t="s">
        <v>256</v>
      </c>
    </row>
    <row r="701" spans="1:17" x14ac:dyDescent="0.2">
      <c r="A701">
        <f t="shared" si="10"/>
        <v>1702069</v>
      </c>
      <c r="B701" s="7" t="s">
        <v>2675</v>
      </c>
      <c r="C701" s="8"/>
      <c r="D701" s="8"/>
      <c r="E701" s="9" t="s">
        <v>37</v>
      </c>
      <c r="F701" s="10" t="s">
        <v>16</v>
      </c>
      <c r="G701" s="10" t="s">
        <v>207</v>
      </c>
      <c r="H701" s="10" t="s">
        <v>3495</v>
      </c>
      <c r="I701" s="10" t="s">
        <v>286</v>
      </c>
      <c r="J701" s="11">
        <v>851885402</v>
      </c>
      <c r="K701" s="11"/>
      <c r="L701" s="10" t="s">
        <v>3496</v>
      </c>
      <c r="M701" s="10" t="s">
        <v>58</v>
      </c>
      <c r="N701" s="10" t="s">
        <v>3270</v>
      </c>
      <c r="O701" s="10">
        <v>2012</v>
      </c>
      <c r="P701" s="8">
        <v>42925</v>
      </c>
      <c r="Q701" s="12" t="s">
        <v>564</v>
      </c>
    </row>
    <row r="702" spans="1:17" x14ac:dyDescent="0.2">
      <c r="A702">
        <f t="shared" si="10"/>
        <v>1702070</v>
      </c>
      <c r="B702" s="7" t="s">
        <v>2676</v>
      </c>
      <c r="C702" s="8"/>
      <c r="D702" s="8"/>
      <c r="E702" s="9" t="s">
        <v>37</v>
      </c>
      <c r="F702" s="10" t="s">
        <v>16</v>
      </c>
      <c r="G702" s="10" t="s">
        <v>202</v>
      </c>
      <c r="H702" s="10" t="s">
        <v>3497</v>
      </c>
      <c r="I702" s="10" t="s">
        <v>480</v>
      </c>
      <c r="J702" s="11">
        <v>865300514</v>
      </c>
      <c r="K702" s="11"/>
      <c r="L702" s="10" t="s">
        <v>3498</v>
      </c>
      <c r="M702" s="10" t="s">
        <v>47</v>
      </c>
      <c r="N702" s="10" t="s">
        <v>51</v>
      </c>
      <c r="O702" s="10">
        <v>2008</v>
      </c>
      <c r="P702" s="8">
        <v>42751</v>
      </c>
      <c r="Q702" s="12" t="s">
        <v>335</v>
      </c>
    </row>
    <row r="703" spans="1:17" x14ac:dyDescent="0.2">
      <c r="A703">
        <f t="shared" si="10"/>
        <v>1702071</v>
      </c>
      <c r="B703" s="7" t="s">
        <v>2677</v>
      </c>
      <c r="C703" s="8"/>
      <c r="D703" s="8"/>
      <c r="E703" s="9" t="s">
        <v>37</v>
      </c>
      <c r="F703" s="10" t="s">
        <v>16</v>
      </c>
      <c r="G703" s="10" t="s">
        <v>207</v>
      </c>
      <c r="H703" s="10" t="s">
        <v>1858</v>
      </c>
      <c r="I703" s="10" t="s">
        <v>492</v>
      </c>
      <c r="J703" s="11">
        <v>639606526</v>
      </c>
      <c r="K703" s="11"/>
      <c r="L703" s="10" t="s">
        <v>1859</v>
      </c>
      <c r="M703" s="10" t="s">
        <v>54</v>
      </c>
      <c r="N703" s="10" t="s">
        <v>72</v>
      </c>
      <c r="O703" s="10">
        <v>2012</v>
      </c>
      <c r="P703" s="8">
        <v>42854</v>
      </c>
      <c r="Q703" s="12" t="s">
        <v>499</v>
      </c>
    </row>
    <row r="704" spans="1:17" x14ac:dyDescent="0.2">
      <c r="A704">
        <f t="shared" si="10"/>
        <v>1702072</v>
      </c>
      <c r="B704" s="7" t="s">
        <v>2678</v>
      </c>
      <c r="C704" s="8"/>
      <c r="D704" s="8"/>
      <c r="E704" s="9" t="s">
        <v>37</v>
      </c>
      <c r="F704" s="10" t="s">
        <v>16</v>
      </c>
      <c r="G704" s="10" t="s">
        <v>207</v>
      </c>
      <c r="H704" s="10" t="s">
        <v>3447</v>
      </c>
      <c r="I704" s="10" t="s">
        <v>243</v>
      </c>
      <c r="J704" s="11">
        <v>944252940</v>
      </c>
      <c r="K704" s="11"/>
      <c r="L704" s="10" t="s">
        <v>3448</v>
      </c>
      <c r="M704" s="10" t="s">
        <v>58</v>
      </c>
      <c r="N704" s="10" t="s">
        <v>3270</v>
      </c>
      <c r="O704" s="10">
        <v>2013</v>
      </c>
      <c r="P704" s="8">
        <v>42884</v>
      </c>
      <c r="Q704" s="12" t="s">
        <v>656</v>
      </c>
    </row>
    <row r="705" spans="1:17" x14ac:dyDescent="0.2">
      <c r="A705">
        <f t="shared" si="10"/>
        <v>1702073</v>
      </c>
      <c r="B705" s="7" t="s">
        <v>2679</v>
      </c>
      <c r="C705" s="8"/>
      <c r="D705" s="8"/>
      <c r="E705" s="9" t="s">
        <v>37</v>
      </c>
      <c r="F705" s="10" t="s">
        <v>16</v>
      </c>
      <c r="G705" s="10" t="s">
        <v>202</v>
      </c>
      <c r="H705" s="10" t="s">
        <v>1987</v>
      </c>
      <c r="I705" s="10" t="s">
        <v>286</v>
      </c>
      <c r="J705" s="11">
        <v>898229896</v>
      </c>
      <c r="K705" s="11"/>
      <c r="L705" s="10" t="s">
        <v>1860</v>
      </c>
      <c r="M705" s="10" t="s">
        <v>47</v>
      </c>
      <c r="N705" s="10" t="s">
        <v>99</v>
      </c>
      <c r="O705" s="10">
        <v>2004</v>
      </c>
      <c r="P705" s="8">
        <v>42800</v>
      </c>
      <c r="Q705" s="12" t="s">
        <v>301</v>
      </c>
    </row>
    <row r="706" spans="1:17" x14ac:dyDescent="0.2">
      <c r="A706">
        <f t="shared" si="10"/>
        <v>1702074</v>
      </c>
      <c r="B706" s="7" t="s">
        <v>2680</v>
      </c>
      <c r="C706" s="8"/>
      <c r="D706" s="8"/>
      <c r="E706" s="9" t="s">
        <v>37</v>
      </c>
      <c r="F706" s="10" t="s">
        <v>16</v>
      </c>
      <c r="G706" s="10" t="s">
        <v>207</v>
      </c>
      <c r="H706" s="10" t="s">
        <v>3499</v>
      </c>
      <c r="I706" s="10" t="s">
        <v>243</v>
      </c>
      <c r="J706" s="11">
        <v>868199479</v>
      </c>
      <c r="K706" s="11"/>
      <c r="L706" s="10" t="s">
        <v>3500</v>
      </c>
      <c r="M706" s="10" t="s">
        <v>47</v>
      </c>
      <c r="N706" s="10" t="s">
        <v>106</v>
      </c>
      <c r="O706" s="10">
        <v>2014</v>
      </c>
      <c r="P706" s="8">
        <v>43066</v>
      </c>
      <c r="Q706" s="12" t="s">
        <v>564</v>
      </c>
    </row>
    <row r="707" spans="1:17" x14ac:dyDescent="0.2">
      <c r="A707">
        <f t="shared" si="10"/>
        <v>1702075</v>
      </c>
      <c r="B707" s="7" t="s">
        <v>2681</v>
      </c>
      <c r="C707" s="8"/>
      <c r="D707" s="8"/>
      <c r="E707" s="9" t="s">
        <v>37</v>
      </c>
      <c r="F707" s="10" t="s">
        <v>16</v>
      </c>
      <c r="G707" s="10" t="s">
        <v>202</v>
      </c>
      <c r="H707" s="10" t="s">
        <v>3501</v>
      </c>
      <c r="I707" s="10" t="s">
        <v>263</v>
      </c>
      <c r="J707" s="11">
        <v>843339536</v>
      </c>
      <c r="K707" s="11"/>
      <c r="L707" s="10" t="s">
        <v>3502</v>
      </c>
      <c r="M707" s="10" t="s">
        <v>42</v>
      </c>
      <c r="N707" s="10" t="s">
        <v>84</v>
      </c>
      <c r="O707" s="10">
        <v>2013</v>
      </c>
      <c r="P707" s="8">
        <v>42874</v>
      </c>
      <c r="Q707" s="12" t="s">
        <v>499</v>
      </c>
    </row>
    <row r="708" spans="1:17" x14ac:dyDescent="0.2">
      <c r="A708">
        <f t="shared" ref="A708:A771" si="11">VALUE(B708)</f>
        <v>1702076</v>
      </c>
      <c r="B708" s="7" t="s">
        <v>2682</v>
      </c>
      <c r="C708" s="8"/>
      <c r="D708" s="8"/>
      <c r="E708" s="9" t="s">
        <v>37</v>
      </c>
      <c r="F708" s="10" t="s">
        <v>16</v>
      </c>
      <c r="G708" s="10" t="s">
        <v>207</v>
      </c>
      <c r="H708" s="10" t="s">
        <v>3503</v>
      </c>
      <c r="I708" s="10" t="s">
        <v>243</v>
      </c>
      <c r="J708" s="11">
        <v>814511466</v>
      </c>
      <c r="K708" s="11"/>
      <c r="L708" s="10" t="s">
        <v>3504</v>
      </c>
      <c r="M708" s="10" t="s">
        <v>47</v>
      </c>
      <c r="N708" s="10" t="s">
        <v>51</v>
      </c>
      <c r="O708" s="10">
        <v>2005</v>
      </c>
      <c r="P708" s="8">
        <v>42803</v>
      </c>
      <c r="Q708" s="12" t="s">
        <v>217</v>
      </c>
    </row>
    <row r="709" spans="1:17" x14ac:dyDescent="0.2">
      <c r="A709">
        <f t="shared" si="11"/>
        <v>1702077</v>
      </c>
      <c r="B709" s="7" t="s">
        <v>2683</v>
      </c>
      <c r="C709" s="8"/>
      <c r="D709" s="8"/>
      <c r="E709" s="9" t="s">
        <v>37</v>
      </c>
      <c r="F709" s="10" t="s">
        <v>16</v>
      </c>
      <c r="G709" s="10" t="s">
        <v>225</v>
      </c>
      <c r="H709" s="10" t="s">
        <v>3505</v>
      </c>
      <c r="I709" s="10" t="s">
        <v>215</v>
      </c>
      <c r="J709" s="11">
        <v>818089320</v>
      </c>
      <c r="K709" s="11">
        <v>897700360</v>
      </c>
      <c r="L709" s="10" t="s">
        <v>3506</v>
      </c>
      <c r="M709" s="10" t="s">
        <v>47</v>
      </c>
      <c r="N709" s="10" t="s">
        <v>48</v>
      </c>
      <c r="O709" s="10">
        <v>2003</v>
      </c>
      <c r="P709" s="8">
        <v>42908</v>
      </c>
      <c r="Q709" s="12" t="s">
        <v>660</v>
      </c>
    </row>
    <row r="710" spans="1:17" x14ac:dyDescent="0.2">
      <c r="A710">
        <f t="shared" si="11"/>
        <v>1702078</v>
      </c>
      <c r="B710" s="7" t="s">
        <v>2684</v>
      </c>
      <c r="C710" s="8"/>
      <c r="D710" s="8"/>
      <c r="E710" s="9" t="s">
        <v>37</v>
      </c>
      <c r="F710" s="10" t="s">
        <v>16</v>
      </c>
      <c r="G710" s="10" t="s">
        <v>202</v>
      </c>
      <c r="H710" s="10" t="s">
        <v>3507</v>
      </c>
      <c r="I710" s="10" t="s">
        <v>1137</v>
      </c>
      <c r="J710" s="11">
        <v>882891974</v>
      </c>
      <c r="K710" s="11"/>
      <c r="L710" s="10" t="s">
        <v>3508</v>
      </c>
      <c r="M710" s="10" t="s">
        <v>93</v>
      </c>
      <c r="N710" s="10" t="s">
        <v>155</v>
      </c>
      <c r="O710" s="10">
        <v>2005</v>
      </c>
      <c r="P710" s="8" t="s">
        <v>1120</v>
      </c>
      <c r="Q710" s="12"/>
    </row>
    <row r="711" spans="1:17" x14ac:dyDescent="0.2">
      <c r="A711">
        <f t="shared" si="11"/>
        <v>1702079</v>
      </c>
      <c r="B711" s="7" t="s">
        <v>2685</v>
      </c>
      <c r="C711" s="8"/>
      <c r="D711" s="8"/>
      <c r="E711" s="9" t="s">
        <v>37</v>
      </c>
      <c r="F711" s="10" t="s">
        <v>16</v>
      </c>
      <c r="G711" s="10" t="s">
        <v>207</v>
      </c>
      <c r="H711" s="10" t="s">
        <v>3509</v>
      </c>
      <c r="I711" s="10" t="s">
        <v>286</v>
      </c>
      <c r="J711" s="11">
        <v>814822132</v>
      </c>
      <c r="K711" s="11">
        <v>851569010</v>
      </c>
      <c r="L711" s="10" t="s">
        <v>3510</v>
      </c>
      <c r="M711" s="10" t="s">
        <v>58</v>
      </c>
      <c r="N711" s="10" t="s">
        <v>717</v>
      </c>
      <c r="O711" s="10">
        <v>2012</v>
      </c>
      <c r="P711" s="8">
        <v>42803</v>
      </c>
      <c r="Q711" s="12" t="s">
        <v>415</v>
      </c>
    </row>
    <row r="712" spans="1:17" x14ac:dyDescent="0.2">
      <c r="A712">
        <f t="shared" si="11"/>
        <v>1702080</v>
      </c>
      <c r="B712" s="7" t="s">
        <v>2686</v>
      </c>
      <c r="C712" s="8"/>
      <c r="D712" s="8"/>
      <c r="E712" s="9" t="s">
        <v>37</v>
      </c>
      <c r="F712" s="10" t="s">
        <v>16</v>
      </c>
      <c r="G712" s="10" t="s">
        <v>220</v>
      </c>
      <c r="H712" s="10" t="s">
        <v>3511</v>
      </c>
      <c r="I712" s="10" t="s">
        <v>263</v>
      </c>
      <c r="J712" s="11">
        <v>859191979</v>
      </c>
      <c r="K712" s="11"/>
      <c r="L712" s="10" t="s">
        <v>3512</v>
      </c>
      <c r="M712" s="10" t="s">
        <v>126</v>
      </c>
      <c r="N712" s="10" t="s">
        <v>172</v>
      </c>
      <c r="O712" s="10">
        <v>2008</v>
      </c>
      <c r="P712" s="8">
        <v>42721</v>
      </c>
      <c r="Q712" s="12" t="s">
        <v>1861</v>
      </c>
    </row>
    <row r="713" spans="1:17" x14ac:dyDescent="0.2">
      <c r="A713">
        <f t="shared" si="11"/>
        <v>1702081</v>
      </c>
      <c r="B713" s="7" t="s">
        <v>2687</v>
      </c>
      <c r="C713" s="8"/>
      <c r="D713" s="8"/>
      <c r="E713" s="9" t="s">
        <v>37</v>
      </c>
      <c r="F713" s="10" t="s">
        <v>16</v>
      </c>
      <c r="G713" s="10" t="s">
        <v>196</v>
      </c>
      <c r="H713" s="10" t="s">
        <v>3513</v>
      </c>
      <c r="I713" s="10"/>
      <c r="J713" s="11">
        <v>947986061</v>
      </c>
      <c r="K713" s="11"/>
      <c r="L713" s="10" t="s">
        <v>3514</v>
      </c>
      <c r="M713" s="10" t="s">
        <v>47</v>
      </c>
      <c r="N713" s="10" t="s">
        <v>106</v>
      </c>
      <c r="O713" s="10">
        <v>2014</v>
      </c>
      <c r="P713" s="8">
        <v>42876</v>
      </c>
      <c r="Q713" s="12" t="s">
        <v>1758</v>
      </c>
    </row>
    <row r="714" spans="1:17" x14ac:dyDescent="0.2">
      <c r="A714">
        <f t="shared" si="11"/>
        <v>1702082</v>
      </c>
      <c r="B714" s="7" t="s">
        <v>2688</v>
      </c>
      <c r="C714" s="8"/>
      <c r="D714" s="8"/>
      <c r="E714" s="9" t="s">
        <v>37</v>
      </c>
      <c r="F714" s="10" t="s">
        <v>16</v>
      </c>
      <c r="G714" s="10" t="s">
        <v>202</v>
      </c>
      <c r="H714" s="10" t="s">
        <v>1988</v>
      </c>
      <c r="I714" s="10" t="s">
        <v>305</v>
      </c>
      <c r="J714" s="11">
        <v>915758564</v>
      </c>
      <c r="K714" s="11">
        <v>816679233</v>
      </c>
      <c r="L714" s="10" t="s">
        <v>1862</v>
      </c>
      <c r="M714" s="10" t="s">
        <v>47</v>
      </c>
      <c r="N714" s="10" t="s">
        <v>209</v>
      </c>
      <c r="O714" s="10">
        <v>2007</v>
      </c>
      <c r="P714" s="8" t="s">
        <v>1120</v>
      </c>
      <c r="Q714" s="12"/>
    </row>
    <row r="715" spans="1:17" x14ac:dyDescent="0.2">
      <c r="A715">
        <f t="shared" si="11"/>
        <v>1702083</v>
      </c>
      <c r="B715" s="7" t="s">
        <v>2689</v>
      </c>
      <c r="C715" s="8"/>
      <c r="D715" s="8"/>
      <c r="E715" s="9" t="s">
        <v>37</v>
      </c>
      <c r="F715" s="10" t="s">
        <v>16</v>
      </c>
      <c r="G715" s="10" t="s">
        <v>207</v>
      </c>
      <c r="H715" s="10" t="s">
        <v>3515</v>
      </c>
      <c r="I715" s="10" t="s">
        <v>233</v>
      </c>
      <c r="J715" s="11">
        <v>807746977</v>
      </c>
      <c r="K715" s="11"/>
      <c r="L715" s="10" t="s">
        <v>3516</v>
      </c>
      <c r="M715" s="10" t="s">
        <v>54</v>
      </c>
      <c r="N715" s="10" t="s">
        <v>3281</v>
      </c>
      <c r="O715" s="10">
        <v>1997</v>
      </c>
      <c r="P715" s="8">
        <v>42968</v>
      </c>
      <c r="Q715" s="12" t="s">
        <v>1863</v>
      </c>
    </row>
    <row r="716" spans="1:17" x14ac:dyDescent="0.2">
      <c r="A716">
        <f t="shared" si="11"/>
        <v>1702084</v>
      </c>
      <c r="B716" s="7" t="s">
        <v>2690</v>
      </c>
      <c r="C716" s="8"/>
      <c r="D716" s="8"/>
      <c r="E716" s="9" t="s">
        <v>37</v>
      </c>
      <c r="F716" s="10" t="s">
        <v>16</v>
      </c>
      <c r="G716" s="10" t="s">
        <v>202</v>
      </c>
      <c r="H716" s="10" t="s">
        <v>1989</v>
      </c>
      <c r="I716" s="10" t="s">
        <v>286</v>
      </c>
      <c r="J716" s="11">
        <v>894949490</v>
      </c>
      <c r="K716" s="11"/>
      <c r="L716" s="10" t="s">
        <v>1990</v>
      </c>
      <c r="M716" s="10" t="s">
        <v>42</v>
      </c>
      <c r="N716" s="10" t="s">
        <v>84</v>
      </c>
      <c r="O716" s="10">
        <v>2011</v>
      </c>
      <c r="P716" s="8">
        <v>42836</v>
      </c>
      <c r="Q716" s="12" t="s">
        <v>260</v>
      </c>
    </row>
    <row r="717" spans="1:17" x14ac:dyDescent="0.2">
      <c r="A717">
        <f t="shared" si="11"/>
        <v>1702085</v>
      </c>
      <c r="B717" s="7" t="s">
        <v>2691</v>
      </c>
      <c r="C717" s="8"/>
      <c r="D717" s="8"/>
      <c r="E717" s="9" t="s">
        <v>37</v>
      </c>
      <c r="F717" s="10" t="s">
        <v>16</v>
      </c>
      <c r="G717" s="10" t="s">
        <v>207</v>
      </c>
      <c r="H717" s="10" t="s">
        <v>3517</v>
      </c>
      <c r="I717" s="10" t="s">
        <v>286</v>
      </c>
      <c r="J717" s="11">
        <v>954895622</v>
      </c>
      <c r="K717" s="11"/>
      <c r="L717" s="10" t="s">
        <v>3518</v>
      </c>
      <c r="M717" s="10" t="s">
        <v>87</v>
      </c>
      <c r="N717" s="10">
        <v>2</v>
      </c>
      <c r="O717" s="10">
        <v>2012</v>
      </c>
      <c r="P717" s="8">
        <v>42748</v>
      </c>
      <c r="Q717" s="12" t="s">
        <v>909</v>
      </c>
    </row>
    <row r="718" spans="1:17" x14ac:dyDescent="0.2">
      <c r="A718">
        <f t="shared" si="11"/>
        <v>1702086</v>
      </c>
      <c r="B718" s="7" t="s">
        <v>2692</v>
      </c>
      <c r="C718" s="8"/>
      <c r="D718" s="8"/>
      <c r="E718" s="9" t="s">
        <v>37</v>
      </c>
      <c r="F718" s="10" t="s">
        <v>159</v>
      </c>
      <c r="G718" s="10" t="s">
        <v>40</v>
      </c>
      <c r="H718" s="10" t="s">
        <v>3519</v>
      </c>
      <c r="I718" s="10"/>
      <c r="J718" s="11">
        <v>890691444</v>
      </c>
      <c r="K718" s="11"/>
      <c r="L718" s="10" t="s">
        <v>3520</v>
      </c>
      <c r="M718" s="10" t="s">
        <v>47</v>
      </c>
      <c r="N718" s="10" t="s">
        <v>78</v>
      </c>
      <c r="O718" s="10"/>
      <c r="P718" s="8"/>
      <c r="Q718" s="12"/>
    </row>
    <row r="719" spans="1:17" x14ac:dyDescent="0.2">
      <c r="A719">
        <f t="shared" si="11"/>
        <v>1702087</v>
      </c>
      <c r="B719" s="7" t="s">
        <v>2693</v>
      </c>
      <c r="C719" s="8"/>
      <c r="D719" s="8"/>
      <c r="E719" s="9" t="s">
        <v>37</v>
      </c>
      <c r="F719" s="10" t="s">
        <v>16</v>
      </c>
      <c r="G719" s="10" t="s">
        <v>337</v>
      </c>
      <c r="H719" s="10" t="s">
        <v>3521</v>
      </c>
      <c r="I719" s="10" t="s">
        <v>233</v>
      </c>
      <c r="J719" s="11">
        <v>859423670</v>
      </c>
      <c r="K719" s="11"/>
      <c r="L719" s="10" t="s">
        <v>3522</v>
      </c>
      <c r="M719" s="10" t="s">
        <v>47</v>
      </c>
      <c r="N719" s="10" t="s">
        <v>51</v>
      </c>
      <c r="O719" s="10"/>
      <c r="P719" s="8" t="s">
        <v>1120</v>
      </c>
      <c r="Q719" s="12"/>
    </row>
    <row r="720" spans="1:17" x14ac:dyDescent="0.2">
      <c r="A720">
        <f t="shared" si="11"/>
        <v>1702088</v>
      </c>
      <c r="B720" s="7" t="s">
        <v>2694</v>
      </c>
      <c r="C720" s="8"/>
      <c r="D720" s="8"/>
      <c r="E720" s="9" t="s">
        <v>37</v>
      </c>
      <c r="F720" s="10" t="s">
        <v>16</v>
      </c>
      <c r="G720" s="10" t="s">
        <v>207</v>
      </c>
      <c r="H720" s="10" t="s">
        <v>3290</v>
      </c>
      <c r="I720" s="10" t="s">
        <v>457</v>
      </c>
      <c r="J720" s="11">
        <v>643200734</v>
      </c>
      <c r="K720" s="11"/>
      <c r="L720" s="10" t="s">
        <v>3291</v>
      </c>
      <c r="M720" s="10" t="s">
        <v>47</v>
      </c>
      <c r="N720" s="10" t="s">
        <v>212</v>
      </c>
      <c r="O720" s="10">
        <v>2014</v>
      </c>
      <c r="P720" s="8">
        <v>42812</v>
      </c>
      <c r="Q720" s="12" t="s">
        <v>909</v>
      </c>
    </row>
    <row r="721" spans="1:17" x14ac:dyDescent="0.2">
      <c r="A721">
        <f t="shared" si="11"/>
        <v>1702089</v>
      </c>
      <c r="B721" s="7" t="s">
        <v>2695</v>
      </c>
      <c r="C721" s="8"/>
      <c r="D721" s="8"/>
      <c r="E721" s="9" t="s">
        <v>37</v>
      </c>
      <c r="F721" s="10" t="s">
        <v>16</v>
      </c>
      <c r="G721" s="10" t="s">
        <v>202</v>
      </c>
      <c r="H721" s="10" t="s">
        <v>3523</v>
      </c>
      <c r="I721" s="10" t="s">
        <v>254</v>
      </c>
      <c r="J721" s="11">
        <v>891090696</v>
      </c>
      <c r="K721" s="11"/>
      <c r="L721" s="10" t="s">
        <v>3524</v>
      </c>
      <c r="M721" s="10" t="s">
        <v>42</v>
      </c>
      <c r="N721" s="10" t="s">
        <v>75</v>
      </c>
      <c r="O721" s="10">
        <v>2010</v>
      </c>
      <c r="P721" s="8">
        <v>42819</v>
      </c>
      <c r="Q721" s="12" t="s">
        <v>797</v>
      </c>
    </row>
    <row r="722" spans="1:17" x14ac:dyDescent="0.2">
      <c r="A722">
        <f t="shared" si="11"/>
        <v>1702090</v>
      </c>
      <c r="B722" s="7" t="s">
        <v>2696</v>
      </c>
      <c r="C722" s="8"/>
      <c r="D722" s="8"/>
      <c r="E722" s="9" t="s">
        <v>37</v>
      </c>
      <c r="F722" s="10" t="s">
        <v>16</v>
      </c>
      <c r="G722" s="10" t="s">
        <v>207</v>
      </c>
      <c r="H722" s="10" t="s">
        <v>1281</v>
      </c>
      <c r="I722" s="10" t="s">
        <v>243</v>
      </c>
      <c r="J722" s="11">
        <v>875563966</v>
      </c>
      <c r="K722" s="11"/>
      <c r="L722" s="10" t="s">
        <v>1282</v>
      </c>
      <c r="M722" s="10" t="s">
        <v>58</v>
      </c>
      <c r="N722" s="10" t="s">
        <v>717</v>
      </c>
      <c r="O722" s="10">
        <v>2013</v>
      </c>
      <c r="P722" s="8">
        <v>42914</v>
      </c>
      <c r="Q722" s="12" t="s">
        <v>540</v>
      </c>
    </row>
    <row r="723" spans="1:17" x14ac:dyDescent="0.2">
      <c r="A723">
        <f t="shared" si="11"/>
        <v>1702091</v>
      </c>
      <c r="B723" s="7" t="s">
        <v>2697</v>
      </c>
      <c r="C723" s="8"/>
      <c r="D723" s="8"/>
      <c r="E723" s="9" t="s">
        <v>37</v>
      </c>
      <c r="F723" s="10" t="s">
        <v>16</v>
      </c>
      <c r="G723" s="10" t="s">
        <v>207</v>
      </c>
      <c r="H723" s="10" t="s">
        <v>1991</v>
      </c>
      <c r="I723" s="10" t="s">
        <v>286</v>
      </c>
      <c r="J723" s="11">
        <v>879105915</v>
      </c>
      <c r="K723" s="11"/>
      <c r="L723" s="10" t="s">
        <v>1992</v>
      </c>
      <c r="M723" s="10" t="s">
        <v>58</v>
      </c>
      <c r="N723" s="10" t="s">
        <v>414</v>
      </c>
      <c r="O723" s="10">
        <v>2012</v>
      </c>
      <c r="P723" s="8">
        <v>43077</v>
      </c>
      <c r="Q723" s="12" t="s">
        <v>415</v>
      </c>
    </row>
    <row r="724" spans="1:17" x14ac:dyDescent="0.2">
      <c r="A724">
        <f t="shared" si="11"/>
        <v>1702092</v>
      </c>
      <c r="B724" s="7" t="s">
        <v>2698</v>
      </c>
      <c r="C724" s="8"/>
      <c r="D724" s="8"/>
      <c r="E724" s="9" t="s">
        <v>37</v>
      </c>
      <c r="F724" s="10" t="s">
        <v>16</v>
      </c>
      <c r="G724" s="10" t="s">
        <v>202</v>
      </c>
      <c r="H724" s="10" t="s">
        <v>3525</v>
      </c>
      <c r="I724" s="10" t="s">
        <v>286</v>
      </c>
      <c r="J724" s="11">
        <v>891576725</v>
      </c>
      <c r="K724" s="11"/>
      <c r="L724" s="10" t="s">
        <v>3526</v>
      </c>
      <c r="M724" s="10" t="s">
        <v>47</v>
      </c>
      <c r="N724" s="10" t="s">
        <v>106</v>
      </c>
      <c r="O724" s="10">
        <v>2008</v>
      </c>
      <c r="P724" s="8">
        <v>42825</v>
      </c>
      <c r="Q724" s="12" t="s">
        <v>374</v>
      </c>
    </row>
    <row r="725" spans="1:17" x14ac:dyDescent="0.2">
      <c r="A725">
        <f t="shared" si="11"/>
        <v>1702093</v>
      </c>
      <c r="B725" s="7" t="s">
        <v>2699</v>
      </c>
      <c r="C725" s="8"/>
      <c r="D725" s="8"/>
      <c r="E725" s="9" t="s">
        <v>37</v>
      </c>
      <c r="F725" s="10" t="s">
        <v>16</v>
      </c>
      <c r="G725" s="10" t="s">
        <v>207</v>
      </c>
      <c r="H725" s="10" t="s">
        <v>3527</v>
      </c>
      <c r="I725" s="10" t="s">
        <v>506</v>
      </c>
      <c r="J725" s="11">
        <v>952629263</v>
      </c>
      <c r="K725" s="11"/>
      <c r="L725" s="10" t="s">
        <v>3528</v>
      </c>
      <c r="M725" s="10" t="s">
        <v>42</v>
      </c>
      <c r="N725" s="10" t="s">
        <v>494</v>
      </c>
      <c r="O725" s="10">
        <v>2014</v>
      </c>
      <c r="P725" s="8">
        <v>43081</v>
      </c>
      <c r="Q725" s="12" t="s">
        <v>292</v>
      </c>
    </row>
    <row r="726" spans="1:17" x14ac:dyDescent="0.2">
      <c r="A726">
        <f t="shared" si="11"/>
        <v>1702094</v>
      </c>
      <c r="B726" s="7" t="s">
        <v>2700</v>
      </c>
      <c r="C726" s="8"/>
      <c r="D726" s="8"/>
      <c r="E726" s="9" t="s">
        <v>37</v>
      </c>
      <c r="F726" s="10" t="s">
        <v>16</v>
      </c>
      <c r="G726" s="10" t="s">
        <v>225</v>
      </c>
      <c r="H726" s="10" t="s">
        <v>799</v>
      </c>
      <c r="I726" s="10" t="s">
        <v>3529</v>
      </c>
      <c r="J726" s="11">
        <v>818908396</v>
      </c>
      <c r="K726" s="11"/>
      <c r="L726" s="10" t="s">
        <v>801</v>
      </c>
      <c r="M726" s="10" t="s">
        <v>42</v>
      </c>
      <c r="N726" s="10" t="s">
        <v>75</v>
      </c>
      <c r="O726" s="10">
        <v>2012</v>
      </c>
      <c r="P726" s="8">
        <v>42884</v>
      </c>
      <c r="Q726" s="12" t="s">
        <v>288</v>
      </c>
    </row>
    <row r="727" spans="1:17" x14ac:dyDescent="0.2">
      <c r="A727">
        <f t="shared" si="11"/>
        <v>1702095</v>
      </c>
      <c r="B727" s="7" t="s">
        <v>2701</v>
      </c>
      <c r="C727" s="8"/>
      <c r="D727" s="8"/>
      <c r="E727" s="9" t="s">
        <v>37</v>
      </c>
      <c r="F727" s="10" t="s">
        <v>16</v>
      </c>
      <c r="G727" s="10" t="s">
        <v>196</v>
      </c>
      <c r="H727" s="10" t="s">
        <v>3530</v>
      </c>
      <c r="I727" s="10" t="s">
        <v>215</v>
      </c>
      <c r="J727" s="11">
        <v>968767661</v>
      </c>
      <c r="K727" s="11"/>
      <c r="L727" s="10" t="s">
        <v>3531</v>
      </c>
      <c r="M727" s="10" t="s">
        <v>109</v>
      </c>
      <c r="N727" s="10" t="s">
        <v>1194</v>
      </c>
      <c r="O727" s="10"/>
      <c r="P727" s="8" t="s">
        <v>1120</v>
      </c>
      <c r="Q727" s="12"/>
    </row>
    <row r="728" spans="1:17" x14ac:dyDescent="0.2">
      <c r="A728">
        <f t="shared" si="11"/>
        <v>1702096</v>
      </c>
      <c r="B728" s="7" t="s">
        <v>2702</v>
      </c>
      <c r="C728" s="8"/>
      <c r="D728" s="8"/>
      <c r="E728" s="9" t="s">
        <v>37</v>
      </c>
      <c r="F728" s="10" t="s">
        <v>16</v>
      </c>
      <c r="G728" s="10" t="s">
        <v>196</v>
      </c>
      <c r="H728" s="10" t="s">
        <v>3532</v>
      </c>
      <c r="I728" s="10" t="s">
        <v>263</v>
      </c>
      <c r="J728" s="11">
        <v>614455516</v>
      </c>
      <c r="K728" s="11"/>
      <c r="L728" s="10" t="s">
        <v>3533</v>
      </c>
      <c r="M728" s="10" t="s">
        <v>47</v>
      </c>
      <c r="N728" s="10" t="s">
        <v>3201</v>
      </c>
      <c r="O728" s="10"/>
      <c r="P728" s="8" t="s">
        <v>1120</v>
      </c>
      <c r="Q728" s="12"/>
    </row>
    <row r="729" spans="1:17" x14ac:dyDescent="0.2">
      <c r="A729">
        <f t="shared" si="11"/>
        <v>1702097</v>
      </c>
      <c r="B729" s="7" t="s">
        <v>2703</v>
      </c>
      <c r="C729" s="8"/>
      <c r="D729" s="8"/>
      <c r="E729" s="9" t="s">
        <v>37</v>
      </c>
      <c r="F729" s="10" t="s">
        <v>16</v>
      </c>
      <c r="G729" s="10" t="s">
        <v>303</v>
      </c>
      <c r="H729" s="10" t="s">
        <v>3534</v>
      </c>
      <c r="I729" s="10" t="s">
        <v>305</v>
      </c>
      <c r="J729" s="11">
        <v>858204747</v>
      </c>
      <c r="K729" s="11"/>
      <c r="L729" s="10" t="s">
        <v>3535</v>
      </c>
      <c r="M729" s="10" t="s">
        <v>42</v>
      </c>
      <c r="N729" s="10" t="s">
        <v>494</v>
      </c>
      <c r="O729" s="10">
        <v>2012</v>
      </c>
      <c r="P729" s="8">
        <v>42927</v>
      </c>
      <c r="Q729" s="12" t="s">
        <v>292</v>
      </c>
    </row>
    <row r="730" spans="1:17" x14ac:dyDescent="0.2">
      <c r="A730">
        <f t="shared" si="11"/>
        <v>1702098</v>
      </c>
      <c r="B730" s="7" t="s">
        <v>2704</v>
      </c>
      <c r="C730" s="8"/>
      <c r="D730" s="8"/>
      <c r="E730" s="9" t="s">
        <v>37</v>
      </c>
      <c r="F730" s="10" t="s">
        <v>16</v>
      </c>
      <c r="G730" s="10" t="s">
        <v>196</v>
      </c>
      <c r="H730" s="10" t="s">
        <v>3536</v>
      </c>
      <c r="I730" s="10" t="s">
        <v>305</v>
      </c>
      <c r="J730" s="11">
        <v>863826919</v>
      </c>
      <c r="K730" s="11"/>
      <c r="L730" s="10" t="s">
        <v>3537</v>
      </c>
      <c r="M730" s="10" t="s">
        <v>42</v>
      </c>
      <c r="N730" s="10" t="s">
        <v>43</v>
      </c>
      <c r="O730" s="10">
        <v>2013</v>
      </c>
      <c r="P730" s="8">
        <v>42793</v>
      </c>
      <c r="Q730" s="12" t="s">
        <v>374</v>
      </c>
    </row>
    <row r="731" spans="1:17" x14ac:dyDescent="0.2">
      <c r="A731">
        <f t="shared" si="11"/>
        <v>1702099</v>
      </c>
      <c r="B731" s="7" t="s">
        <v>2705</v>
      </c>
      <c r="C731" s="8"/>
      <c r="D731" s="8"/>
      <c r="E731" s="9" t="s">
        <v>37</v>
      </c>
      <c r="F731" s="10" t="s">
        <v>16</v>
      </c>
      <c r="G731" s="10" t="s">
        <v>202</v>
      </c>
      <c r="H731" s="10" t="s">
        <v>1993</v>
      </c>
      <c r="I731" s="10" t="s">
        <v>286</v>
      </c>
      <c r="J731" s="11">
        <v>890661784</v>
      </c>
      <c r="K731" s="11"/>
      <c r="L731" s="10" t="s">
        <v>1994</v>
      </c>
      <c r="M731" s="10" t="s">
        <v>58</v>
      </c>
      <c r="N731" s="10" t="s">
        <v>414</v>
      </c>
      <c r="O731" s="10">
        <v>2009</v>
      </c>
      <c r="P731" s="8">
        <v>42929</v>
      </c>
      <c r="Q731" s="12" t="s">
        <v>236</v>
      </c>
    </row>
    <row r="732" spans="1:17" x14ac:dyDescent="0.2">
      <c r="A732">
        <f t="shared" si="11"/>
        <v>1702100</v>
      </c>
      <c r="B732" s="7" t="s">
        <v>2706</v>
      </c>
      <c r="C732" s="8"/>
      <c r="D732" s="8"/>
      <c r="E732" s="9" t="s">
        <v>37</v>
      </c>
      <c r="F732" s="10" t="s">
        <v>16</v>
      </c>
      <c r="G732" s="10" t="s">
        <v>225</v>
      </c>
      <c r="H732" s="10" t="s">
        <v>1995</v>
      </c>
      <c r="I732" s="10" t="s">
        <v>305</v>
      </c>
      <c r="J732" s="11">
        <v>814257805</v>
      </c>
      <c r="K732" s="11">
        <v>873323312</v>
      </c>
      <c r="L732" s="10" t="s">
        <v>1996</v>
      </c>
      <c r="M732" s="10" t="s">
        <v>47</v>
      </c>
      <c r="N732" s="10" t="s">
        <v>51</v>
      </c>
      <c r="O732" s="10">
        <v>2009</v>
      </c>
      <c r="P732" s="8">
        <v>43069</v>
      </c>
      <c r="Q732" s="12" t="s">
        <v>256</v>
      </c>
    </row>
    <row r="733" spans="1:17" x14ac:dyDescent="0.2">
      <c r="A733">
        <f t="shared" si="11"/>
        <v>1702101</v>
      </c>
      <c r="B733" s="7" t="s">
        <v>2707</v>
      </c>
      <c r="C733" s="8"/>
      <c r="D733" s="8"/>
      <c r="E733" s="9" t="s">
        <v>37</v>
      </c>
      <c r="F733" s="10" t="s">
        <v>16</v>
      </c>
      <c r="G733" s="10" t="s">
        <v>337</v>
      </c>
      <c r="H733" s="10" t="s">
        <v>3538</v>
      </c>
      <c r="I733" s="10" t="s">
        <v>3223</v>
      </c>
      <c r="J733" s="11">
        <v>818360111</v>
      </c>
      <c r="K733" s="11">
        <v>616516885</v>
      </c>
      <c r="L733" s="10" t="s">
        <v>3539</v>
      </c>
      <c r="M733" s="10" t="s">
        <v>126</v>
      </c>
      <c r="N733" s="10" t="s">
        <v>553</v>
      </c>
      <c r="O733" s="10">
        <v>2009</v>
      </c>
      <c r="P733" s="8">
        <v>42958</v>
      </c>
      <c r="Q733" s="12" t="s">
        <v>256</v>
      </c>
    </row>
    <row r="734" spans="1:17" x14ac:dyDescent="0.2">
      <c r="A734">
        <f t="shared" si="11"/>
        <v>1703001</v>
      </c>
      <c r="B734" s="7" t="s">
        <v>2708</v>
      </c>
      <c r="C734" s="8"/>
      <c r="D734" s="8"/>
      <c r="E734" s="9" t="s">
        <v>37</v>
      </c>
      <c r="F734" s="10" t="s">
        <v>159</v>
      </c>
      <c r="G734" s="10" t="s">
        <v>40</v>
      </c>
      <c r="H734" s="10" t="s">
        <v>3540</v>
      </c>
      <c r="I734" s="10"/>
      <c r="J734" s="11">
        <v>636687016</v>
      </c>
      <c r="K734" s="11"/>
      <c r="L734" s="10" t="s">
        <v>3541</v>
      </c>
      <c r="M734" s="10" t="s">
        <v>47</v>
      </c>
      <c r="N734" s="10" t="s">
        <v>51</v>
      </c>
      <c r="O734" s="10"/>
      <c r="P734" s="8"/>
      <c r="Q734" s="12"/>
    </row>
    <row r="735" spans="1:17" x14ac:dyDescent="0.2">
      <c r="A735">
        <f t="shared" si="11"/>
        <v>1703002</v>
      </c>
      <c r="B735" s="7" t="s">
        <v>2709</v>
      </c>
      <c r="C735" s="8"/>
      <c r="D735" s="8"/>
      <c r="E735" s="9" t="s">
        <v>37</v>
      </c>
      <c r="F735" s="10" t="s">
        <v>16</v>
      </c>
      <c r="G735" s="10" t="s">
        <v>202</v>
      </c>
      <c r="H735" s="10" t="s">
        <v>3542</v>
      </c>
      <c r="I735" s="10"/>
      <c r="J735" s="11">
        <v>953834409</v>
      </c>
      <c r="K735" s="11"/>
      <c r="L735" s="10" t="s">
        <v>3543</v>
      </c>
      <c r="M735" s="10" t="s">
        <v>47</v>
      </c>
      <c r="N735" s="10" t="s">
        <v>51</v>
      </c>
      <c r="O735" s="10">
        <v>2005</v>
      </c>
      <c r="P735" s="8">
        <v>42733</v>
      </c>
      <c r="Q735" s="12">
        <v>0</v>
      </c>
    </row>
    <row r="736" spans="1:17" x14ac:dyDescent="0.2">
      <c r="A736">
        <f t="shared" si="11"/>
        <v>1703003</v>
      </c>
      <c r="B736" s="7" t="s">
        <v>2710</v>
      </c>
      <c r="C736" s="8"/>
      <c r="D736" s="8"/>
      <c r="E736" s="9" t="s">
        <v>37</v>
      </c>
      <c r="F736" s="10" t="s">
        <v>16</v>
      </c>
      <c r="G736" s="10" t="s">
        <v>3157</v>
      </c>
      <c r="H736" s="10" t="s">
        <v>3544</v>
      </c>
      <c r="I736" s="10" t="s">
        <v>254</v>
      </c>
      <c r="J736" s="11">
        <v>23870794</v>
      </c>
      <c r="K736" s="11">
        <v>892197978</v>
      </c>
      <c r="L736" s="10" t="s">
        <v>3545</v>
      </c>
      <c r="M736" s="10" t="s">
        <v>47</v>
      </c>
      <c r="N736" s="10" t="s">
        <v>99</v>
      </c>
      <c r="O736" s="10">
        <v>2001</v>
      </c>
      <c r="P736" s="8">
        <v>42740</v>
      </c>
      <c r="Q736" s="12">
        <v>1</v>
      </c>
    </row>
    <row r="737" spans="1:17" x14ac:dyDescent="0.2">
      <c r="A737">
        <f t="shared" si="11"/>
        <v>1703004</v>
      </c>
      <c r="B737" s="7" t="s">
        <v>2711</v>
      </c>
      <c r="C737" s="8"/>
      <c r="D737" s="8"/>
      <c r="E737" s="9" t="s">
        <v>37</v>
      </c>
      <c r="F737" s="10" t="s">
        <v>16</v>
      </c>
      <c r="G737" s="10" t="s">
        <v>207</v>
      </c>
      <c r="H737" s="10" t="s">
        <v>3546</v>
      </c>
      <c r="I737" s="10" t="s">
        <v>286</v>
      </c>
      <c r="J737" s="11">
        <v>97764324</v>
      </c>
      <c r="K737" s="11"/>
      <c r="L737" s="10" t="s">
        <v>3547</v>
      </c>
      <c r="M737" s="10" t="s">
        <v>3324</v>
      </c>
      <c r="N737" s="10" t="s">
        <v>3548</v>
      </c>
      <c r="O737" s="10">
        <v>2009</v>
      </c>
      <c r="P737" s="8">
        <v>42825</v>
      </c>
      <c r="Q737" s="12" t="s">
        <v>1864</v>
      </c>
    </row>
    <row r="738" spans="1:17" x14ac:dyDescent="0.2">
      <c r="A738">
        <f t="shared" si="11"/>
        <v>1703005</v>
      </c>
      <c r="B738" s="7" t="s">
        <v>2712</v>
      </c>
      <c r="C738" s="8"/>
      <c r="D738" s="8"/>
      <c r="E738" s="9" t="s">
        <v>37</v>
      </c>
      <c r="F738" s="10" t="s">
        <v>16</v>
      </c>
      <c r="G738" s="10" t="s">
        <v>202</v>
      </c>
      <c r="H738" s="10" t="s">
        <v>3549</v>
      </c>
      <c r="I738" s="10" t="s">
        <v>254</v>
      </c>
      <c r="J738" s="11">
        <v>902708797</v>
      </c>
      <c r="K738" s="11"/>
      <c r="L738" s="10" t="s">
        <v>3550</v>
      </c>
      <c r="M738" s="10" t="s">
        <v>42</v>
      </c>
      <c r="N738" s="10" t="s">
        <v>84</v>
      </c>
      <c r="O738" s="10">
        <v>2009</v>
      </c>
      <c r="P738" s="8">
        <v>42832</v>
      </c>
      <c r="Q738" s="12" t="s">
        <v>1411</v>
      </c>
    </row>
    <row r="739" spans="1:17" x14ac:dyDescent="0.2">
      <c r="A739">
        <f t="shared" si="11"/>
        <v>1703006</v>
      </c>
      <c r="B739" s="7" t="s">
        <v>2713</v>
      </c>
      <c r="C739" s="8"/>
      <c r="D739" s="8"/>
      <c r="E739" s="9" t="s">
        <v>37</v>
      </c>
      <c r="F739" s="10" t="s">
        <v>16</v>
      </c>
      <c r="G739" s="10" t="s">
        <v>231</v>
      </c>
      <c r="H739" s="10" t="s">
        <v>1516</v>
      </c>
      <c r="I739" s="10" t="s">
        <v>263</v>
      </c>
      <c r="J739" s="11">
        <v>993247636</v>
      </c>
      <c r="K739" s="11"/>
      <c r="L739" s="10" t="s">
        <v>1517</v>
      </c>
      <c r="M739" s="10" t="s">
        <v>42</v>
      </c>
      <c r="N739" s="10" t="s">
        <v>84</v>
      </c>
      <c r="O739" s="10">
        <v>2008</v>
      </c>
      <c r="P739" s="8">
        <v>42925</v>
      </c>
      <c r="Q739" s="12" t="s">
        <v>256</v>
      </c>
    </row>
    <row r="740" spans="1:17" x14ac:dyDescent="0.2">
      <c r="A740">
        <f t="shared" si="11"/>
        <v>1703007</v>
      </c>
      <c r="B740" s="7" t="s">
        <v>2714</v>
      </c>
      <c r="C740" s="8"/>
      <c r="D740" s="8"/>
      <c r="E740" s="9" t="s">
        <v>37</v>
      </c>
      <c r="F740" s="10" t="s">
        <v>16</v>
      </c>
      <c r="G740" s="10" t="s">
        <v>202</v>
      </c>
      <c r="H740" s="10" t="s">
        <v>1865</v>
      </c>
      <c r="I740" s="10" t="s">
        <v>233</v>
      </c>
      <c r="J740" s="11">
        <v>860217447</v>
      </c>
      <c r="K740" s="11"/>
      <c r="L740" s="10" t="s">
        <v>1866</v>
      </c>
      <c r="M740" s="10" t="s">
        <v>54</v>
      </c>
      <c r="N740" s="10" t="s">
        <v>72</v>
      </c>
      <c r="O740" s="10">
        <v>2010</v>
      </c>
      <c r="P740" s="8">
        <v>42740</v>
      </c>
      <c r="Q740" s="12" t="s">
        <v>335</v>
      </c>
    </row>
    <row r="741" spans="1:17" x14ac:dyDescent="0.2">
      <c r="A741">
        <f t="shared" si="11"/>
        <v>1703008</v>
      </c>
      <c r="B741" s="7" t="s">
        <v>2715</v>
      </c>
      <c r="C741" s="8"/>
      <c r="D741" s="8"/>
      <c r="E741" s="9" t="s">
        <v>37</v>
      </c>
      <c r="F741" s="10" t="s">
        <v>16</v>
      </c>
      <c r="G741" s="10" t="s">
        <v>202</v>
      </c>
      <c r="H741" s="10" t="s">
        <v>3551</v>
      </c>
      <c r="I741" s="10" t="s">
        <v>233</v>
      </c>
      <c r="J741" s="11">
        <v>816850257</v>
      </c>
      <c r="K741" s="11"/>
      <c r="L741" s="10" t="s">
        <v>3552</v>
      </c>
      <c r="M741" s="10" t="s">
        <v>47</v>
      </c>
      <c r="N741" s="10" t="s">
        <v>106</v>
      </c>
      <c r="O741" s="10">
        <v>2009</v>
      </c>
      <c r="P741" s="8">
        <v>42807</v>
      </c>
      <c r="Q741" s="12" t="s">
        <v>877</v>
      </c>
    </row>
    <row r="742" spans="1:17" x14ac:dyDescent="0.2">
      <c r="A742">
        <f t="shared" si="11"/>
        <v>1703009</v>
      </c>
      <c r="B742" s="7" t="s">
        <v>2716</v>
      </c>
      <c r="C742" s="8"/>
      <c r="D742" s="8"/>
      <c r="E742" s="9" t="s">
        <v>37</v>
      </c>
      <c r="F742" s="10" t="s">
        <v>16</v>
      </c>
      <c r="G742" s="10" t="s">
        <v>207</v>
      </c>
      <c r="H742" s="10" t="s">
        <v>3553</v>
      </c>
      <c r="I742" s="10" t="s">
        <v>263</v>
      </c>
      <c r="J742" s="11">
        <v>949521265</v>
      </c>
      <c r="K742" s="11"/>
      <c r="L742" s="10" t="s">
        <v>3554</v>
      </c>
      <c r="M742" s="10" t="s">
        <v>58</v>
      </c>
      <c r="N742" s="10" t="s">
        <v>435</v>
      </c>
      <c r="O742" s="10">
        <v>2012</v>
      </c>
      <c r="P742" s="8">
        <v>42767</v>
      </c>
      <c r="Q742" s="12" t="s">
        <v>564</v>
      </c>
    </row>
    <row r="743" spans="1:17" x14ac:dyDescent="0.2">
      <c r="A743">
        <f t="shared" si="11"/>
        <v>1703010</v>
      </c>
      <c r="B743" s="7" t="s">
        <v>2717</v>
      </c>
      <c r="C743" s="8"/>
      <c r="D743" s="8"/>
      <c r="E743" s="9" t="s">
        <v>37</v>
      </c>
      <c r="F743" s="10" t="s">
        <v>16</v>
      </c>
      <c r="G743" s="10" t="s">
        <v>196</v>
      </c>
      <c r="H743" s="10" t="s">
        <v>1867</v>
      </c>
      <c r="I743" s="10" t="s">
        <v>506</v>
      </c>
      <c r="J743" s="11">
        <v>856869172</v>
      </c>
      <c r="K743" s="11"/>
      <c r="L743" s="10" t="s">
        <v>1868</v>
      </c>
      <c r="M743" s="10" t="s">
        <v>54</v>
      </c>
      <c r="N743" s="10" t="s">
        <v>72</v>
      </c>
      <c r="O743" s="10">
        <v>2012</v>
      </c>
      <c r="P743" s="8">
        <v>42875</v>
      </c>
      <c r="Q743" s="12" t="s">
        <v>499</v>
      </c>
    </row>
    <row r="744" spans="1:17" x14ac:dyDescent="0.2">
      <c r="A744">
        <f t="shared" si="11"/>
        <v>1703011</v>
      </c>
      <c r="B744" s="7" t="s">
        <v>2718</v>
      </c>
      <c r="C744" s="8"/>
      <c r="D744" s="8"/>
      <c r="E744" s="9" t="s">
        <v>37</v>
      </c>
      <c r="F744" s="10" t="s">
        <v>16</v>
      </c>
      <c r="G744" s="10" t="s">
        <v>225</v>
      </c>
      <c r="H744" s="10" t="s">
        <v>3555</v>
      </c>
      <c r="I744" s="10" t="s">
        <v>1997</v>
      </c>
      <c r="J744" s="11">
        <v>813744548</v>
      </c>
      <c r="K744" s="11"/>
      <c r="L744" s="10" t="s">
        <v>3556</v>
      </c>
      <c r="M744" s="10" t="s">
        <v>58</v>
      </c>
      <c r="N744" s="10" t="s">
        <v>1154</v>
      </c>
      <c r="O744" s="10">
        <v>2014</v>
      </c>
      <c r="P744" s="8">
        <v>42800</v>
      </c>
      <c r="Q744" s="12" t="s">
        <v>1869</v>
      </c>
    </row>
    <row r="745" spans="1:17" x14ac:dyDescent="0.2">
      <c r="A745">
        <f t="shared" si="11"/>
        <v>1703012</v>
      </c>
      <c r="B745" s="7" t="s">
        <v>2719</v>
      </c>
      <c r="C745" s="8"/>
      <c r="D745" s="8"/>
      <c r="E745" s="9" t="s">
        <v>37</v>
      </c>
      <c r="F745" s="10" t="s">
        <v>16</v>
      </c>
      <c r="G745" s="10" t="s">
        <v>1729</v>
      </c>
      <c r="H745" s="10" t="s">
        <v>3557</v>
      </c>
      <c r="I745" s="10" t="s">
        <v>254</v>
      </c>
      <c r="J745" s="11">
        <v>898896586</v>
      </c>
      <c r="K745" s="11"/>
      <c r="L745" s="10" t="s">
        <v>3558</v>
      </c>
      <c r="M745" s="10" t="s">
        <v>47</v>
      </c>
      <c r="N745" s="10" t="s">
        <v>3559</v>
      </c>
      <c r="O745" s="10">
        <v>2011</v>
      </c>
      <c r="P745" s="8">
        <v>42897</v>
      </c>
      <c r="Q745" s="12" t="s">
        <v>301</v>
      </c>
    </row>
    <row r="746" spans="1:17" x14ac:dyDescent="0.2">
      <c r="A746">
        <f t="shared" si="11"/>
        <v>1703013</v>
      </c>
      <c r="B746" s="7" t="s">
        <v>2720</v>
      </c>
      <c r="C746" s="8"/>
      <c r="D746" s="8"/>
      <c r="E746" s="9" t="s">
        <v>37</v>
      </c>
      <c r="F746" s="10" t="s">
        <v>16</v>
      </c>
      <c r="G746" s="10" t="s">
        <v>207</v>
      </c>
      <c r="H746" s="10" t="s">
        <v>3560</v>
      </c>
      <c r="I746" s="10" t="s">
        <v>233</v>
      </c>
      <c r="J746" s="11">
        <v>959165445</v>
      </c>
      <c r="K746" s="11"/>
      <c r="L746" s="10" t="s">
        <v>3561</v>
      </c>
      <c r="M746" s="10" t="s">
        <v>282</v>
      </c>
      <c r="N746" s="10" t="s">
        <v>283</v>
      </c>
      <c r="O746" s="10">
        <v>2015</v>
      </c>
      <c r="P746" s="8">
        <v>43037</v>
      </c>
      <c r="Q746" s="12" t="s">
        <v>540</v>
      </c>
    </row>
    <row r="747" spans="1:17" x14ac:dyDescent="0.2">
      <c r="A747">
        <f t="shared" si="11"/>
        <v>1703014</v>
      </c>
      <c r="B747" s="7" t="s">
        <v>2721</v>
      </c>
      <c r="C747" s="8"/>
      <c r="D747" s="8"/>
      <c r="E747" s="9" t="s">
        <v>37</v>
      </c>
      <c r="F747" s="10" t="s">
        <v>16</v>
      </c>
      <c r="G747" s="10" t="s">
        <v>303</v>
      </c>
      <c r="H747" s="10" t="s">
        <v>3562</v>
      </c>
      <c r="I747" s="10" t="s">
        <v>263</v>
      </c>
      <c r="J747" s="11">
        <v>892081407</v>
      </c>
      <c r="K747" s="11">
        <v>866137372</v>
      </c>
      <c r="L747" s="10" t="s">
        <v>3563</v>
      </c>
      <c r="M747" s="10" t="s">
        <v>47</v>
      </c>
      <c r="N747" s="10" t="s">
        <v>48</v>
      </c>
      <c r="O747" s="10">
        <v>2009</v>
      </c>
      <c r="P747" s="8" t="s">
        <v>1120</v>
      </c>
      <c r="Q747" s="12"/>
    </row>
    <row r="748" spans="1:17" x14ac:dyDescent="0.2">
      <c r="A748">
        <f t="shared" si="11"/>
        <v>1703015</v>
      </c>
      <c r="B748" s="7" t="s">
        <v>2722</v>
      </c>
      <c r="C748" s="8"/>
      <c r="D748" s="8"/>
      <c r="E748" s="9" t="s">
        <v>37</v>
      </c>
      <c r="F748" s="10" t="s">
        <v>16</v>
      </c>
      <c r="G748" s="10" t="s">
        <v>202</v>
      </c>
      <c r="H748" s="10" t="s">
        <v>3564</v>
      </c>
      <c r="I748" s="10" t="s">
        <v>3565</v>
      </c>
      <c r="J748" s="11">
        <v>840104057</v>
      </c>
      <c r="K748" s="11"/>
      <c r="L748" s="10" t="s">
        <v>3566</v>
      </c>
      <c r="M748" s="10" t="s">
        <v>47</v>
      </c>
      <c r="N748" s="10" t="s">
        <v>48</v>
      </c>
      <c r="O748" s="10">
        <v>2005</v>
      </c>
      <c r="P748" s="8">
        <v>42742</v>
      </c>
      <c r="Q748" s="12" t="s">
        <v>236</v>
      </c>
    </row>
    <row r="749" spans="1:17" x14ac:dyDescent="0.2">
      <c r="A749">
        <f t="shared" si="11"/>
        <v>1703016</v>
      </c>
      <c r="B749" s="7" t="s">
        <v>2723</v>
      </c>
      <c r="C749" s="8"/>
      <c r="D749" s="8"/>
      <c r="E749" s="9" t="s">
        <v>37</v>
      </c>
      <c r="F749" s="10" t="s">
        <v>16</v>
      </c>
      <c r="G749" s="10" t="s">
        <v>207</v>
      </c>
      <c r="H749" s="10" t="s">
        <v>3495</v>
      </c>
      <c r="I749" s="10" t="s">
        <v>286</v>
      </c>
      <c r="J749" s="11">
        <v>851885402</v>
      </c>
      <c r="K749" s="11"/>
      <c r="L749" s="10" t="s">
        <v>3496</v>
      </c>
      <c r="M749" s="10" t="s">
        <v>58</v>
      </c>
      <c r="N749" s="10" t="s">
        <v>435</v>
      </c>
      <c r="O749" s="10">
        <v>2012</v>
      </c>
      <c r="P749" s="8">
        <v>42925</v>
      </c>
      <c r="Q749" s="12" t="s">
        <v>564</v>
      </c>
    </row>
    <row r="750" spans="1:17" x14ac:dyDescent="0.2">
      <c r="A750">
        <f t="shared" si="11"/>
        <v>1703017</v>
      </c>
      <c r="B750" s="7" t="s">
        <v>2724</v>
      </c>
      <c r="C750" s="8"/>
      <c r="D750" s="8"/>
      <c r="E750" s="9" t="s">
        <v>37</v>
      </c>
      <c r="F750" s="10" t="s">
        <v>16</v>
      </c>
      <c r="G750" s="10" t="s">
        <v>207</v>
      </c>
      <c r="H750" s="10" t="s">
        <v>1998</v>
      </c>
      <c r="I750" s="10" t="s">
        <v>305</v>
      </c>
      <c r="J750" s="11">
        <v>892089224</v>
      </c>
      <c r="K750" s="11"/>
      <c r="L750" s="10" t="s">
        <v>1999</v>
      </c>
      <c r="M750" s="10" t="s">
        <v>93</v>
      </c>
      <c r="N750" s="10" t="s">
        <v>94</v>
      </c>
      <c r="O750" s="10">
        <v>2013</v>
      </c>
      <c r="P750" s="8" t="s">
        <v>1120</v>
      </c>
      <c r="Q750" s="12"/>
    </row>
    <row r="751" spans="1:17" x14ac:dyDescent="0.2">
      <c r="A751">
        <f t="shared" si="11"/>
        <v>1703018</v>
      </c>
      <c r="B751" s="7" t="s">
        <v>2725</v>
      </c>
      <c r="C751" s="8"/>
      <c r="D751" s="8"/>
      <c r="E751" s="9" t="s">
        <v>37</v>
      </c>
      <c r="F751" s="10" t="s">
        <v>16</v>
      </c>
      <c r="G751" s="10" t="s">
        <v>202</v>
      </c>
      <c r="H751" s="10" t="s">
        <v>3348</v>
      </c>
      <c r="I751" s="10" t="s">
        <v>215</v>
      </c>
      <c r="J751" s="11">
        <v>890770627</v>
      </c>
      <c r="K751" s="11"/>
      <c r="L751" s="10" t="s">
        <v>1667</v>
      </c>
      <c r="M751" s="10" t="s">
        <v>42</v>
      </c>
      <c r="N751" s="10" t="s">
        <v>75</v>
      </c>
      <c r="O751" s="10">
        <v>2012</v>
      </c>
      <c r="P751" s="8">
        <v>42956</v>
      </c>
      <c r="Q751" s="12" t="s">
        <v>877</v>
      </c>
    </row>
    <row r="752" spans="1:17" x14ac:dyDescent="0.2">
      <c r="A752">
        <f t="shared" si="11"/>
        <v>1703019</v>
      </c>
      <c r="B752" s="7" t="s">
        <v>2726</v>
      </c>
      <c r="C752" s="8"/>
      <c r="D752" s="8"/>
      <c r="E752" s="9" t="s">
        <v>37</v>
      </c>
      <c r="F752" s="10" t="s">
        <v>16</v>
      </c>
      <c r="G752" s="10" t="s">
        <v>225</v>
      </c>
      <c r="H752" s="10" t="s">
        <v>3567</v>
      </c>
      <c r="I752" s="10" t="s">
        <v>3568</v>
      </c>
      <c r="J752" s="11">
        <v>956862907</v>
      </c>
      <c r="K752" s="11"/>
      <c r="L752" s="10" t="s">
        <v>3569</v>
      </c>
      <c r="M752" s="10" t="s">
        <v>42</v>
      </c>
      <c r="N752" s="10" t="s">
        <v>84</v>
      </c>
      <c r="O752" s="10">
        <v>2007</v>
      </c>
      <c r="P752" s="8">
        <v>42616</v>
      </c>
      <c r="Q752" s="12" t="s">
        <v>520</v>
      </c>
    </row>
    <row r="753" spans="1:17" x14ac:dyDescent="0.2">
      <c r="A753">
        <f t="shared" si="11"/>
        <v>1703020</v>
      </c>
      <c r="B753" s="7" t="s">
        <v>2727</v>
      </c>
      <c r="C753" s="8"/>
      <c r="D753" s="8"/>
      <c r="E753" s="9" t="s">
        <v>37</v>
      </c>
      <c r="F753" s="10" t="s">
        <v>16</v>
      </c>
      <c r="G753" s="10" t="s">
        <v>207</v>
      </c>
      <c r="H753" s="10" t="s">
        <v>3570</v>
      </c>
      <c r="I753" s="10" t="s">
        <v>506</v>
      </c>
      <c r="J753" s="11">
        <v>924574445</v>
      </c>
      <c r="K753" s="11"/>
      <c r="L753" s="10" t="s">
        <v>3571</v>
      </c>
      <c r="M753" s="10" t="s">
        <v>42</v>
      </c>
      <c r="N753" s="10" t="s">
        <v>43</v>
      </c>
      <c r="O753" s="10">
        <v>2013</v>
      </c>
      <c r="P753" s="8">
        <v>43022</v>
      </c>
      <c r="Q753" s="12" t="s">
        <v>540</v>
      </c>
    </row>
    <row r="754" spans="1:17" x14ac:dyDescent="0.2">
      <c r="A754">
        <f t="shared" si="11"/>
        <v>1703021</v>
      </c>
      <c r="B754" s="7" t="s">
        <v>2728</v>
      </c>
      <c r="C754" s="8"/>
      <c r="D754" s="8"/>
      <c r="E754" s="9" t="s">
        <v>37</v>
      </c>
      <c r="F754" s="10" t="s">
        <v>16</v>
      </c>
      <c r="G754" s="10" t="s">
        <v>202</v>
      </c>
      <c r="H754" s="10" t="s">
        <v>2000</v>
      </c>
      <c r="I754" s="10" t="s">
        <v>2001</v>
      </c>
      <c r="J754" s="11">
        <v>989456526</v>
      </c>
      <c r="K754" s="11"/>
      <c r="L754" s="10" t="s">
        <v>1889</v>
      </c>
      <c r="M754" s="10" t="s">
        <v>109</v>
      </c>
      <c r="N754" s="10" t="s">
        <v>730</v>
      </c>
      <c r="O754" s="10">
        <v>2011</v>
      </c>
      <c r="P754" s="8" t="s">
        <v>1120</v>
      </c>
      <c r="Q754" s="12"/>
    </row>
    <row r="755" spans="1:17" x14ac:dyDescent="0.2">
      <c r="A755">
        <f t="shared" si="11"/>
        <v>1703022</v>
      </c>
      <c r="B755" s="7" t="s">
        <v>2729</v>
      </c>
      <c r="C755" s="8"/>
      <c r="D755" s="8"/>
      <c r="E755" s="9" t="s">
        <v>37</v>
      </c>
      <c r="F755" s="10" t="s">
        <v>16</v>
      </c>
      <c r="G755" s="10" t="s">
        <v>207</v>
      </c>
      <c r="H755" s="10" t="s">
        <v>3572</v>
      </c>
      <c r="I755" s="10" t="s">
        <v>233</v>
      </c>
      <c r="J755" s="11">
        <v>927941910</v>
      </c>
      <c r="K755" s="11"/>
      <c r="L755" s="10" t="s">
        <v>3573</v>
      </c>
      <c r="M755" s="10" t="s">
        <v>47</v>
      </c>
      <c r="N755" s="10" t="s">
        <v>51</v>
      </c>
      <c r="O755" s="10">
        <v>2011</v>
      </c>
      <c r="P755" s="8">
        <v>42852</v>
      </c>
      <c r="Q755" s="12" t="s">
        <v>1890</v>
      </c>
    </row>
    <row r="756" spans="1:17" x14ac:dyDescent="0.2">
      <c r="A756">
        <f t="shared" si="11"/>
        <v>1703023</v>
      </c>
      <c r="B756" s="7" t="s">
        <v>2730</v>
      </c>
      <c r="C756" s="8"/>
      <c r="D756" s="8"/>
      <c r="E756" s="9" t="s">
        <v>37</v>
      </c>
      <c r="F756" s="10" t="s">
        <v>16</v>
      </c>
      <c r="G756" s="10" t="s">
        <v>202</v>
      </c>
      <c r="H756" s="10" t="s">
        <v>3574</v>
      </c>
      <c r="I756" s="10" t="s">
        <v>267</v>
      </c>
      <c r="J756" s="11">
        <v>941192293</v>
      </c>
      <c r="K756" s="11"/>
      <c r="L756" s="10" t="s">
        <v>3575</v>
      </c>
      <c r="M756" s="10" t="s">
        <v>47</v>
      </c>
      <c r="N756" s="10" t="s">
        <v>48</v>
      </c>
      <c r="O756" s="10">
        <v>2006</v>
      </c>
      <c r="P756" s="8" t="s">
        <v>3576</v>
      </c>
      <c r="Q756" s="12"/>
    </row>
    <row r="757" spans="1:17" x14ac:dyDescent="0.2">
      <c r="A757">
        <f t="shared" si="11"/>
        <v>1703024</v>
      </c>
      <c r="B757" s="7" t="s">
        <v>2731</v>
      </c>
      <c r="C757" s="8"/>
      <c r="D757" s="8"/>
      <c r="E757" s="9" t="s">
        <v>37</v>
      </c>
      <c r="F757" s="10" t="s">
        <v>16</v>
      </c>
      <c r="G757" s="10" t="s">
        <v>207</v>
      </c>
      <c r="H757" s="10" t="s">
        <v>3577</v>
      </c>
      <c r="I757" s="10" t="s">
        <v>215</v>
      </c>
      <c r="J757" s="11">
        <v>814279056</v>
      </c>
      <c r="K757" s="11"/>
      <c r="L757" s="10" t="s">
        <v>3578</v>
      </c>
      <c r="M757" s="10" t="s">
        <v>54</v>
      </c>
      <c r="N757" s="10" t="s">
        <v>134</v>
      </c>
      <c r="O757" s="10">
        <v>2012</v>
      </c>
      <c r="P757" s="8">
        <v>42706</v>
      </c>
      <c r="Q757" s="12" t="s">
        <v>503</v>
      </c>
    </row>
    <row r="758" spans="1:17" x14ac:dyDescent="0.2">
      <c r="A758">
        <f t="shared" si="11"/>
        <v>1703025</v>
      </c>
      <c r="B758" s="7" t="s">
        <v>2732</v>
      </c>
      <c r="C758" s="8"/>
      <c r="D758" s="8"/>
      <c r="E758" s="9" t="s">
        <v>37</v>
      </c>
      <c r="F758" s="10" t="s">
        <v>16</v>
      </c>
      <c r="G758" s="10" t="s">
        <v>225</v>
      </c>
      <c r="H758" s="10" t="s">
        <v>3579</v>
      </c>
      <c r="I758" s="10"/>
      <c r="J758" s="11">
        <v>830078322</v>
      </c>
      <c r="K758" s="11"/>
      <c r="L758" s="10" t="s">
        <v>3580</v>
      </c>
      <c r="M758" s="10" t="s">
        <v>58</v>
      </c>
      <c r="N758" s="10" t="s">
        <v>414</v>
      </c>
      <c r="O758" s="10"/>
      <c r="P758" s="8" t="s">
        <v>1120</v>
      </c>
      <c r="Q758" s="12"/>
    </row>
    <row r="759" spans="1:17" x14ac:dyDescent="0.2">
      <c r="A759">
        <f t="shared" si="11"/>
        <v>1703026</v>
      </c>
      <c r="B759" s="7" t="s">
        <v>2733</v>
      </c>
      <c r="C759" s="8"/>
      <c r="D759" s="8"/>
      <c r="E759" s="9" t="s">
        <v>37</v>
      </c>
      <c r="F759" s="10" t="s">
        <v>16</v>
      </c>
      <c r="G759" s="10" t="s">
        <v>225</v>
      </c>
      <c r="H759" s="10" t="s">
        <v>2002</v>
      </c>
      <c r="I759" s="10" t="s">
        <v>305</v>
      </c>
      <c r="J759" s="11">
        <v>891781996</v>
      </c>
      <c r="K759" s="11"/>
      <c r="L759" s="10" t="s">
        <v>2003</v>
      </c>
      <c r="M759" s="10" t="s">
        <v>109</v>
      </c>
      <c r="N759" s="10" t="s">
        <v>1194</v>
      </c>
      <c r="O759" s="10">
        <v>2009</v>
      </c>
      <c r="P759" s="8" t="s">
        <v>1120</v>
      </c>
      <c r="Q759" s="12"/>
    </row>
    <row r="760" spans="1:17" x14ac:dyDescent="0.2">
      <c r="A760">
        <f t="shared" si="11"/>
        <v>1703027</v>
      </c>
      <c r="B760" s="7" t="s">
        <v>2734</v>
      </c>
      <c r="C760" s="8"/>
      <c r="D760" s="8"/>
      <c r="E760" s="9" t="s">
        <v>37</v>
      </c>
      <c r="F760" s="10" t="s">
        <v>159</v>
      </c>
      <c r="G760" s="10" t="s">
        <v>231</v>
      </c>
      <c r="H760" s="10" t="s">
        <v>3581</v>
      </c>
      <c r="I760" s="10" t="s">
        <v>1330</v>
      </c>
      <c r="J760" s="11">
        <v>814324478</v>
      </c>
      <c r="K760" s="11"/>
      <c r="L760" s="10" t="s">
        <v>3582</v>
      </c>
      <c r="M760" s="10" t="s">
        <v>47</v>
      </c>
      <c r="N760" s="10" t="s">
        <v>106</v>
      </c>
      <c r="O760" s="10">
        <v>2013</v>
      </c>
      <c r="P760" s="8">
        <v>42869</v>
      </c>
      <c r="Q760" s="12" t="s">
        <v>677</v>
      </c>
    </row>
    <row r="761" spans="1:17" x14ac:dyDescent="0.2">
      <c r="A761">
        <f t="shared" si="11"/>
        <v>1703028</v>
      </c>
      <c r="B761" s="7" t="s">
        <v>2735</v>
      </c>
      <c r="C761" s="8"/>
      <c r="D761" s="8"/>
      <c r="E761" s="9" t="s">
        <v>37</v>
      </c>
      <c r="F761" s="10" t="s">
        <v>159</v>
      </c>
      <c r="G761" s="10" t="s">
        <v>40</v>
      </c>
      <c r="H761" s="10" t="s">
        <v>1891</v>
      </c>
      <c r="I761" s="10"/>
      <c r="J761" s="11">
        <v>957421561</v>
      </c>
      <c r="K761" s="11"/>
      <c r="L761" s="10" t="s">
        <v>1892</v>
      </c>
      <c r="M761" s="10" t="s">
        <v>126</v>
      </c>
      <c r="N761" s="10" t="s">
        <v>3583</v>
      </c>
      <c r="O761" s="10"/>
      <c r="P761" s="8"/>
      <c r="Q761" s="12"/>
    </row>
    <row r="762" spans="1:17" x14ac:dyDescent="0.2">
      <c r="A762">
        <f t="shared" si="11"/>
        <v>1703029</v>
      </c>
      <c r="B762" s="7" t="s">
        <v>2736</v>
      </c>
      <c r="C762" s="8"/>
      <c r="D762" s="8"/>
      <c r="E762" s="9" t="s">
        <v>37</v>
      </c>
      <c r="F762" s="10" t="s">
        <v>16</v>
      </c>
      <c r="G762" s="10" t="s">
        <v>337</v>
      </c>
      <c r="H762" s="10" t="s">
        <v>3584</v>
      </c>
      <c r="I762" s="10" t="s">
        <v>222</v>
      </c>
      <c r="J762" s="11">
        <v>828097322</v>
      </c>
      <c r="K762" s="11"/>
      <c r="L762" s="10" t="s">
        <v>3585</v>
      </c>
      <c r="M762" s="10" t="s">
        <v>47</v>
      </c>
      <c r="N762" s="10" t="s">
        <v>3586</v>
      </c>
      <c r="O762" s="10">
        <v>2011</v>
      </c>
      <c r="P762" s="8" t="s">
        <v>1120</v>
      </c>
      <c r="Q762" s="12"/>
    </row>
    <row r="763" spans="1:17" x14ac:dyDescent="0.2">
      <c r="A763">
        <f t="shared" si="11"/>
        <v>1703030</v>
      </c>
      <c r="B763" s="7" t="s">
        <v>2737</v>
      </c>
      <c r="C763" s="8"/>
      <c r="D763" s="8"/>
      <c r="E763" s="9" t="s">
        <v>37</v>
      </c>
      <c r="F763" s="10" t="s">
        <v>16</v>
      </c>
      <c r="G763" s="10" t="s">
        <v>584</v>
      </c>
      <c r="H763" s="10" t="s">
        <v>3587</v>
      </c>
      <c r="I763" s="10" t="s">
        <v>263</v>
      </c>
      <c r="J763" s="11">
        <v>898997275</v>
      </c>
      <c r="K763" s="11">
        <v>917399296</v>
      </c>
      <c r="L763" s="10" t="s">
        <v>3588</v>
      </c>
      <c r="M763" s="10" t="s">
        <v>109</v>
      </c>
      <c r="N763" s="10" t="s">
        <v>240</v>
      </c>
      <c r="O763" s="10">
        <v>2014</v>
      </c>
      <c r="P763" s="8">
        <v>42805</v>
      </c>
      <c r="Q763" s="12" t="s">
        <v>1893</v>
      </c>
    </row>
    <row r="764" spans="1:17" x14ac:dyDescent="0.2">
      <c r="A764">
        <f t="shared" si="11"/>
        <v>1703031</v>
      </c>
      <c r="B764" s="7" t="s">
        <v>2738</v>
      </c>
      <c r="C764" s="8"/>
      <c r="D764" s="8"/>
      <c r="E764" s="9" t="s">
        <v>37</v>
      </c>
      <c r="F764" s="10" t="s">
        <v>16</v>
      </c>
      <c r="G764" s="10" t="s">
        <v>337</v>
      </c>
      <c r="H764" s="10" t="s">
        <v>3589</v>
      </c>
      <c r="I764" s="10" t="s">
        <v>233</v>
      </c>
      <c r="J764" s="11">
        <v>859813048</v>
      </c>
      <c r="K764" s="11"/>
      <c r="L764" s="10" t="s">
        <v>3590</v>
      </c>
      <c r="M764" s="10" t="s">
        <v>42</v>
      </c>
      <c r="N764" s="10" t="s">
        <v>43</v>
      </c>
      <c r="O764" s="10">
        <v>2011</v>
      </c>
      <c r="P764" s="8">
        <v>42855</v>
      </c>
      <c r="Q764" s="12" t="s">
        <v>820</v>
      </c>
    </row>
    <row r="765" spans="1:17" x14ac:dyDescent="0.2">
      <c r="A765">
        <f t="shared" si="11"/>
        <v>1703032</v>
      </c>
      <c r="B765" s="7" t="s">
        <v>2739</v>
      </c>
      <c r="C765" s="8"/>
      <c r="D765" s="8"/>
      <c r="E765" s="9" t="s">
        <v>37</v>
      </c>
      <c r="F765" s="10" t="s">
        <v>16</v>
      </c>
      <c r="G765" s="10" t="s">
        <v>202</v>
      </c>
      <c r="H765" s="10" t="s">
        <v>2004</v>
      </c>
      <c r="I765" s="10" t="s">
        <v>506</v>
      </c>
      <c r="J765" s="11">
        <v>824539974</v>
      </c>
      <c r="K765" s="11"/>
      <c r="L765" s="10" t="s">
        <v>3591</v>
      </c>
      <c r="M765" s="10" t="s">
        <v>109</v>
      </c>
      <c r="N765" s="10" t="s">
        <v>1194</v>
      </c>
      <c r="O765" s="10">
        <v>2008</v>
      </c>
      <c r="P765" s="8">
        <v>43034</v>
      </c>
      <c r="Q765" s="12" t="s">
        <v>664</v>
      </c>
    </row>
    <row r="766" spans="1:17" x14ac:dyDescent="0.2">
      <c r="A766">
        <f t="shared" si="11"/>
        <v>1703033</v>
      </c>
      <c r="B766" s="7" t="s">
        <v>2740</v>
      </c>
      <c r="C766" s="8"/>
      <c r="D766" s="8"/>
      <c r="E766" s="9" t="s">
        <v>37</v>
      </c>
      <c r="F766" s="10" t="s">
        <v>16</v>
      </c>
      <c r="G766" s="10" t="s">
        <v>207</v>
      </c>
      <c r="H766" s="10" t="s">
        <v>2004</v>
      </c>
      <c r="I766" s="10" t="s">
        <v>506</v>
      </c>
      <c r="J766" s="11">
        <v>824539974</v>
      </c>
      <c r="K766" s="11"/>
      <c r="L766" s="10" t="s">
        <v>2005</v>
      </c>
      <c r="M766" s="10" t="s">
        <v>109</v>
      </c>
      <c r="N766" s="10" t="s">
        <v>1194</v>
      </c>
      <c r="O766" s="10">
        <v>2008</v>
      </c>
      <c r="P766" s="8" t="s">
        <v>1120</v>
      </c>
      <c r="Q766" s="12"/>
    </row>
    <row r="767" spans="1:17" x14ac:dyDescent="0.2">
      <c r="A767">
        <f t="shared" si="11"/>
        <v>1703034</v>
      </c>
      <c r="B767" s="7" t="s">
        <v>2741</v>
      </c>
      <c r="C767" s="8"/>
      <c r="D767" s="8"/>
      <c r="E767" s="9" t="s">
        <v>37</v>
      </c>
      <c r="F767" s="10" t="s">
        <v>16</v>
      </c>
      <c r="G767" s="10" t="s">
        <v>584</v>
      </c>
      <c r="H767" s="10" t="s">
        <v>585</v>
      </c>
      <c r="I767" s="10" t="s">
        <v>457</v>
      </c>
      <c r="J767" s="11">
        <v>960205140</v>
      </c>
      <c r="K767" s="11"/>
      <c r="L767" s="10" t="s">
        <v>587</v>
      </c>
      <c r="M767" s="10" t="s">
        <v>282</v>
      </c>
      <c r="N767" s="10" t="s">
        <v>588</v>
      </c>
      <c r="O767" s="10">
        <v>2015</v>
      </c>
      <c r="P767" s="8">
        <v>42814</v>
      </c>
      <c r="Q767" s="12" t="s">
        <v>499</v>
      </c>
    </row>
    <row r="768" spans="1:17" x14ac:dyDescent="0.2">
      <c r="A768">
        <f t="shared" si="11"/>
        <v>1703035</v>
      </c>
      <c r="B768" s="7" t="s">
        <v>2742</v>
      </c>
      <c r="C768" s="8"/>
      <c r="D768" s="8"/>
      <c r="E768" s="9" t="s">
        <v>37</v>
      </c>
      <c r="F768" s="10" t="s">
        <v>16</v>
      </c>
      <c r="G768" s="10" t="s">
        <v>202</v>
      </c>
      <c r="H768" s="10" t="s">
        <v>3592</v>
      </c>
      <c r="I768" s="10" t="s">
        <v>254</v>
      </c>
      <c r="J768" s="11">
        <v>851007724</v>
      </c>
      <c r="K768" s="11"/>
      <c r="L768" s="10" t="s">
        <v>3593</v>
      </c>
      <c r="M768" s="10" t="s">
        <v>42</v>
      </c>
      <c r="N768" s="10" t="s">
        <v>84</v>
      </c>
      <c r="O768" s="10">
        <v>2010</v>
      </c>
      <c r="P768" s="8">
        <v>42985</v>
      </c>
      <c r="Q768" s="12" t="s">
        <v>564</v>
      </c>
    </row>
    <row r="769" spans="1:17" x14ac:dyDescent="0.2">
      <c r="A769">
        <f t="shared" si="11"/>
        <v>1703036</v>
      </c>
      <c r="B769" s="7" t="s">
        <v>2743</v>
      </c>
      <c r="C769" s="8"/>
      <c r="D769" s="8"/>
      <c r="E769" s="9" t="s">
        <v>37</v>
      </c>
      <c r="F769" s="10" t="s">
        <v>16</v>
      </c>
      <c r="G769" s="10" t="s">
        <v>207</v>
      </c>
      <c r="H769" s="10" t="s">
        <v>1894</v>
      </c>
      <c r="I769" s="10" t="s">
        <v>233</v>
      </c>
      <c r="J769" s="11">
        <v>891557775</v>
      </c>
      <c r="K769" s="11"/>
      <c r="L769" s="10" t="s">
        <v>1895</v>
      </c>
      <c r="M769" s="10" t="s">
        <v>87</v>
      </c>
      <c r="N769" s="10">
        <v>2</v>
      </c>
      <c r="O769" s="10">
        <v>2016</v>
      </c>
      <c r="P769" s="8">
        <v>42764</v>
      </c>
      <c r="Q769" s="12" t="s">
        <v>1143</v>
      </c>
    </row>
    <row r="770" spans="1:17" x14ac:dyDescent="0.2">
      <c r="A770">
        <f t="shared" si="11"/>
        <v>1703037</v>
      </c>
      <c r="B770" s="7" t="s">
        <v>2744</v>
      </c>
      <c r="C770" s="8"/>
      <c r="D770" s="8"/>
      <c r="E770" s="9" t="s">
        <v>37</v>
      </c>
      <c r="F770" s="10" t="s">
        <v>16</v>
      </c>
      <c r="G770" s="10" t="s">
        <v>202</v>
      </c>
      <c r="H770" s="10" t="s">
        <v>3594</v>
      </c>
      <c r="I770" s="10" t="s">
        <v>233</v>
      </c>
      <c r="J770" s="11">
        <v>844626939</v>
      </c>
      <c r="K770" s="11"/>
      <c r="L770" s="10" t="s">
        <v>3595</v>
      </c>
      <c r="M770" s="10" t="s">
        <v>109</v>
      </c>
      <c r="N770" s="10" t="s">
        <v>110</v>
      </c>
      <c r="O770" s="10">
        <v>2006</v>
      </c>
      <c r="P770" s="8" t="s">
        <v>1120</v>
      </c>
      <c r="Q770" s="12"/>
    </row>
    <row r="771" spans="1:17" x14ac:dyDescent="0.2">
      <c r="A771">
        <f t="shared" si="11"/>
        <v>1703038</v>
      </c>
      <c r="B771" s="7" t="s">
        <v>2745</v>
      </c>
      <c r="C771" s="8"/>
      <c r="D771" s="8"/>
      <c r="E771" s="9" t="s">
        <v>37</v>
      </c>
      <c r="F771" s="10" t="s">
        <v>16</v>
      </c>
      <c r="G771" s="10" t="s">
        <v>207</v>
      </c>
      <c r="H771" s="10" t="s">
        <v>3596</v>
      </c>
      <c r="I771" s="10" t="s">
        <v>263</v>
      </c>
      <c r="J771" s="11">
        <v>905988668</v>
      </c>
      <c r="K771" s="11"/>
      <c r="L771" s="10" t="s">
        <v>3597</v>
      </c>
      <c r="M771" s="10" t="s">
        <v>42</v>
      </c>
      <c r="N771" s="10" t="s">
        <v>43</v>
      </c>
      <c r="O771" s="10">
        <v>2012</v>
      </c>
      <c r="P771" s="8">
        <v>42963</v>
      </c>
      <c r="Q771" s="12" t="s">
        <v>656</v>
      </c>
    </row>
    <row r="772" spans="1:17" x14ac:dyDescent="0.2">
      <c r="A772">
        <f t="shared" ref="A772:A835" si="12">VALUE(B772)</f>
        <v>1703039</v>
      </c>
      <c r="B772" s="7" t="s">
        <v>2746</v>
      </c>
      <c r="C772" s="8"/>
      <c r="D772" s="8"/>
      <c r="E772" s="9" t="s">
        <v>37</v>
      </c>
      <c r="F772" s="10" t="s">
        <v>16</v>
      </c>
      <c r="G772" s="10" t="s">
        <v>196</v>
      </c>
      <c r="H772" s="10" t="s">
        <v>3598</v>
      </c>
      <c r="I772" s="10" t="s">
        <v>286</v>
      </c>
      <c r="J772" s="11">
        <v>898836313</v>
      </c>
      <c r="K772" s="11"/>
      <c r="L772" s="10" t="s">
        <v>3599</v>
      </c>
      <c r="M772" s="10" t="s">
        <v>42</v>
      </c>
      <c r="N772" s="10" t="s">
        <v>84</v>
      </c>
      <c r="O772" s="10"/>
      <c r="P772" s="8" t="s">
        <v>1120</v>
      </c>
      <c r="Q772" s="12"/>
    </row>
    <row r="773" spans="1:17" x14ac:dyDescent="0.2">
      <c r="A773">
        <f t="shared" si="12"/>
        <v>1703040</v>
      </c>
      <c r="B773" s="7" t="s">
        <v>2747</v>
      </c>
      <c r="C773" s="8"/>
      <c r="D773" s="8"/>
      <c r="E773" s="9" t="s">
        <v>37</v>
      </c>
      <c r="F773" s="10" t="s">
        <v>159</v>
      </c>
      <c r="G773" s="10" t="s">
        <v>202</v>
      </c>
      <c r="H773" s="10" t="s">
        <v>3600</v>
      </c>
      <c r="I773" s="10" t="s">
        <v>243</v>
      </c>
      <c r="J773" s="11">
        <v>846849199</v>
      </c>
      <c r="K773" s="11"/>
      <c r="L773" s="10" t="s">
        <v>3601</v>
      </c>
      <c r="M773" s="10" t="s">
        <v>47</v>
      </c>
      <c r="N773" s="10" t="s">
        <v>106</v>
      </c>
      <c r="O773" s="10">
        <v>2005</v>
      </c>
      <c r="P773" s="8">
        <v>42734</v>
      </c>
      <c r="Q773" s="12">
        <v>0</v>
      </c>
    </row>
    <row r="774" spans="1:17" x14ac:dyDescent="0.2">
      <c r="A774">
        <f t="shared" si="12"/>
        <v>1703041</v>
      </c>
      <c r="B774" s="7" t="s">
        <v>2748</v>
      </c>
      <c r="C774" s="8"/>
      <c r="D774" s="8"/>
      <c r="E774" s="9" t="s">
        <v>37</v>
      </c>
      <c r="F774" s="10" t="s">
        <v>16</v>
      </c>
      <c r="G774" s="10" t="s">
        <v>207</v>
      </c>
      <c r="H774" s="10" t="s">
        <v>3602</v>
      </c>
      <c r="I774" s="10"/>
      <c r="J774" s="11">
        <v>626636885</v>
      </c>
      <c r="K774" s="11"/>
      <c r="L774" s="10" t="s">
        <v>3603</v>
      </c>
      <c r="M774" s="10" t="s">
        <v>87</v>
      </c>
      <c r="N774" s="10">
        <v>2</v>
      </c>
      <c r="O774" s="10"/>
      <c r="P774" s="8" t="s">
        <v>1120</v>
      </c>
      <c r="Q774" s="12"/>
    </row>
    <row r="775" spans="1:17" x14ac:dyDescent="0.2">
      <c r="A775">
        <f t="shared" si="12"/>
        <v>1703042</v>
      </c>
      <c r="B775" s="7" t="s">
        <v>2749</v>
      </c>
      <c r="C775" s="8"/>
      <c r="D775" s="8"/>
      <c r="E775" s="9" t="s">
        <v>37</v>
      </c>
      <c r="F775" s="10" t="s">
        <v>16</v>
      </c>
      <c r="G775" s="10" t="s">
        <v>225</v>
      </c>
      <c r="H775" s="10" t="s">
        <v>3604</v>
      </c>
      <c r="I775" s="10" t="s">
        <v>254</v>
      </c>
      <c r="J775" s="11">
        <v>915425995</v>
      </c>
      <c r="K775" s="11"/>
      <c r="L775" s="10" t="s">
        <v>3605</v>
      </c>
      <c r="M775" s="10" t="s">
        <v>42</v>
      </c>
      <c r="N775" s="10" t="s">
        <v>884</v>
      </c>
      <c r="O775" s="10">
        <v>2008</v>
      </c>
      <c r="P775" s="8">
        <v>43127</v>
      </c>
      <c r="Q775" s="12" t="s">
        <v>217</v>
      </c>
    </row>
    <row r="776" spans="1:17" x14ac:dyDescent="0.2">
      <c r="A776">
        <f t="shared" si="12"/>
        <v>1703043</v>
      </c>
      <c r="B776" s="7" t="s">
        <v>2750</v>
      </c>
      <c r="C776" s="8"/>
      <c r="D776" s="8"/>
      <c r="E776" s="9" t="s">
        <v>37</v>
      </c>
      <c r="F776" s="10" t="s">
        <v>16</v>
      </c>
      <c r="G776" s="10" t="s">
        <v>207</v>
      </c>
      <c r="H776" s="10" t="s">
        <v>3606</v>
      </c>
      <c r="I776" s="10" t="s">
        <v>243</v>
      </c>
      <c r="J776" s="11">
        <v>877142829</v>
      </c>
      <c r="K776" s="11"/>
      <c r="L776" s="10" t="s">
        <v>3607</v>
      </c>
      <c r="M776" s="10" t="s">
        <v>54</v>
      </c>
      <c r="N776" s="10" t="s">
        <v>72</v>
      </c>
      <c r="O776" s="10">
        <v>2006</v>
      </c>
      <c r="P776" s="8" t="s">
        <v>1120</v>
      </c>
      <c r="Q776" s="12"/>
    </row>
    <row r="777" spans="1:17" x14ac:dyDescent="0.2">
      <c r="A777">
        <f t="shared" si="12"/>
        <v>1703044</v>
      </c>
      <c r="B777" s="7" t="s">
        <v>2751</v>
      </c>
      <c r="C777" s="8"/>
      <c r="D777" s="8"/>
      <c r="E777" s="9" t="s">
        <v>37</v>
      </c>
      <c r="F777" s="10" t="s">
        <v>16</v>
      </c>
      <c r="G777" s="10" t="s">
        <v>207</v>
      </c>
      <c r="H777" s="10" t="s">
        <v>3608</v>
      </c>
      <c r="I777" s="10" t="s">
        <v>254</v>
      </c>
      <c r="J777" s="11">
        <v>818601780</v>
      </c>
      <c r="K777" s="11"/>
      <c r="L777" s="10" t="s">
        <v>3609</v>
      </c>
      <c r="M777" s="10" t="s">
        <v>109</v>
      </c>
      <c r="N777" s="10" t="s">
        <v>381</v>
      </c>
      <c r="O777" s="10">
        <v>2013</v>
      </c>
      <c r="P777" s="8">
        <v>42816</v>
      </c>
      <c r="Q777" s="12" t="s">
        <v>288</v>
      </c>
    </row>
    <row r="778" spans="1:17" x14ac:dyDescent="0.2">
      <c r="A778">
        <f t="shared" si="12"/>
        <v>1703045</v>
      </c>
      <c r="B778" s="7" t="s">
        <v>2752</v>
      </c>
      <c r="C778" s="8"/>
      <c r="D778" s="8"/>
      <c r="E778" s="9" t="s">
        <v>37</v>
      </c>
      <c r="F778" s="10" t="s">
        <v>16</v>
      </c>
      <c r="G778" s="10" t="s">
        <v>207</v>
      </c>
      <c r="H778" s="10" t="s">
        <v>3610</v>
      </c>
      <c r="I778" s="10" t="s">
        <v>263</v>
      </c>
      <c r="J778" s="11">
        <v>836872335</v>
      </c>
      <c r="K778" s="11"/>
      <c r="L778" s="10" t="s">
        <v>3611</v>
      </c>
      <c r="M778" s="10" t="s">
        <v>47</v>
      </c>
      <c r="N778" s="10" t="s">
        <v>3586</v>
      </c>
      <c r="O778" s="10">
        <v>2012</v>
      </c>
      <c r="P778" s="8">
        <v>42913</v>
      </c>
      <c r="Q778" s="12" t="s">
        <v>1758</v>
      </c>
    </row>
    <row r="779" spans="1:17" x14ac:dyDescent="0.2">
      <c r="A779">
        <f t="shared" si="12"/>
        <v>1703046</v>
      </c>
      <c r="B779" s="7" t="s">
        <v>2753</v>
      </c>
      <c r="C779" s="8"/>
      <c r="D779" s="8"/>
      <c r="E779" s="9" t="s">
        <v>37</v>
      </c>
      <c r="F779" s="10" t="s">
        <v>159</v>
      </c>
      <c r="G779" s="10" t="s">
        <v>584</v>
      </c>
      <c r="H779" s="10" t="s">
        <v>3612</v>
      </c>
      <c r="I779" s="10" t="s">
        <v>305</v>
      </c>
      <c r="J779" s="11">
        <v>827499930</v>
      </c>
      <c r="K779" s="11">
        <v>816274358</v>
      </c>
      <c r="L779" s="10" t="s">
        <v>3613</v>
      </c>
      <c r="M779" s="10" t="s">
        <v>47</v>
      </c>
      <c r="N779" s="10" t="s">
        <v>3614</v>
      </c>
      <c r="O779" s="10">
        <v>2015</v>
      </c>
      <c r="P779" s="8">
        <v>43067</v>
      </c>
      <c r="Q779" s="12" t="s">
        <v>436</v>
      </c>
    </row>
    <row r="780" spans="1:17" x14ac:dyDescent="0.2">
      <c r="A780">
        <f t="shared" si="12"/>
        <v>1703047</v>
      </c>
      <c r="B780" s="7" t="s">
        <v>2754</v>
      </c>
      <c r="C780" s="8"/>
      <c r="D780" s="8"/>
      <c r="E780" s="9" t="s">
        <v>37</v>
      </c>
      <c r="F780" s="10" t="s">
        <v>16</v>
      </c>
      <c r="G780" s="10" t="s">
        <v>231</v>
      </c>
      <c r="H780" s="10" t="s">
        <v>3615</v>
      </c>
      <c r="I780" s="10" t="s">
        <v>254</v>
      </c>
      <c r="J780" s="11">
        <v>970762664</v>
      </c>
      <c r="K780" s="11"/>
      <c r="L780" s="10" t="s">
        <v>3616</v>
      </c>
      <c r="M780" s="10" t="s">
        <v>47</v>
      </c>
      <c r="N780" s="10" t="s">
        <v>51</v>
      </c>
      <c r="O780" s="10">
        <v>2007</v>
      </c>
      <c r="P780" s="8">
        <v>42935</v>
      </c>
      <c r="Q780" s="12" t="s">
        <v>331</v>
      </c>
    </row>
    <row r="781" spans="1:17" x14ac:dyDescent="0.2">
      <c r="A781">
        <f t="shared" si="12"/>
        <v>1703048</v>
      </c>
      <c r="B781" s="7" t="s">
        <v>2755</v>
      </c>
      <c r="C781" s="8"/>
      <c r="D781" s="8"/>
      <c r="E781" s="9" t="s">
        <v>37</v>
      </c>
      <c r="F781" s="10" t="s">
        <v>16</v>
      </c>
      <c r="G781" s="10" t="s">
        <v>337</v>
      </c>
      <c r="H781" s="10" t="s">
        <v>3617</v>
      </c>
      <c r="I781" s="10" t="s">
        <v>3618</v>
      </c>
      <c r="J781" s="11">
        <v>830169100</v>
      </c>
      <c r="K781" s="11"/>
      <c r="L781" s="10" t="s">
        <v>3619</v>
      </c>
      <c r="M781" s="10" t="s">
        <v>93</v>
      </c>
      <c r="N781" s="10" t="s">
        <v>94</v>
      </c>
      <c r="O781" s="10">
        <v>2013</v>
      </c>
      <c r="P781" s="8">
        <v>42752</v>
      </c>
      <c r="Q781" s="12" t="s">
        <v>288</v>
      </c>
    </row>
    <row r="782" spans="1:17" x14ac:dyDescent="0.2">
      <c r="A782">
        <f t="shared" si="12"/>
        <v>1703049</v>
      </c>
      <c r="B782" s="7" t="s">
        <v>2756</v>
      </c>
      <c r="C782" s="8"/>
      <c r="D782" s="8"/>
      <c r="E782" s="9" t="s">
        <v>37</v>
      </c>
      <c r="F782" s="10" t="s">
        <v>16</v>
      </c>
      <c r="G782" s="10" t="s">
        <v>225</v>
      </c>
      <c r="H782" s="10" t="s">
        <v>3620</v>
      </c>
      <c r="I782" s="10" t="s">
        <v>243</v>
      </c>
      <c r="J782" s="11">
        <v>892030078</v>
      </c>
      <c r="K782" s="11"/>
      <c r="L782" s="10" t="s">
        <v>3621</v>
      </c>
      <c r="M782" s="10" t="s">
        <v>58</v>
      </c>
      <c r="N782" s="10" t="s">
        <v>414</v>
      </c>
      <c r="O782" s="10">
        <v>2013</v>
      </c>
      <c r="P782" s="8">
        <v>42832</v>
      </c>
      <c r="Q782" s="12" t="s">
        <v>374</v>
      </c>
    </row>
    <row r="783" spans="1:17" x14ac:dyDescent="0.2">
      <c r="A783">
        <f t="shared" si="12"/>
        <v>1703050</v>
      </c>
      <c r="B783" s="7" t="s">
        <v>2757</v>
      </c>
      <c r="C783" s="8"/>
      <c r="D783" s="8"/>
      <c r="E783" s="9" t="s">
        <v>37</v>
      </c>
      <c r="F783" s="10" t="s">
        <v>16</v>
      </c>
      <c r="G783" s="10" t="s">
        <v>202</v>
      </c>
      <c r="H783" s="10" t="s">
        <v>2006</v>
      </c>
      <c r="I783" s="10" t="s">
        <v>979</v>
      </c>
      <c r="J783" s="11">
        <v>944930087</v>
      </c>
      <c r="K783" s="11"/>
      <c r="L783" s="10" t="s">
        <v>2007</v>
      </c>
      <c r="M783" s="10" t="s">
        <v>58</v>
      </c>
      <c r="N783" s="10" t="s">
        <v>414</v>
      </c>
      <c r="O783" s="10">
        <v>2008</v>
      </c>
      <c r="P783" s="8">
        <v>42898</v>
      </c>
      <c r="Q783" s="12" t="s">
        <v>1411</v>
      </c>
    </row>
    <row r="784" spans="1:17" x14ac:dyDescent="0.2">
      <c r="A784">
        <f t="shared" si="12"/>
        <v>1703051</v>
      </c>
      <c r="B784" s="7" t="s">
        <v>2758</v>
      </c>
      <c r="C784" s="8"/>
      <c r="D784" s="8"/>
      <c r="E784" s="9" t="s">
        <v>37</v>
      </c>
      <c r="F784" s="10" t="s">
        <v>159</v>
      </c>
      <c r="G784" s="10" t="s">
        <v>40</v>
      </c>
      <c r="H784" s="10" t="s">
        <v>1896</v>
      </c>
      <c r="I784" s="10" t="s">
        <v>233</v>
      </c>
      <c r="J784" s="11">
        <v>863563641</v>
      </c>
      <c r="K784" s="11">
        <v>972729644</v>
      </c>
      <c r="L784" s="10" t="s">
        <v>1897</v>
      </c>
      <c r="M784" s="10" t="s">
        <v>58</v>
      </c>
      <c r="N784" s="10"/>
      <c r="O784" s="10"/>
      <c r="P784" s="8"/>
      <c r="Q784" s="12"/>
    </row>
    <row r="785" spans="1:17" x14ac:dyDescent="0.2">
      <c r="A785">
        <f t="shared" si="12"/>
        <v>1703052</v>
      </c>
      <c r="B785" s="7" t="s">
        <v>2759</v>
      </c>
      <c r="C785" s="8"/>
      <c r="D785" s="8"/>
      <c r="E785" s="9" t="s">
        <v>37</v>
      </c>
      <c r="F785" s="10" t="s">
        <v>16</v>
      </c>
      <c r="G785" s="10" t="s">
        <v>337</v>
      </c>
      <c r="H785" s="10" t="s">
        <v>1690</v>
      </c>
      <c r="I785" s="10" t="s">
        <v>305</v>
      </c>
      <c r="J785" s="11">
        <v>926872544</v>
      </c>
      <c r="K785" s="11">
        <v>818148828</v>
      </c>
      <c r="L785" s="10" t="s">
        <v>1691</v>
      </c>
      <c r="M785" s="10" t="s">
        <v>47</v>
      </c>
      <c r="N785" s="10" t="s">
        <v>51</v>
      </c>
      <c r="O785" s="10">
        <v>2011</v>
      </c>
      <c r="P785" s="8">
        <v>43039</v>
      </c>
      <c r="Q785" s="12" t="s">
        <v>405</v>
      </c>
    </row>
    <row r="786" spans="1:17" x14ac:dyDescent="0.2">
      <c r="A786">
        <f t="shared" si="12"/>
        <v>1703053</v>
      </c>
      <c r="B786" s="7" t="s">
        <v>2760</v>
      </c>
      <c r="C786" s="8"/>
      <c r="D786" s="8"/>
      <c r="E786" s="9" t="s">
        <v>37</v>
      </c>
      <c r="F786" s="10" t="s">
        <v>16</v>
      </c>
      <c r="G786" s="10" t="s">
        <v>207</v>
      </c>
      <c r="H786" s="10" t="s">
        <v>3622</v>
      </c>
      <c r="I786" s="10" t="s">
        <v>243</v>
      </c>
      <c r="J786" s="11">
        <v>859439622</v>
      </c>
      <c r="K786" s="11"/>
      <c r="L786" s="10" t="s">
        <v>3623</v>
      </c>
      <c r="M786" s="10" t="s">
        <v>58</v>
      </c>
      <c r="N786" s="10" t="s">
        <v>414</v>
      </c>
      <c r="O786" s="10">
        <v>2016</v>
      </c>
      <c r="P786" s="8" t="s">
        <v>1120</v>
      </c>
      <c r="Q786" s="12"/>
    </row>
    <row r="787" spans="1:17" x14ac:dyDescent="0.2">
      <c r="A787">
        <f t="shared" si="12"/>
        <v>1703054</v>
      </c>
      <c r="B787" s="7" t="s">
        <v>2761</v>
      </c>
      <c r="C787" s="8"/>
      <c r="D787" s="8"/>
      <c r="E787" s="9" t="s">
        <v>37</v>
      </c>
      <c r="F787" s="10" t="s">
        <v>16</v>
      </c>
      <c r="G787" s="10" t="s">
        <v>196</v>
      </c>
      <c r="H787" s="10" t="s">
        <v>2008</v>
      </c>
      <c r="I787" s="10" t="s">
        <v>243</v>
      </c>
      <c r="J787" s="11">
        <v>824833600</v>
      </c>
      <c r="K787" s="11"/>
      <c r="L787" s="10" t="s">
        <v>2009</v>
      </c>
      <c r="M787" s="10" t="s">
        <v>47</v>
      </c>
      <c r="N787" s="10" t="s">
        <v>48</v>
      </c>
      <c r="O787" s="10">
        <v>2004</v>
      </c>
      <c r="P787" s="8">
        <v>42811</v>
      </c>
      <c r="Q787" s="12" t="s">
        <v>236</v>
      </c>
    </row>
    <row r="788" spans="1:17" x14ac:dyDescent="0.2">
      <c r="A788">
        <f t="shared" si="12"/>
        <v>1703055</v>
      </c>
      <c r="B788" s="7" t="s">
        <v>2762</v>
      </c>
      <c r="C788" s="8"/>
      <c r="D788" s="8"/>
      <c r="E788" s="9" t="s">
        <v>37</v>
      </c>
      <c r="F788" s="10" t="s">
        <v>16</v>
      </c>
      <c r="G788" s="10" t="s">
        <v>303</v>
      </c>
      <c r="H788" s="10" t="s">
        <v>3624</v>
      </c>
      <c r="I788" s="10" t="s">
        <v>254</v>
      </c>
      <c r="J788" s="11">
        <v>841008484</v>
      </c>
      <c r="K788" s="11"/>
      <c r="L788" s="10" t="s">
        <v>3625</v>
      </c>
      <c r="M788" s="10" t="s">
        <v>126</v>
      </c>
      <c r="N788" s="10" t="s">
        <v>410</v>
      </c>
      <c r="O788" s="10">
        <v>2001</v>
      </c>
      <c r="P788" s="8">
        <v>42886</v>
      </c>
      <c r="Q788" s="12" t="s">
        <v>217</v>
      </c>
    </row>
    <row r="789" spans="1:17" x14ac:dyDescent="0.2">
      <c r="A789">
        <f t="shared" si="12"/>
        <v>1703056</v>
      </c>
      <c r="B789" s="7" t="s">
        <v>2763</v>
      </c>
      <c r="C789" s="8"/>
      <c r="D789" s="8"/>
      <c r="E789" s="9" t="s">
        <v>37</v>
      </c>
      <c r="F789" s="10" t="s">
        <v>16</v>
      </c>
      <c r="G789" s="10" t="s">
        <v>225</v>
      </c>
      <c r="H789" s="10" t="s">
        <v>3626</v>
      </c>
      <c r="I789" s="10" t="s">
        <v>254</v>
      </c>
      <c r="J789" s="11">
        <v>877175042</v>
      </c>
      <c r="K789" s="11"/>
      <c r="L789" s="10" t="s">
        <v>3627</v>
      </c>
      <c r="M789" s="10" t="s">
        <v>47</v>
      </c>
      <c r="N789" s="10" t="s">
        <v>3628</v>
      </c>
      <c r="O789" s="10">
        <v>2003</v>
      </c>
      <c r="P789" s="8">
        <v>43044</v>
      </c>
      <c r="Q789" s="12" t="s">
        <v>217</v>
      </c>
    </row>
    <row r="790" spans="1:17" x14ac:dyDescent="0.2">
      <c r="A790">
        <f t="shared" si="12"/>
        <v>1703057</v>
      </c>
      <c r="B790" s="7" t="s">
        <v>2764</v>
      </c>
      <c r="C790" s="8"/>
      <c r="D790" s="8"/>
      <c r="E790" s="9" t="s">
        <v>37</v>
      </c>
      <c r="F790" s="10" t="s">
        <v>16</v>
      </c>
      <c r="G790" s="10" t="s">
        <v>225</v>
      </c>
      <c r="H790" s="10" t="s">
        <v>3629</v>
      </c>
      <c r="I790" s="10" t="s">
        <v>243</v>
      </c>
      <c r="J790" s="11">
        <v>830078322</v>
      </c>
      <c r="K790" s="11"/>
      <c r="L790" s="10" t="s">
        <v>3305</v>
      </c>
      <c r="M790" s="10" t="s">
        <v>47</v>
      </c>
      <c r="N790" s="10" t="s">
        <v>106</v>
      </c>
      <c r="O790" s="10">
        <v>2011</v>
      </c>
      <c r="P790" s="8">
        <v>42812</v>
      </c>
      <c r="Q790" s="12" t="s">
        <v>540</v>
      </c>
    </row>
    <row r="791" spans="1:17" x14ac:dyDescent="0.2">
      <c r="A791">
        <f t="shared" si="12"/>
        <v>1703058</v>
      </c>
      <c r="B791" s="7" t="s">
        <v>2765</v>
      </c>
      <c r="C791" s="8"/>
      <c r="D791" s="8"/>
      <c r="E791" s="9" t="s">
        <v>37</v>
      </c>
      <c r="F791" s="10" t="s">
        <v>16</v>
      </c>
      <c r="G791" s="10" t="s">
        <v>337</v>
      </c>
      <c r="H791" s="10" t="s">
        <v>3630</v>
      </c>
      <c r="I791" s="10" t="s">
        <v>233</v>
      </c>
      <c r="J791" s="11">
        <v>864003740</v>
      </c>
      <c r="K791" s="11">
        <v>970719775</v>
      </c>
      <c r="L791" s="10" t="s">
        <v>3631</v>
      </c>
      <c r="M791" s="10" t="s">
        <v>58</v>
      </c>
      <c r="N791" s="10" t="s">
        <v>414</v>
      </c>
      <c r="O791" s="10">
        <v>2014</v>
      </c>
      <c r="P791" s="8" t="s">
        <v>1120</v>
      </c>
      <c r="Q791" s="12"/>
    </row>
    <row r="792" spans="1:17" x14ac:dyDescent="0.2">
      <c r="A792">
        <f t="shared" si="12"/>
        <v>1703059</v>
      </c>
      <c r="B792" s="7" t="s">
        <v>2766</v>
      </c>
      <c r="C792" s="8"/>
      <c r="D792" s="8"/>
      <c r="E792" s="9" t="s">
        <v>37</v>
      </c>
      <c r="F792" s="10" t="s">
        <v>159</v>
      </c>
      <c r="G792" s="10" t="s">
        <v>207</v>
      </c>
      <c r="H792" s="10" t="s">
        <v>3632</v>
      </c>
      <c r="I792" s="10" t="s">
        <v>286</v>
      </c>
      <c r="J792" s="11">
        <v>867678320</v>
      </c>
      <c r="K792" s="11"/>
      <c r="L792" s="10" t="s">
        <v>3633</v>
      </c>
      <c r="M792" s="10" t="s">
        <v>42</v>
      </c>
      <c r="N792" s="10" t="s">
        <v>3634</v>
      </c>
      <c r="O792" s="10">
        <v>2010</v>
      </c>
      <c r="P792" s="8">
        <v>42744</v>
      </c>
      <c r="Q792" s="12" t="s">
        <v>1906</v>
      </c>
    </row>
    <row r="793" spans="1:17" x14ac:dyDescent="0.2">
      <c r="A793">
        <f t="shared" si="12"/>
        <v>1703060</v>
      </c>
      <c r="B793" s="7" t="s">
        <v>2767</v>
      </c>
      <c r="C793" s="8"/>
      <c r="D793" s="8"/>
      <c r="E793" s="9" t="s">
        <v>37</v>
      </c>
      <c r="F793" s="10" t="s">
        <v>16</v>
      </c>
      <c r="G793" s="10" t="s">
        <v>337</v>
      </c>
      <c r="H793" s="10" t="s">
        <v>3635</v>
      </c>
      <c r="I793" s="10" t="s">
        <v>254</v>
      </c>
      <c r="J793" s="11">
        <v>851506815</v>
      </c>
      <c r="K793" s="11"/>
      <c r="L793" s="10" t="s">
        <v>3636</v>
      </c>
      <c r="M793" s="10" t="s">
        <v>42</v>
      </c>
      <c r="N793" s="10" t="s">
        <v>75</v>
      </c>
      <c r="O793" s="10">
        <v>2010</v>
      </c>
      <c r="P793" s="8">
        <v>42865</v>
      </c>
      <c r="Q793" s="12" t="s">
        <v>335</v>
      </c>
    </row>
    <row r="794" spans="1:17" x14ac:dyDescent="0.2">
      <c r="A794">
        <f t="shared" si="12"/>
        <v>1703061</v>
      </c>
      <c r="B794" s="7" t="s">
        <v>2768</v>
      </c>
      <c r="C794" s="8"/>
      <c r="D794" s="8"/>
      <c r="E794" s="9" t="s">
        <v>37</v>
      </c>
      <c r="F794" s="10" t="s">
        <v>16</v>
      </c>
      <c r="G794" s="10" t="s">
        <v>207</v>
      </c>
      <c r="H794" s="10" t="s">
        <v>3637</v>
      </c>
      <c r="I794" s="10" t="s">
        <v>233</v>
      </c>
      <c r="J794" s="11">
        <v>347366989</v>
      </c>
      <c r="K794" s="11">
        <v>899859448</v>
      </c>
      <c r="L794" s="10" t="s">
        <v>3638</v>
      </c>
      <c r="M794" s="10" t="s">
        <v>47</v>
      </c>
      <c r="N794" s="10" t="s">
        <v>106</v>
      </c>
      <c r="O794" s="10">
        <v>2013</v>
      </c>
      <c r="P794" s="8">
        <v>42516</v>
      </c>
      <c r="Q794" s="12" t="s">
        <v>1907</v>
      </c>
    </row>
    <row r="795" spans="1:17" x14ac:dyDescent="0.2">
      <c r="A795">
        <f t="shared" si="12"/>
        <v>1703062</v>
      </c>
      <c r="B795" s="7" t="s">
        <v>2769</v>
      </c>
      <c r="C795" s="8"/>
      <c r="D795" s="8"/>
      <c r="E795" s="9" t="s">
        <v>37</v>
      </c>
      <c r="F795" s="10" t="s">
        <v>16</v>
      </c>
      <c r="G795" s="10" t="s">
        <v>202</v>
      </c>
      <c r="H795" s="10" t="s">
        <v>3639</v>
      </c>
      <c r="I795" s="10" t="s">
        <v>286</v>
      </c>
      <c r="J795" s="11">
        <v>615799391</v>
      </c>
      <c r="K795" s="11">
        <v>922909254</v>
      </c>
      <c r="L795" s="10" t="s">
        <v>3640</v>
      </c>
      <c r="M795" s="10" t="s">
        <v>58</v>
      </c>
      <c r="N795" s="10" t="s">
        <v>414</v>
      </c>
      <c r="O795" s="10">
        <v>2012</v>
      </c>
      <c r="P795" s="8">
        <v>42987</v>
      </c>
      <c r="Q795" s="12" t="s">
        <v>677</v>
      </c>
    </row>
    <row r="796" spans="1:17" x14ac:dyDescent="0.2">
      <c r="A796">
        <f t="shared" si="12"/>
        <v>1703063</v>
      </c>
      <c r="B796" s="7" t="s">
        <v>2770</v>
      </c>
      <c r="C796" s="8"/>
      <c r="D796" s="8"/>
      <c r="E796" s="9" t="s">
        <v>37</v>
      </c>
      <c r="F796" s="10" t="s">
        <v>16</v>
      </c>
      <c r="G796" s="10" t="s">
        <v>207</v>
      </c>
      <c r="H796" s="10" t="s">
        <v>2010</v>
      </c>
      <c r="I796" s="10" t="s">
        <v>1179</v>
      </c>
      <c r="J796" s="11">
        <v>862520221</v>
      </c>
      <c r="K796" s="11"/>
      <c r="L796" s="10" t="s">
        <v>2011</v>
      </c>
      <c r="M796" s="10" t="s">
        <v>47</v>
      </c>
      <c r="N796" s="10" t="s">
        <v>78</v>
      </c>
      <c r="O796" s="10">
        <v>2007</v>
      </c>
      <c r="P796" s="8">
        <v>43055</v>
      </c>
      <c r="Q796" s="12" t="s">
        <v>1907</v>
      </c>
    </row>
    <row r="797" spans="1:17" x14ac:dyDescent="0.2">
      <c r="A797">
        <f t="shared" si="12"/>
        <v>1703064</v>
      </c>
      <c r="B797" s="7" t="s">
        <v>2771</v>
      </c>
      <c r="C797" s="8"/>
      <c r="D797" s="8"/>
      <c r="E797" s="9" t="s">
        <v>37</v>
      </c>
      <c r="F797" s="10" t="s">
        <v>16</v>
      </c>
      <c r="G797" s="10" t="s">
        <v>225</v>
      </c>
      <c r="H797" s="10" t="s">
        <v>2012</v>
      </c>
      <c r="I797" s="10" t="s">
        <v>2013</v>
      </c>
      <c r="J797" s="11">
        <v>962757496</v>
      </c>
      <c r="K797" s="11"/>
      <c r="L797" s="10" t="s">
        <v>2014</v>
      </c>
      <c r="M797" s="10" t="s">
        <v>93</v>
      </c>
      <c r="N797" s="10" t="s">
        <v>155</v>
      </c>
      <c r="O797" s="10">
        <v>2005</v>
      </c>
      <c r="P797" s="8">
        <v>42830</v>
      </c>
      <c r="Q797" s="12" t="s">
        <v>660</v>
      </c>
    </row>
    <row r="798" spans="1:17" x14ac:dyDescent="0.2">
      <c r="A798">
        <f t="shared" si="12"/>
        <v>1703065</v>
      </c>
      <c r="B798" s="7" t="s">
        <v>2772</v>
      </c>
      <c r="C798" s="8"/>
      <c r="D798" s="8"/>
      <c r="E798" s="9" t="s">
        <v>37</v>
      </c>
      <c r="F798" s="10" t="s">
        <v>16</v>
      </c>
      <c r="G798" s="10" t="s">
        <v>207</v>
      </c>
      <c r="H798" s="10" t="s">
        <v>3641</v>
      </c>
      <c r="I798" s="10" t="s">
        <v>233</v>
      </c>
      <c r="J798" s="11">
        <v>929095622</v>
      </c>
      <c r="K798" s="11"/>
      <c r="L798" s="10" t="s">
        <v>3642</v>
      </c>
      <c r="M798" s="10" t="s">
        <v>47</v>
      </c>
      <c r="N798" s="10" t="s">
        <v>51</v>
      </c>
      <c r="O798" s="10">
        <v>2012</v>
      </c>
      <c r="P798" s="8">
        <v>42912</v>
      </c>
      <c r="Q798" s="12" t="s">
        <v>217</v>
      </c>
    </row>
    <row r="799" spans="1:17" x14ac:dyDescent="0.2">
      <c r="A799">
        <f t="shared" si="12"/>
        <v>1703066</v>
      </c>
      <c r="B799" s="7" t="s">
        <v>2773</v>
      </c>
      <c r="C799" s="8"/>
      <c r="D799" s="8"/>
      <c r="E799" s="9" t="s">
        <v>37</v>
      </c>
      <c r="F799" s="10" t="s">
        <v>16</v>
      </c>
      <c r="G799" s="10" t="s">
        <v>202</v>
      </c>
      <c r="H799" s="10" t="s">
        <v>3643</v>
      </c>
      <c r="I799" s="10" t="s">
        <v>286</v>
      </c>
      <c r="J799" s="11">
        <v>998819295</v>
      </c>
      <c r="K799" s="11">
        <v>928059783</v>
      </c>
      <c r="L799" s="10" t="s">
        <v>3644</v>
      </c>
      <c r="M799" s="10" t="s">
        <v>58</v>
      </c>
      <c r="N799" s="10" t="s">
        <v>414</v>
      </c>
      <c r="O799" s="10">
        <v>2010</v>
      </c>
      <c r="P799" s="8">
        <v>43140</v>
      </c>
      <c r="Q799" s="12" t="s">
        <v>1013</v>
      </c>
    </row>
    <row r="800" spans="1:17" x14ac:dyDescent="0.2">
      <c r="A800">
        <f t="shared" si="12"/>
        <v>1703067</v>
      </c>
      <c r="B800" s="7" t="s">
        <v>2774</v>
      </c>
      <c r="C800" s="8"/>
      <c r="D800" s="8"/>
      <c r="E800" s="9" t="s">
        <v>37</v>
      </c>
      <c r="F800" s="10" t="s">
        <v>16</v>
      </c>
      <c r="G800" s="10" t="s">
        <v>231</v>
      </c>
      <c r="H800" s="10" t="s">
        <v>3645</v>
      </c>
      <c r="I800" s="10"/>
      <c r="J800" s="11">
        <v>982543323</v>
      </c>
      <c r="K800" s="11"/>
      <c r="L800" s="10" t="s">
        <v>3646</v>
      </c>
      <c r="M800" s="10" t="s">
        <v>47</v>
      </c>
      <c r="N800" s="10" t="s">
        <v>106</v>
      </c>
      <c r="O800" s="10">
        <v>2013</v>
      </c>
      <c r="P800" s="8">
        <v>42795</v>
      </c>
      <c r="Q800" s="12" t="s">
        <v>246</v>
      </c>
    </row>
    <row r="801" spans="1:17" x14ac:dyDescent="0.2">
      <c r="A801">
        <f t="shared" si="12"/>
        <v>1703068</v>
      </c>
      <c r="B801" s="7" t="s">
        <v>2775</v>
      </c>
      <c r="C801" s="8"/>
      <c r="D801" s="8"/>
      <c r="E801" s="9" t="s">
        <v>37</v>
      </c>
      <c r="F801" s="10" t="s">
        <v>16</v>
      </c>
      <c r="G801" s="10" t="s">
        <v>202</v>
      </c>
      <c r="H801" s="10" t="s">
        <v>3647</v>
      </c>
      <c r="I801" s="10" t="s">
        <v>233</v>
      </c>
      <c r="J801" s="11">
        <v>879890372</v>
      </c>
      <c r="K801" s="11"/>
      <c r="L801" s="10" t="s">
        <v>3648</v>
      </c>
      <c r="M801" s="10" t="s">
        <v>47</v>
      </c>
      <c r="N801" s="10" t="s">
        <v>51</v>
      </c>
      <c r="O801" s="10">
        <v>2012</v>
      </c>
      <c r="P801" s="8">
        <v>43150</v>
      </c>
      <c r="Q801" s="12" t="s">
        <v>256</v>
      </c>
    </row>
    <row r="802" spans="1:17" x14ac:dyDescent="0.2">
      <c r="A802">
        <f t="shared" si="12"/>
        <v>1703069</v>
      </c>
      <c r="B802" s="7" t="s">
        <v>2776</v>
      </c>
      <c r="C802" s="8"/>
      <c r="D802" s="8"/>
      <c r="E802" s="9" t="s">
        <v>37</v>
      </c>
      <c r="F802" s="10" t="s">
        <v>16</v>
      </c>
      <c r="G802" s="10" t="s">
        <v>202</v>
      </c>
      <c r="H802" s="10" t="s">
        <v>3649</v>
      </c>
      <c r="I802" s="10" t="s">
        <v>286</v>
      </c>
      <c r="J802" s="11">
        <v>854073951</v>
      </c>
      <c r="K802" s="11"/>
      <c r="L802" s="10" t="s">
        <v>3650</v>
      </c>
      <c r="M802" s="10" t="s">
        <v>47</v>
      </c>
      <c r="N802" s="10" t="s">
        <v>106</v>
      </c>
      <c r="O802" s="10">
        <v>2011</v>
      </c>
      <c r="P802" s="8">
        <v>42917</v>
      </c>
      <c r="Q802" s="12" t="s">
        <v>531</v>
      </c>
    </row>
    <row r="803" spans="1:17" x14ac:dyDescent="0.2">
      <c r="A803">
        <f t="shared" si="12"/>
        <v>1703070</v>
      </c>
      <c r="B803" s="7" t="s">
        <v>2777</v>
      </c>
      <c r="C803" s="8"/>
      <c r="D803" s="8"/>
      <c r="E803" s="9" t="s">
        <v>37</v>
      </c>
      <c r="F803" s="10" t="s">
        <v>16</v>
      </c>
      <c r="G803" s="10" t="s">
        <v>207</v>
      </c>
      <c r="H803" s="10" t="s">
        <v>3596</v>
      </c>
      <c r="I803" s="10" t="s">
        <v>3651</v>
      </c>
      <c r="J803" s="11">
        <v>905988668</v>
      </c>
      <c r="K803" s="11"/>
      <c r="L803" s="10" t="s">
        <v>3597</v>
      </c>
      <c r="M803" s="10" t="s">
        <v>42</v>
      </c>
      <c r="N803" s="10" t="s">
        <v>43</v>
      </c>
      <c r="O803" s="10">
        <v>2012</v>
      </c>
      <c r="P803" s="8">
        <v>42963</v>
      </c>
      <c r="Q803" s="12" t="s">
        <v>656</v>
      </c>
    </row>
    <row r="804" spans="1:17" x14ac:dyDescent="0.2">
      <c r="A804">
        <f t="shared" si="12"/>
        <v>1703071</v>
      </c>
      <c r="B804" s="7" t="s">
        <v>2778</v>
      </c>
      <c r="C804" s="8"/>
      <c r="D804" s="8"/>
      <c r="E804" s="9" t="s">
        <v>37</v>
      </c>
      <c r="F804" s="10" t="s">
        <v>16</v>
      </c>
      <c r="G804" s="10" t="s">
        <v>225</v>
      </c>
      <c r="H804" s="10" t="s">
        <v>2015</v>
      </c>
      <c r="I804" s="10" t="s">
        <v>263</v>
      </c>
      <c r="J804" s="11">
        <v>882237699</v>
      </c>
      <c r="K804" s="11">
        <v>958837779</v>
      </c>
      <c r="L804" s="10" t="s">
        <v>2016</v>
      </c>
      <c r="M804" s="10" t="s">
        <v>47</v>
      </c>
      <c r="N804" s="10" t="s">
        <v>121</v>
      </c>
      <c r="O804" s="10">
        <v>2008</v>
      </c>
      <c r="P804" s="8">
        <v>42862</v>
      </c>
      <c r="Q804" s="12" t="s">
        <v>217</v>
      </c>
    </row>
    <row r="805" spans="1:17" x14ac:dyDescent="0.2">
      <c r="A805">
        <f t="shared" si="12"/>
        <v>1703072</v>
      </c>
      <c r="B805" s="7" t="s">
        <v>2779</v>
      </c>
      <c r="C805" s="8"/>
      <c r="D805" s="8"/>
      <c r="E805" s="9" t="s">
        <v>37</v>
      </c>
      <c r="F805" s="10" t="s">
        <v>16</v>
      </c>
      <c r="G805" s="10" t="s">
        <v>207</v>
      </c>
      <c r="H805" s="10" t="s">
        <v>3652</v>
      </c>
      <c r="I805" s="10" t="s">
        <v>227</v>
      </c>
      <c r="J805" s="11">
        <v>837895581</v>
      </c>
      <c r="K805" s="11"/>
      <c r="L805" s="10" t="s">
        <v>3653</v>
      </c>
      <c r="M805" s="10" t="s">
        <v>87</v>
      </c>
      <c r="N805" s="10">
        <v>3</v>
      </c>
      <c r="O805" s="10">
        <v>2008</v>
      </c>
      <c r="P805" s="8" t="s">
        <v>1120</v>
      </c>
      <c r="Q805" s="12"/>
    </row>
    <row r="806" spans="1:17" x14ac:dyDescent="0.2">
      <c r="A806">
        <f t="shared" si="12"/>
        <v>1703073</v>
      </c>
      <c r="B806" s="7" t="s">
        <v>2780</v>
      </c>
      <c r="C806" s="8"/>
      <c r="D806" s="8"/>
      <c r="E806" s="9" t="s">
        <v>37</v>
      </c>
      <c r="F806" s="10" t="s">
        <v>16</v>
      </c>
      <c r="G806" s="10" t="s">
        <v>207</v>
      </c>
      <c r="H806" s="10" t="s">
        <v>3654</v>
      </c>
      <c r="I806" s="10" t="s">
        <v>254</v>
      </c>
      <c r="J806" s="11">
        <v>892046601</v>
      </c>
      <c r="K806" s="11">
        <v>819897917</v>
      </c>
      <c r="L806" s="10" t="s">
        <v>291</v>
      </c>
      <c r="M806" s="10" t="s">
        <v>42</v>
      </c>
      <c r="N806" s="10" t="s">
        <v>84</v>
      </c>
      <c r="O806" s="10">
        <v>2008</v>
      </c>
      <c r="P806" s="8">
        <v>42812</v>
      </c>
      <c r="Q806" s="12" t="s">
        <v>909</v>
      </c>
    </row>
    <row r="807" spans="1:17" x14ac:dyDescent="0.2">
      <c r="A807">
        <f t="shared" si="12"/>
        <v>1703074</v>
      </c>
      <c r="B807" s="7" t="s">
        <v>2781</v>
      </c>
      <c r="C807" s="8"/>
      <c r="D807" s="8"/>
      <c r="E807" s="9" t="s">
        <v>37</v>
      </c>
      <c r="F807" s="10" t="s">
        <v>16</v>
      </c>
      <c r="G807" s="10" t="s">
        <v>196</v>
      </c>
      <c r="H807" s="10" t="s">
        <v>3655</v>
      </c>
      <c r="I807" s="10" t="s">
        <v>233</v>
      </c>
      <c r="J807" s="11">
        <v>942646159</v>
      </c>
      <c r="K807" s="11"/>
      <c r="L807" s="10" t="s">
        <v>3656</v>
      </c>
      <c r="M807" s="10" t="s">
        <v>47</v>
      </c>
      <c r="N807" s="10" t="s">
        <v>51</v>
      </c>
      <c r="O807" s="10">
        <v>2012</v>
      </c>
      <c r="P807" s="8">
        <v>43006</v>
      </c>
      <c r="Q807" s="12" t="s">
        <v>540</v>
      </c>
    </row>
    <row r="808" spans="1:17" x14ac:dyDescent="0.2">
      <c r="A808">
        <f t="shared" si="12"/>
        <v>1703075</v>
      </c>
      <c r="B808" s="7" t="s">
        <v>2782</v>
      </c>
      <c r="C808" s="8"/>
      <c r="D808" s="8"/>
      <c r="E808" s="9" t="s">
        <v>37</v>
      </c>
      <c r="F808" s="10" t="s">
        <v>16</v>
      </c>
      <c r="G808" s="10" t="s">
        <v>207</v>
      </c>
      <c r="H808" s="10" t="s">
        <v>2017</v>
      </c>
      <c r="I808" s="10" t="s">
        <v>215</v>
      </c>
      <c r="J808" s="11">
        <v>898201377</v>
      </c>
      <c r="K808" s="11">
        <v>851346683</v>
      </c>
      <c r="L808" s="10" t="s">
        <v>2018</v>
      </c>
      <c r="M808" s="10" t="s">
        <v>126</v>
      </c>
      <c r="N808" s="10" t="s">
        <v>3657</v>
      </c>
      <c r="O808" s="10">
        <v>2006</v>
      </c>
      <c r="P808" s="8">
        <v>42878</v>
      </c>
      <c r="Q808" s="12">
        <v>0</v>
      </c>
    </row>
    <row r="809" spans="1:17" x14ac:dyDescent="0.2">
      <c r="A809">
        <f t="shared" si="12"/>
        <v>1703076</v>
      </c>
      <c r="B809" s="7" t="s">
        <v>2783</v>
      </c>
      <c r="C809" s="8"/>
      <c r="D809" s="8"/>
      <c r="E809" s="9" t="s">
        <v>37</v>
      </c>
      <c r="F809" s="10" t="s">
        <v>16</v>
      </c>
      <c r="G809" s="10" t="s">
        <v>202</v>
      </c>
      <c r="H809" s="10" t="s">
        <v>3658</v>
      </c>
      <c r="I809" s="10" t="s">
        <v>233</v>
      </c>
      <c r="J809" s="11">
        <v>27560148</v>
      </c>
      <c r="K809" s="11">
        <v>890577317</v>
      </c>
      <c r="L809" s="10" t="s">
        <v>3659</v>
      </c>
      <c r="M809" s="10" t="s">
        <v>93</v>
      </c>
      <c r="N809" s="10" t="s">
        <v>3660</v>
      </c>
      <c r="O809" s="10">
        <v>2015</v>
      </c>
      <c r="P809" s="8">
        <v>43109</v>
      </c>
      <c r="Q809" s="12" t="s">
        <v>499</v>
      </c>
    </row>
    <row r="810" spans="1:17" x14ac:dyDescent="0.2">
      <c r="A810">
        <f t="shared" si="12"/>
        <v>1703077</v>
      </c>
      <c r="B810" s="7" t="s">
        <v>2784</v>
      </c>
      <c r="C810" s="8"/>
      <c r="D810" s="8"/>
      <c r="E810" s="9" t="s">
        <v>37</v>
      </c>
      <c r="F810" s="10" t="s">
        <v>16</v>
      </c>
      <c r="G810" s="10" t="s">
        <v>207</v>
      </c>
      <c r="H810" s="10" t="s">
        <v>3661</v>
      </c>
      <c r="I810" s="10" t="s">
        <v>233</v>
      </c>
      <c r="J810" s="11">
        <v>928539371</v>
      </c>
      <c r="K810" s="11"/>
      <c r="L810" s="10" t="s">
        <v>3662</v>
      </c>
      <c r="M810" s="10" t="s">
        <v>58</v>
      </c>
      <c r="N810" s="10" t="s">
        <v>414</v>
      </c>
      <c r="O810" s="10">
        <v>2016</v>
      </c>
      <c r="P810" s="8">
        <v>42992</v>
      </c>
      <c r="Q810" s="12" t="s">
        <v>668</v>
      </c>
    </row>
    <row r="811" spans="1:17" x14ac:dyDescent="0.2">
      <c r="A811">
        <f t="shared" si="12"/>
        <v>1703078</v>
      </c>
      <c r="B811" s="7" t="s">
        <v>2785</v>
      </c>
      <c r="C811" s="8"/>
      <c r="D811" s="8"/>
      <c r="E811" s="9" t="s">
        <v>37</v>
      </c>
      <c r="F811" s="10" t="s">
        <v>16</v>
      </c>
      <c r="G811" s="10" t="s">
        <v>337</v>
      </c>
      <c r="H811" s="10" t="s">
        <v>3663</v>
      </c>
      <c r="I811" s="10" t="s">
        <v>286</v>
      </c>
      <c r="J811" s="11">
        <v>898927043</v>
      </c>
      <c r="K811" s="11"/>
      <c r="L811" s="10" t="s">
        <v>3664</v>
      </c>
      <c r="M811" s="10" t="s">
        <v>58</v>
      </c>
      <c r="N811" s="10" t="s">
        <v>414</v>
      </c>
      <c r="O811" s="10">
        <v>2007</v>
      </c>
      <c r="P811" s="8" t="s">
        <v>1120</v>
      </c>
      <c r="Q811" s="12"/>
    </row>
    <row r="812" spans="1:17" x14ac:dyDescent="0.2">
      <c r="A812">
        <f t="shared" si="12"/>
        <v>1703079</v>
      </c>
      <c r="B812" s="7" t="s">
        <v>2786</v>
      </c>
      <c r="C812" s="8"/>
      <c r="D812" s="8"/>
      <c r="E812" s="9" t="s">
        <v>37</v>
      </c>
      <c r="F812" s="10" t="s">
        <v>16</v>
      </c>
      <c r="G812" s="10" t="s">
        <v>225</v>
      </c>
      <c r="H812" s="10" t="s">
        <v>3665</v>
      </c>
      <c r="I812" s="10"/>
      <c r="J812" s="11">
        <v>616503177</v>
      </c>
      <c r="K812" s="11">
        <v>961986398</v>
      </c>
      <c r="L812" s="10" t="s">
        <v>3666</v>
      </c>
      <c r="M812" s="10" t="s">
        <v>47</v>
      </c>
      <c r="N812" s="10" t="s">
        <v>51</v>
      </c>
      <c r="O812" s="10">
        <v>2011</v>
      </c>
      <c r="P812" s="8" t="s">
        <v>1120</v>
      </c>
      <c r="Q812" s="12"/>
    </row>
    <row r="813" spans="1:17" x14ac:dyDescent="0.2">
      <c r="A813">
        <f t="shared" si="12"/>
        <v>1703080</v>
      </c>
      <c r="B813" s="7" t="s">
        <v>2787</v>
      </c>
      <c r="C813" s="8"/>
      <c r="D813" s="8"/>
      <c r="E813" s="9" t="s">
        <v>37</v>
      </c>
      <c r="F813" s="10" t="s">
        <v>16</v>
      </c>
      <c r="G813" s="10" t="s">
        <v>225</v>
      </c>
      <c r="H813" s="10" t="s">
        <v>666</v>
      </c>
      <c r="I813" s="10" t="s">
        <v>254</v>
      </c>
      <c r="J813" s="11">
        <v>819174009</v>
      </c>
      <c r="K813" s="11"/>
      <c r="L813" s="10" t="s">
        <v>667</v>
      </c>
      <c r="M813" s="10" t="s">
        <v>93</v>
      </c>
      <c r="N813" s="10" t="s">
        <v>155</v>
      </c>
      <c r="O813" s="10">
        <v>2014</v>
      </c>
      <c r="P813" s="8">
        <v>42714</v>
      </c>
      <c r="Q813" s="12" t="s">
        <v>668</v>
      </c>
    </row>
    <row r="814" spans="1:17" x14ac:dyDescent="0.2">
      <c r="A814">
        <f t="shared" si="12"/>
        <v>1703081</v>
      </c>
      <c r="B814" s="7" t="s">
        <v>2788</v>
      </c>
      <c r="C814" s="8"/>
      <c r="D814" s="8"/>
      <c r="E814" s="9" t="s">
        <v>37</v>
      </c>
      <c r="F814" s="10" t="s">
        <v>16</v>
      </c>
      <c r="G814" s="10" t="s">
        <v>337</v>
      </c>
      <c r="H814" s="10" t="s">
        <v>3667</v>
      </c>
      <c r="I814" s="10" t="s">
        <v>3668</v>
      </c>
      <c r="J814" s="11">
        <v>614345905</v>
      </c>
      <c r="K814" s="11">
        <v>610641771</v>
      </c>
      <c r="L814" s="10" t="s">
        <v>3669</v>
      </c>
      <c r="M814" s="10" t="s">
        <v>47</v>
      </c>
      <c r="N814" s="10" t="s">
        <v>121</v>
      </c>
      <c r="O814" s="10">
        <v>2013</v>
      </c>
      <c r="P814" s="8" t="s">
        <v>1120</v>
      </c>
      <c r="Q814" s="12"/>
    </row>
    <row r="815" spans="1:17" x14ac:dyDescent="0.2">
      <c r="A815">
        <f t="shared" si="12"/>
        <v>1703082</v>
      </c>
      <c r="B815" s="7" t="s">
        <v>2789</v>
      </c>
      <c r="C815" s="8"/>
      <c r="D815" s="8"/>
      <c r="E815" s="9" t="s">
        <v>37</v>
      </c>
      <c r="F815" s="10" t="s">
        <v>16</v>
      </c>
      <c r="G815" s="10" t="s">
        <v>202</v>
      </c>
      <c r="H815" s="10" t="s">
        <v>3670</v>
      </c>
      <c r="I815" s="10" t="s">
        <v>254</v>
      </c>
      <c r="J815" s="11">
        <v>877027216</v>
      </c>
      <c r="K815" s="11"/>
      <c r="L815" s="10" t="s">
        <v>3671</v>
      </c>
      <c r="M815" s="10" t="s">
        <v>54</v>
      </c>
      <c r="N815" s="10" t="s">
        <v>72</v>
      </c>
      <c r="O815" s="10">
        <v>2012</v>
      </c>
      <c r="P815" s="8">
        <v>42832</v>
      </c>
      <c r="Q815" s="12" t="s">
        <v>564</v>
      </c>
    </row>
    <row r="816" spans="1:17" x14ac:dyDescent="0.2">
      <c r="A816">
        <f t="shared" si="12"/>
        <v>1703083</v>
      </c>
      <c r="B816" s="7" t="s">
        <v>2790</v>
      </c>
      <c r="C816" s="8"/>
      <c r="D816" s="8"/>
      <c r="E816" s="9" t="s">
        <v>37</v>
      </c>
      <c r="F816" s="10" t="s">
        <v>16</v>
      </c>
      <c r="G816" s="10" t="s">
        <v>202</v>
      </c>
      <c r="H816" s="10" t="s">
        <v>3672</v>
      </c>
      <c r="I816" s="10" t="s">
        <v>506</v>
      </c>
      <c r="J816" s="11">
        <v>952707998</v>
      </c>
      <c r="K816" s="11"/>
      <c r="L816" s="10" t="s">
        <v>3673</v>
      </c>
      <c r="M816" s="10" t="s">
        <v>47</v>
      </c>
      <c r="N816" s="10" t="s">
        <v>81</v>
      </c>
      <c r="O816" s="10">
        <v>2011</v>
      </c>
      <c r="P816" s="8" t="s">
        <v>1120</v>
      </c>
      <c r="Q816" s="12"/>
    </row>
    <row r="817" spans="1:17" x14ac:dyDescent="0.2">
      <c r="A817">
        <f t="shared" si="12"/>
        <v>1703084</v>
      </c>
      <c r="B817" s="7" t="s">
        <v>2791</v>
      </c>
      <c r="C817" s="8"/>
      <c r="D817" s="8"/>
      <c r="E817" s="9" t="s">
        <v>37</v>
      </c>
      <c r="F817" s="10" t="s">
        <v>16</v>
      </c>
      <c r="G817" s="10" t="s">
        <v>207</v>
      </c>
      <c r="H817" s="10" t="s">
        <v>2019</v>
      </c>
      <c r="I817" s="10" t="s">
        <v>243</v>
      </c>
      <c r="J817" s="11">
        <v>813737199</v>
      </c>
      <c r="K817" s="11"/>
      <c r="L817" s="10" t="s">
        <v>2020</v>
      </c>
      <c r="M817" s="10" t="s">
        <v>109</v>
      </c>
      <c r="N817" s="10" t="s">
        <v>240</v>
      </c>
      <c r="O817" s="10">
        <v>2010</v>
      </c>
      <c r="P817" s="8">
        <v>42911</v>
      </c>
      <c r="Q817" s="12" t="s">
        <v>292</v>
      </c>
    </row>
    <row r="818" spans="1:17" x14ac:dyDescent="0.2">
      <c r="A818">
        <f t="shared" si="12"/>
        <v>1703085</v>
      </c>
      <c r="B818" s="7" t="s">
        <v>2792</v>
      </c>
      <c r="C818" s="8"/>
      <c r="D818" s="8"/>
      <c r="E818" s="9" t="s">
        <v>37</v>
      </c>
      <c r="F818" s="10" t="s">
        <v>16</v>
      </c>
      <c r="G818" s="10" t="s">
        <v>207</v>
      </c>
      <c r="H818" s="10" t="s">
        <v>3674</v>
      </c>
      <c r="I818" s="10" t="s">
        <v>233</v>
      </c>
      <c r="J818" s="11">
        <v>27029126</v>
      </c>
      <c r="K818" s="11">
        <v>814865083</v>
      </c>
      <c r="L818" s="10" t="s">
        <v>3675</v>
      </c>
      <c r="M818" s="10" t="s">
        <v>109</v>
      </c>
      <c r="N818" s="10" t="s">
        <v>240</v>
      </c>
      <c r="O818" s="10">
        <v>2015</v>
      </c>
      <c r="P818" s="8">
        <v>42989</v>
      </c>
      <c r="Q818" s="12" t="s">
        <v>668</v>
      </c>
    </row>
    <row r="819" spans="1:17" x14ac:dyDescent="0.2">
      <c r="A819">
        <f t="shared" si="12"/>
        <v>1704001</v>
      </c>
      <c r="B819" s="7" t="s">
        <v>2793</v>
      </c>
      <c r="C819" s="8"/>
      <c r="D819" s="8"/>
      <c r="E819" s="9" t="s">
        <v>37</v>
      </c>
      <c r="F819" s="10" t="s">
        <v>16</v>
      </c>
      <c r="G819" s="10" t="s">
        <v>202</v>
      </c>
      <c r="H819" s="10" t="s">
        <v>3676</v>
      </c>
      <c r="I819" s="10" t="s">
        <v>233</v>
      </c>
      <c r="J819" s="11">
        <v>960269438</v>
      </c>
      <c r="K819" s="11"/>
      <c r="L819" s="10" t="s">
        <v>3677</v>
      </c>
      <c r="M819" s="10" t="s">
        <v>47</v>
      </c>
      <c r="N819" s="10" t="s">
        <v>78</v>
      </c>
      <c r="O819" s="10">
        <v>2013</v>
      </c>
      <c r="P819" s="8">
        <v>43064</v>
      </c>
      <c r="Q819" s="12" t="s">
        <v>217</v>
      </c>
    </row>
    <row r="820" spans="1:17" x14ac:dyDescent="0.2">
      <c r="A820">
        <f t="shared" si="12"/>
        <v>1704002</v>
      </c>
      <c r="B820" s="7" t="s">
        <v>2794</v>
      </c>
      <c r="C820" s="8"/>
      <c r="D820" s="8"/>
      <c r="E820" s="9" t="s">
        <v>37</v>
      </c>
      <c r="F820" s="10" t="s">
        <v>16</v>
      </c>
      <c r="G820" s="10" t="s">
        <v>337</v>
      </c>
      <c r="H820" s="10" t="s">
        <v>2021</v>
      </c>
      <c r="I820" s="10" t="s">
        <v>979</v>
      </c>
      <c r="J820" s="11">
        <v>649926912</v>
      </c>
      <c r="K820" s="11"/>
      <c r="L820" s="10" t="s">
        <v>2022</v>
      </c>
      <c r="M820" s="10" t="s">
        <v>47</v>
      </c>
      <c r="N820" s="10" t="s">
        <v>51</v>
      </c>
      <c r="O820" s="10"/>
      <c r="P820" s="8" t="s">
        <v>1120</v>
      </c>
      <c r="Q820" s="12"/>
    </row>
    <row r="821" spans="1:17" x14ac:dyDescent="0.2">
      <c r="A821">
        <f t="shared" si="12"/>
        <v>1704003</v>
      </c>
      <c r="B821" s="7" t="s">
        <v>2795</v>
      </c>
      <c r="C821" s="8"/>
      <c r="D821" s="8"/>
      <c r="E821" s="9" t="s">
        <v>37</v>
      </c>
      <c r="F821" s="10" t="s">
        <v>16</v>
      </c>
      <c r="G821" s="10" t="s">
        <v>196</v>
      </c>
      <c r="H821" s="10" t="s">
        <v>3678</v>
      </c>
      <c r="I821" s="10" t="s">
        <v>492</v>
      </c>
      <c r="J821" s="11">
        <v>973585955</v>
      </c>
      <c r="K821" s="11"/>
      <c r="L821" s="10" t="s">
        <v>3679</v>
      </c>
      <c r="M821" s="10" t="s">
        <v>54</v>
      </c>
      <c r="N821" s="10" t="s">
        <v>72</v>
      </c>
      <c r="O821" s="10">
        <v>2014</v>
      </c>
      <c r="P821" s="8">
        <v>43022</v>
      </c>
      <c r="Q821" s="12" t="s">
        <v>1042</v>
      </c>
    </row>
    <row r="822" spans="1:17" x14ac:dyDescent="0.2">
      <c r="A822">
        <f t="shared" si="12"/>
        <v>1704004</v>
      </c>
      <c r="B822" s="7" t="s">
        <v>2796</v>
      </c>
      <c r="C822" s="8"/>
      <c r="D822" s="8"/>
      <c r="E822" s="9" t="s">
        <v>37</v>
      </c>
      <c r="F822" s="10" t="s">
        <v>16</v>
      </c>
      <c r="G822" s="10" t="s">
        <v>202</v>
      </c>
      <c r="H822" s="10" t="s">
        <v>3680</v>
      </c>
      <c r="I822" s="10" t="s">
        <v>254</v>
      </c>
      <c r="J822" s="11">
        <v>909701550</v>
      </c>
      <c r="K822" s="11"/>
      <c r="L822" s="10" t="s">
        <v>3681</v>
      </c>
      <c r="M822" s="10" t="s">
        <v>3682</v>
      </c>
      <c r="N822" s="10" t="s">
        <v>3683</v>
      </c>
      <c r="O822" s="10"/>
      <c r="P822" s="8" t="s">
        <v>1120</v>
      </c>
      <c r="Q822" s="12"/>
    </row>
    <row r="823" spans="1:17" x14ac:dyDescent="0.2">
      <c r="A823">
        <f t="shared" si="12"/>
        <v>1704005</v>
      </c>
      <c r="B823" s="7" t="s">
        <v>2797</v>
      </c>
      <c r="C823" s="8"/>
      <c r="D823" s="8"/>
      <c r="E823" s="9" t="s">
        <v>37</v>
      </c>
      <c r="F823" s="10" t="s">
        <v>16</v>
      </c>
      <c r="G823" s="10" t="s">
        <v>202</v>
      </c>
      <c r="H823" s="10" t="s">
        <v>2023</v>
      </c>
      <c r="I823" s="10" t="s">
        <v>1997</v>
      </c>
      <c r="J823" s="11">
        <v>899949762</v>
      </c>
      <c r="K823" s="11"/>
      <c r="L823" s="10" t="s">
        <v>2024</v>
      </c>
      <c r="M823" s="10" t="s">
        <v>93</v>
      </c>
      <c r="N823" s="10" t="s">
        <v>155</v>
      </c>
      <c r="O823" s="10">
        <v>2006</v>
      </c>
      <c r="P823" s="8" t="s">
        <v>1120</v>
      </c>
      <c r="Q823" s="12"/>
    </row>
    <row r="824" spans="1:17" x14ac:dyDescent="0.2">
      <c r="A824">
        <f t="shared" si="12"/>
        <v>1704006</v>
      </c>
      <c r="B824" s="7" t="s">
        <v>2798</v>
      </c>
      <c r="C824" s="8"/>
      <c r="D824" s="8"/>
      <c r="E824" s="9" t="s">
        <v>37</v>
      </c>
      <c r="F824" s="10" t="s">
        <v>159</v>
      </c>
      <c r="G824" s="10" t="s">
        <v>40</v>
      </c>
      <c r="H824" s="10" t="s">
        <v>3684</v>
      </c>
      <c r="I824" s="10" t="s">
        <v>233</v>
      </c>
      <c r="J824" s="11">
        <v>875602663</v>
      </c>
      <c r="K824" s="11"/>
      <c r="L824" s="10" t="s">
        <v>1937</v>
      </c>
      <c r="M824" s="10" t="s">
        <v>47</v>
      </c>
      <c r="N824" s="10" t="s">
        <v>48</v>
      </c>
      <c r="O824" s="10"/>
      <c r="P824" s="8"/>
      <c r="Q824" s="12"/>
    </row>
    <row r="825" spans="1:17" x14ac:dyDescent="0.2">
      <c r="A825">
        <f t="shared" si="12"/>
        <v>1704007</v>
      </c>
      <c r="B825" s="7" t="s">
        <v>2799</v>
      </c>
      <c r="C825" s="8"/>
      <c r="D825" s="8"/>
      <c r="E825" s="9" t="s">
        <v>37</v>
      </c>
      <c r="F825" s="10" t="s">
        <v>16</v>
      </c>
      <c r="G825" s="10" t="s">
        <v>207</v>
      </c>
      <c r="H825" s="10" t="s">
        <v>1363</v>
      </c>
      <c r="I825" s="10" t="s">
        <v>233</v>
      </c>
      <c r="J825" s="11">
        <v>634379229</v>
      </c>
      <c r="K825" s="11">
        <v>877160359</v>
      </c>
      <c r="L825" s="10" t="s">
        <v>1365</v>
      </c>
      <c r="M825" s="10" t="s">
        <v>42</v>
      </c>
      <c r="N825" s="10" t="s">
        <v>3685</v>
      </c>
      <c r="O825" s="10">
        <v>2013</v>
      </c>
      <c r="P825" s="8" t="s">
        <v>1120</v>
      </c>
      <c r="Q825" s="12"/>
    </row>
    <row r="826" spans="1:17" x14ac:dyDescent="0.2">
      <c r="A826">
        <f t="shared" si="12"/>
        <v>1704008</v>
      </c>
      <c r="B826" s="7" t="s">
        <v>2800</v>
      </c>
      <c r="C826" s="8"/>
      <c r="D826" s="8"/>
      <c r="E826" s="9" t="s">
        <v>37</v>
      </c>
      <c r="F826" s="10" t="s">
        <v>16</v>
      </c>
      <c r="G826" s="10" t="s">
        <v>231</v>
      </c>
      <c r="H826" s="10" t="s">
        <v>901</v>
      </c>
      <c r="I826" s="10" t="s">
        <v>233</v>
      </c>
      <c r="J826" s="11">
        <v>896615154</v>
      </c>
      <c r="K826" s="11"/>
      <c r="L826" s="10" t="s">
        <v>902</v>
      </c>
      <c r="M826" s="10" t="s">
        <v>42</v>
      </c>
      <c r="N826" s="10" t="s">
        <v>494</v>
      </c>
      <c r="O826" s="10">
        <v>2013</v>
      </c>
      <c r="P826" s="8">
        <v>42830</v>
      </c>
      <c r="Q826" s="12" t="s">
        <v>531</v>
      </c>
    </row>
    <row r="827" spans="1:17" x14ac:dyDescent="0.2">
      <c r="A827">
        <f t="shared" si="12"/>
        <v>1704009</v>
      </c>
      <c r="B827" s="7" t="s">
        <v>2801</v>
      </c>
      <c r="C827" s="8"/>
      <c r="D827" s="8"/>
      <c r="E827" s="9" t="s">
        <v>37</v>
      </c>
      <c r="F827" s="10" t="s">
        <v>16</v>
      </c>
      <c r="G827" s="10" t="s">
        <v>202</v>
      </c>
      <c r="H827" s="10" t="s">
        <v>3686</v>
      </c>
      <c r="I827" s="10" t="s">
        <v>286</v>
      </c>
      <c r="J827" s="11">
        <v>926619248</v>
      </c>
      <c r="K827" s="11"/>
      <c r="L827" s="10" t="s">
        <v>3687</v>
      </c>
      <c r="M827" s="10" t="s">
        <v>47</v>
      </c>
      <c r="N827" s="10" t="s">
        <v>78</v>
      </c>
      <c r="O827" s="10">
        <v>2013</v>
      </c>
      <c r="P827" s="8">
        <v>42867</v>
      </c>
      <c r="Q827" s="12" t="s">
        <v>489</v>
      </c>
    </row>
    <row r="828" spans="1:17" x14ac:dyDescent="0.2">
      <c r="A828">
        <f t="shared" si="12"/>
        <v>1704010</v>
      </c>
      <c r="B828" s="7" t="s">
        <v>2802</v>
      </c>
      <c r="C828" s="8"/>
      <c r="D828" s="8"/>
      <c r="E828" s="9" t="s">
        <v>37</v>
      </c>
      <c r="F828" s="10" t="s">
        <v>16</v>
      </c>
      <c r="G828" s="10" t="s">
        <v>196</v>
      </c>
      <c r="H828" s="10" t="s">
        <v>3688</v>
      </c>
      <c r="I828" s="10" t="s">
        <v>263</v>
      </c>
      <c r="J828" s="11">
        <v>891294514</v>
      </c>
      <c r="K828" s="11"/>
      <c r="L828" s="10" t="s">
        <v>3689</v>
      </c>
      <c r="M828" s="10" t="s">
        <v>126</v>
      </c>
      <c r="N828" s="10" t="s">
        <v>127</v>
      </c>
      <c r="O828" s="10">
        <v>2006</v>
      </c>
      <c r="P828" s="8">
        <v>43144</v>
      </c>
      <c r="Q828" s="12" t="s">
        <v>217</v>
      </c>
    </row>
    <row r="829" spans="1:17" x14ac:dyDescent="0.2">
      <c r="A829">
        <f t="shared" si="12"/>
        <v>1704011</v>
      </c>
      <c r="B829" s="7" t="s">
        <v>2803</v>
      </c>
      <c r="C829" s="8"/>
      <c r="D829" s="8"/>
      <c r="E829" s="9" t="s">
        <v>37</v>
      </c>
      <c r="F829" s="10" t="s">
        <v>16</v>
      </c>
      <c r="G829" s="10" t="s">
        <v>225</v>
      </c>
      <c r="H829" s="10" t="s">
        <v>3690</v>
      </c>
      <c r="I829" s="10" t="s">
        <v>286</v>
      </c>
      <c r="J829" s="11">
        <v>948540143</v>
      </c>
      <c r="K829" s="11">
        <v>81786701</v>
      </c>
      <c r="L829" s="10" t="s">
        <v>3691</v>
      </c>
      <c r="M829" s="10" t="s">
        <v>54</v>
      </c>
      <c r="N829" s="10" t="s">
        <v>72</v>
      </c>
      <c r="O829" s="10">
        <v>2015</v>
      </c>
      <c r="P829" s="8">
        <v>43058</v>
      </c>
      <c r="Q829" s="12" t="s">
        <v>260</v>
      </c>
    </row>
    <row r="830" spans="1:17" x14ac:dyDescent="0.2">
      <c r="A830">
        <f t="shared" si="12"/>
        <v>1704012</v>
      </c>
      <c r="B830" s="7" t="s">
        <v>2804</v>
      </c>
      <c r="C830" s="8"/>
      <c r="D830" s="8"/>
      <c r="E830" s="9" t="s">
        <v>37</v>
      </c>
      <c r="F830" s="10" t="s">
        <v>16</v>
      </c>
      <c r="G830" s="10" t="s">
        <v>207</v>
      </c>
      <c r="H830" s="10" t="s">
        <v>3692</v>
      </c>
      <c r="I830" s="10" t="s">
        <v>625</v>
      </c>
      <c r="J830" s="11">
        <v>982654251</v>
      </c>
      <c r="K830" s="11"/>
      <c r="L830" s="10" t="s">
        <v>3693</v>
      </c>
      <c r="M830" s="10" t="s">
        <v>47</v>
      </c>
      <c r="N830" s="10" t="s">
        <v>78</v>
      </c>
      <c r="O830" s="10">
        <v>2006</v>
      </c>
      <c r="P830" s="8" t="s">
        <v>44</v>
      </c>
      <c r="Q830" s="12" t="s">
        <v>44</v>
      </c>
    </row>
    <row r="831" spans="1:17" x14ac:dyDescent="0.2">
      <c r="A831">
        <f t="shared" si="12"/>
        <v>1704013</v>
      </c>
      <c r="B831" s="7" t="s">
        <v>2805</v>
      </c>
      <c r="C831" s="8"/>
      <c r="D831" s="8"/>
      <c r="E831" s="9" t="s">
        <v>37</v>
      </c>
      <c r="F831" s="10" t="s">
        <v>16</v>
      </c>
      <c r="G831" s="10" t="s">
        <v>202</v>
      </c>
      <c r="H831" s="10" t="s">
        <v>2025</v>
      </c>
      <c r="I831" s="10" t="s">
        <v>263</v>
      </c>
      <c r="J831" s="11">
        <v>802082525</v>
      </c>
      <c r="K831" s="11"/>
      <c r="L831" s="10" t="s">
        <v>2026</v>
      </c>
      <c r="M831" s="10" t="s">
        <v>87</v>
      </c>
      <c r="N831" s="10">
        <v>2</v>
      </c>
      <c r="O831" s="10">
        <v>2011</v>
      </c>
      <c r="P831" s="8">
        <v>42882</v>
      </c>
      <c r="Q831" s="12" t="s">
        <v>540</v>
      </c>
    </row>
    <row r="832" spans="1:17" x14ac:dyDescent="0.2">
      <c r="A832">
        <f t="shared" si="12"/>
        <v>1704014</v>
      </c>
      <c r="B832" s="7" t="s">
        <v>2806</v>
      </c>
      <c r="C832" s="8"/>
      <c r="D832" s="8"/>
      <c r="E832" s="9" t="s">
        <v>37</v>
      </c>
      <c r="F832" s="10" t="s">
        <v>16</v>
      </c>
      <c r="G832" s="10" t="s">
        <v>207</v>
      </c>
      <c r="H832" s="10" t="s">
        <v>3694</v>
      </c>
      <c r="I832" s="10" t="s">
        <v>44</v>
      </c>
      <c r="J832" s="11">
        <v>852445206</v>
      </c>
      <c r="K832" s="11"/>
      <c r="L832" s="10" t="s">
        <v>3695</v>
      </c>
      <c r="M832" s="10" t="s">
        <v>87</v>
      </c>
      <c r="N832" s="10">
        <v>2</v>
      </c>
      <c r="O832" s="10">
        <v>2013</v>
      </c>
      <c r="P832" s="8">
        <v>43015</v>
      </c>
      <c r="Q832" s="12" t="s">
        <v>217</v>
      </c>
    </row>
    <row r="833" spans="1:17" x14ac:dyDescent="0.2">
      <c r="A833">
        <f t="shared" si="12"/>
        <v>1704015</v>
      </c>
      <c r="B833" s="7" t="s">
        <v>2807</v>
      </c>
      <c r="C833" s="8"/>
      <c r="D833" s="8"/>
      <c r="E833" s="9" t="s">
        <v>37</v>
      </c>
      <c r="F833" s="10" t="s">
        <v>16</v>
      </c>
      <c r="G833" s="10" t="s">
        <v>231</v>
      </c>
      <c r="H833" s="10" t="s">
        <v>3696</v>
      </c>
      <c r="I833" s="10" t="s">
        <v>243</v>
      </c>
      <c r="J833" s="11">
        <v>865499460</v>
      </c>
      <c r="K833" s="11"/>
      <c r="L833" s="10" t="s">
        <v>3697</v>
      </c>
      <c r="M833" s="10" t="s">
        <v>42</v>
      </c>
      <c r="N833" s="10" t="s">
        <v>778</v>
      </c>
      <c r="O833" s="10">
        <v>2005</v>
      </c>
      <c r="P833" s="8">
        <v>42789</v>
      </c>
      <c r="Q833" s="12" t="s">
        <v>251</v>
      </c>
    </row>
    <row r="834" spans="1:17" x14ac:dyDescent="0.2">
      <c r="A834">
        <f t="shared" si="12"/>
        <v>1704016</v>
      </c>
      <c r="B834" s="7" t="s">
        <v>2808</v>
      </c>
      <c r="C834" s="8"/>
      <c r="D834" s="8"/>
      <c r="E834" s="9" t="s">
        <v>37</v>
      </c>
      <c r="F834" s="10" t="s">
        <v>16</v>
      </c>
      <c r="G834" s="10" t="s">
        <v>207</v>
      </c>
      <c r="H834" s="10" t="s">
        <v>3698</v>
      </c>
      <c r="I834" s="10" t="s">
        <v>305</v>
      </c>
      <c r="J834" s="11">
        <v>851141638</v>
      </c>
      <c r="K834" s="11"/>
      <c r="L834" s="10" t="s">
        <v>349</v>
      </c>
      <c r="M834" s="10" t="s">
        <v>58</v>
      </c>
      <c r="N834" s="10" t="s">
        <v>717</v>
      </c>
      <c r="O834" s="10">
        <v>2011</v>
      </c>
      <c r="P834" s="8">
        <v>43055</v>
      </c>
      <c r="Q834" s="12" t="s">
        <v>1128</v>
      </c>
    </row>
    <row r="835" spans="1:17" x14ac:dyDescent="0.2">
      <c r="A835">
        <f t="shared" si="12"/>
        <v>1704017</v>
      </c>
      <c r="B835" s="7" t="s">
        <v>2809</v>
      </c>
      <c r="C835" s="8"/>
      <c r="D835" s="8"/>
      <c r="E835" s="9" t="s">
        <v>37</v>
      </c>
      <c r="F835" s="10" t="s">
        <v>159</v>
      </c>
      <c r="G835" s="10" t="s">
        <v>40</v>
      </c>
      <c r="H835" s="10" t="s">
        <v>3699</v>
      </c>
      <c r="I835" s="10"/>
      <c r="J835" s="11">
        <v>952510084</v>
      </c>
      <c r="K835" s="11"/>
      <c r="L835" s="10" t="s">
        <v>3700</v>
      </c>
      <c r="M835" s="10" t="s">
        <v>42</v>
      </c>
      <c r="N835" s="10" t="s">
        <v>75</v>
      </c>
      <c r="O835" s="10"/>
      <c r="P835" s="8"/>
      <c r="Q835" s="12"/>
    </row>
    <row r="836" spans="1:17" x14ac:dyDescent="0.2">
      <c r="A836">
        <f t="shared" ref="A836:A899" si="13">VALUE(B836)</f>
        <v>1704018</v>
      </c>
      <c r="B836" s="7" t="s">
        <v>2810</v>
      </c>
      <c r="C836" s="8"/>
      <c r="D836" s="8"/>
      <c r="E836" s="9" t="s">
        <v>37</v>
      </c>
      <c r="F836" s="10" t="s">
        <v>16</v>
      </c>
      <c r="G836" s="10" t="s">
        <v>202</v>
      </c>
      <c r="H836" s="10" t="s">
        <v>3701</v>
      </c>
      <c r="I836" s="10" t="s">
        <v>577</v>
      </c>
      <c r="J836" s="11">
        <v>812952876</v>
      </c>
      <c r="K836" s="11"/>
      <c r="L836" s="10" t="s">
        <v>3702</v>
      </c>
      <c r="M836" s="10" t="s">
        <v>47</v>
      </c>
      <c r="N836" s="10" t="s">
        <v>51</v>
      </c>
      <c r="O836" s="10">
        <v>2004</v>
      </c>
      <c r="P836" s="8">
        <v>43037</v>
      </c>
      <c r="Q836" s="12" t="s">
        <v>301</v>
      </c>
    </row>
    <row r="837" spans="1:17" x14ac:dyDescent="0.2">
      <c r="A837">
        <f t="shared" si="13"/>
        <v>1704019</v>
      </c>
      <c r="B837" s="7" t="s">
        <v>2811</v>
      </c>
      <c r="C837" s="8"/>
      <c r="D837" s="8"/>
      <c r="E837" s="9" t="s">
        <v>37</v>
      </c>
      <c r="F837" s="10" t="s">
        <v>16</v>
      </c>
      <c r="G837" s="10" t="s">
        <v>196</v>
      </c>
      <c r="H837" s="10" t="s">
        <v>3703</v>
      </c>
      <c r="I837" s="10" t="s">
        <v>625</v>
      </c>
      <c r="J837" s="11">
        <v>870740586</v>
      </c>
      <c r="K837" s="11"/>
      <c r="L837" s="10" t="s">
        <v>3704</v>
      </c>
      <c r="M837" s="10" t="s">
        <v>58</v>
      </c>
      <c r="N837" s="10" t="s">
        <v>414</v>
      </c>
      <c r="O837" s="10">
        <v>2015</v>
      </c>
      <c r="P837" s="8">
        <v>43144</v>
      </c>
      <c r="Q837" s="12" t="s">
        <v>2027</v>
      </c>
    </row>
    <row r="838" spans="1:17" x14ac:dyDescent="0.2">
      <c r="A838">
        <f t="shared" si="13"/>
        <v>1704020</v>
      </c>
      <c r="B838" s="7" t="s">
        <v>2812</v>
      </c>
      <c r="C838" s="8"/>
      <c r="D838" s="8"/>
      <c r="E838" s="9" t="s">
        <v>37</v>
      </c>
      <c r="F838" s="10" t="s">
        <v>159</v>
      </c>
      <c r="G838" s="10" t="s">
        <v>40</v>
      </c>
      <c r="H838" s="10"/>
      <c r="I838" s="10"/>
      <c r="J838" s="11"/>
      <c r="K838" s="11"/>
      <c r="L838" s="10" t="s">
        <v>3705</v>
      </c>
      <c r="M838" s="10" t="s">
        <v>47</v>
      </c>
      <c r="N838" s="10" t="s">
        <v>3399</v>
      </c>
      <c r="O838" s="10"/>
      <c r="P838" s="8"/>
      <c r="Q838" s="12"/>
    </row>
    <row r="839" spans="1:17" x14ac:dyDescent="0.2">
      <c r="A839">
        <f t="shared" si="13"/>
        <v>1704021</v>
      </c>
      <c r="B839" s="7" t="s">
        <v>2813</v>
      </c>
      <c r="C839" s="8"/>
      <c r="D839" s="8"/>
      <c r="E839" s="9" t="s">
        <v>37</v>
      </c>
      <c r="F839" s="10" t="s">
        <v>16</v>
      </c>
      <c r="G839" s="10" t="s">
        <v>207</v>
      </c>
      <c r="H839" s="10" t="s">
        <v>3706</v>
      </c>
      <c r="I839" s="10"/>
      <c r="J839" s="11">
        <v>829187896</v>
      </c>
      <c r="K839" s="11">
        <v>992944098</v>
      </c>
      <c r="L839" s="10" t="s">
        <v>3707</v>
      </c>
      <c r="M839" s="10" t="s">
        <v>42</v>
      </c>
      <c r="N839" s="10" t="s">
        <v>75</v>
      </c>
      <c r="O839" s="10">
        <v>2013</v>
      </c>
      <c r="P839" s="8">
        <v>42871</v>
      </c>
      <c r="Q839" s="12" t="s">
        <v>419</v>
      </c>
    </row>
    <row r="840" spans="1:17" x14ac:dyDescent="0.2">
      <c r="A840">
        <f t="shared" si="13"/>
        <v>1704022</v>
      </c>
      <c r="B840" s="7" t="s">
        <v>2814</v>
      </c>
      <c r="C840" s="8"/>
      <c r="D840" s="8"/>
      <c r="E840" s="9" t="s">
        <v>37</v>
      </c>
      <c r="F840" s="10" t="s">
        <v>16</v>
      </c>
      <c r="G840" s="10" t="s">
        <v>231</v>
      </c>
      <c r="H840" s="10" t="s">
        <v>3708</v>
      </c>
      <c r="I840" s="10" t="s">
        <v>233</v>
      </c>
      <c r="J840" s="11">
        <v>913763941</v>
      </c>
      <c r="K840" s="11"/>
      <c r="L840" s="10" t="s">
        <v>3709</v>
      </c>
      <c r="M840" s="10" t="s">
        <v>42</v>
      </c>
      <c r="N840" s="10" t="s">
        <v>75</v>
      </c>
      <c r="O840" s="10">
        <v>2002</v>
      </c>
      <c r="P840" s="8">
        <v>42874</v>
      </c>
      <c r="Q840" s="12" t="s">
        <v>1953</v>
      </c>
    </row>
    <row r="841" spans="1:17" x14ac:dyDescent="0.2">
      <c r="A841">
        <f t="shared" si="13"/>
        <v>1704023</v>
      </c>
      <c r="B841" s="7" t="s">
        <v>2815</v>
      </c>
      <c r="C841" s="8"/>
      <c r="D841" s="8"/>
      <c r="E841" s="9" t="s">
        <v>37</v>
      </c>
      <c r="F841" s="10" t="s">
        <v>16</v>
      </c>
      <c r="G841" s="10" t="s">
        <v>202</v>
      </c>
      <c r="H841" s="10" t="s">
        <v>3710</v>
      </c>
      <c r="I841" s="10"/>
      <c r="J841" s="11">
        <v>985359442</v>
      </c>
      <c r="K841" s="11"/>
      <c r="L841" s="10" t="s">
        <v>3711</v>
      </c>
      <c r="M841" s="10" t="s">
        <v>54</v>
      </c>
      <c r="N841" s="10" t="s">
        <v>837</v>
      </c>
      <c r="O841" s="10">
        <v>2010</v>
      </c>
      <c r="P841" s="8">
        <v>42911</v>
      </c>
      <c r="Q841" s="12" t="s">
        <v>374</v>
      </c>
    </row>
    <row r="842" spans="1:17" x14ac:dyDescent="0.2">
      <c r="A842">
        <f t="shared" si="13"/>
        <v>1704024</v>
      </c>
      <c r="B842" s="7" t="s">
        <v>2816</v>
      </c>
      <c r="C842" s="8"/>
      <c r="D842" s="8"/>
      <c r="E842" s="9" t="s">
        <v>37</v>
      </c>
      <c r="F842" s="10" t="s">
        <v>16</v>
      </c>
      <c r="G842" s="10" t="s">
        <v>196</v>
      </c>
      <c r="H842" s="10" t="s">
        <v>3712</v>
      </c>
      <c r="I842" s="10" t="s">
        <v>286</v>
      </c>
      <c r="J842" s="11">
        <v>987896039</v>
      </c>
      <c r="K842" s="11">
        <v>871242094</v>
      </c>
      <c r="L842" s="10" t="s">
        <v>3713</v>
      </c>
      <c r="M842" s="10" t="s">
        <v>47</v>
      </c>
      <c r="N842" s="10" t="s">
        <v>106</v>
      </c>
      <c r="O842" s="10">
        <v>2015</v>
      </c>
      <c r="P842" s="8">
        <v>43007</v>
      </c>
      <c r="Q842" s="12" t="s">
        <v>1758</v>
      </c>
    </row>
    <row r="843" spans="1:17" x14ac:dyDescent="0.2">
      <c r="A843">
        <f t="shared" si="13"/>
        <v>1704025</v>
      </c>
      <c r="B843" s="7" t="s">
        <v>2817</v>
      </c>
      <c r="C843" s="8"/>
      <c r="D843" s="8"/>
      <c r="E843" s="9" t="s">
        <v>37</v>
      </c>
      <c r="F843" s="10" t="s">
        <v>16</v>
      </c>
      <c r="G843" s="10" t="s">
        <v>207</v>
      </c>
      <c r="H843" s="10" t="s">
        <v>3714</v>
      </c>
      <c r="I843" s="10" t="s">
        <v>233</v>
      </c>
      <c r="J843" s="11">
        <v>860050828</v>
      </c>
      <c r="K843" s="11"/>
      <c r="L843" s="10" t="s">
        <v>3715</v>
      </c>
      <c r="M843" s="10" t="s">
        <v>54</v>
      </c>
      <c r="N843" s="10" t="s">
        <v>873</v>
      </c>
      <c r="O843" s="10">
        <v>1996</v>
      </c>
      <c r="P843" s="8">
        <v>43184</v>
      </c>
      <c r="Q843" s="12" t="s">
        <v>844</v>
      </c>
    </row>
    <row r="844" spans="1:17" x14ac:dyDescent="0.2">
      <c r="A844">
        <f t="shared" si="13"/>
        <v>1704026</v>
      </c>
      <c r="B844" s="7" t="s">
        <v>2818</v>
      </c>
      <c r="C844" s="8"/>
      <c r="D844" s="8"/>
      <c r="E844" s="9" t="s">
        <v>37</v>
      </c>
      <c r="F844" s="10" t="s">
        <v>16</v>
      </c>
      <c r="G844" s="10" t="s">
        <v>202</v>
      </c>
      <c r="H844" s="10" t="s">
        <v>3716</v>
      </c>
      <c r="I844" s="10" t="s">
        <v>305</v>
      </c>
      <c r="J844" s="11">
        <v>839099817</v>
      </c>
      <c r="K844" s="11"/>
      <c r="L844" s="10" t="s">
        <v>3717</v>
      </c>
      <c r="M844" s="10" t="s">
        <v>47</v>
      </c>
      <c r="N844" s="10" t="s">
        <v>106</v>
      </c>
      <c r="O844" s="10">
        <v>2006</v>
      </c>
      <c r="P844" s="8">
        <v>43164</v>
      </c>
      <c r="Q844" s="12" t="s">
        <v>236</v>
      </c>
    </row>
    <row r="845" spans="1:17" x14ac:dyDescent="0.2">
      <c r="A845">
        <f t="shared" si="13"/>
        <v>1704027</v>
      </c>
      <c r="B845" s="7" t="s">
        <v>2819</v>
      </c>
      <c r="C845" s="8"/>
      <c r="D845" s="8"/>
      <c r="E845" s="9" t="s">
        <v>37</v>
      </c>
      <c r="F845" s="10" t="s">
        <v>16</v>
      </c>
      <c r="G845" s="10" t="s">
        <v>202</v>
      </c>
      <c r="H845" s="10" t="s">
        <v>3718</v>
      </c>
      <c r="I845" s="10" t="s">
        <v>254</v>
      </c>
      <c r="J845" s="11">
        <v>825862713</v>
      </c>
      <c r="K845" s="11">
        <v>995759039</v>
      </c>
      <c r="L845" s="10" t="s">
        <v>3719</v>
      </c>
      <c r="M845" s="10" t="s">
        <v>54</v>
      </c>
      <c r="N845" s="10" t="s">
        <v>873</v>
      </c>
      <c r="O845" s="10"/>
      <c r="P845" s="8" t="s">
        <v>3720</v>
      </c>
      <c r="Q845" s="12"/>
    </row>
    <row r="846" spans="1:17" x14ac:dyDescent="0.2">
      <c r="A846">
        <f t="shared" si="13"/>
        <v>1704028</v>
      </c>
      <c r="B846" s="7" t="s">
        <v>2820</v>
      </c>
      <c r="C846" s="8"/>
      <c r="D846" s="8"/>
      <c r="E846" s="9" t="s">
        <v>37</v>
      </c>
      <c r="F846" s="10" t="s">
        <v>16</v>
      </c>
      <c r="G846" s="10" t="s">
        <v>196</v>
      </c>
      <c r="H846" s="10" t="s">
        <v>3721</v>
      </c>
      <c r="I846" s="10"/>
      <c r="J846" s="11">
        <v>949587158</v>
      </c>
      <c r="K846" s="11"/>
      <c r="L846" s="10" t="s">
        <v>3722</v>
      </c>
      <c r="M846" s="10" t="s">
        <v>109</v>
      </c>
      <c r="N846" s="10" t="s">
        <v>1194</v>
      </c>
      <c r="O846" s="10">
        <v>2008</v>
      </c>
      <c r="P846" s="8">
        <v>42954</v>
      </c>
      <c r="Q846" s="12" t="s">
        <v>229</v>
      </c>
    </row>
    <row r="847" spans="1:17" x14ac:dyDescent="0.2">
      <c r="A847">
        <f t="shared" si="13"/>
        <v>1704029</v>
      </c>
      <c r="B847" s="7" t="s">
        <v>2821</v>
      </c>
      <c r="C847" s="8"/>
      <c r="D847" s="8"/>
      <c r="E847" s="9" t="s">
        <v>37</v>
      </c>
      <c r="F847" s="10" t="s">
        <v>16</v>
      </c>
      <c r="G847" s="10" t="s">
        <v>202</v>
      </c>
      <c r="H847" s="10" t="s">
        <v>3723</v>
      </c>
      <c r="I847" s="10" t="s">
        <v>492</v>
      </c>
      <c r="J847" s="11">
        <v>818205541</v>
      </c>
      <c r="K847" s="11"/>
      <c r="L847" s="10" t="s">
        <v>3724</v>
      </c>
      <c r="M847" s="10" t="s">
        <v>87</v>
      </c>
      <c r="N847" s="10">
        <v>3</v>
      </c>
      <c r="O847" s="10">
        <v>2010</v>
      </c>
      <c r="P847" s="8">
        <v>42750</v>
      </c>
      <c r="Q847" s="12" t="s">
        <v>540</v>
      </c>
    </row>
    <row r="848" spans="1:17" x14ac:dyDescent="0.2">
      <c r="A848">
        <f t="shared" si="13"/>
        <v>1704030</v>
      </c>
      <c r="B848" s="7" t="s">
        <v>2822</v>
      </c>
      <c r="C848" s="8"/>
      <c r="D848" s="8"/>
      <c r="E848" s="9" t="s">
        <v>37</v>
      </c>
      <c r="F848" s="10" t="s">
        <v>16</v>
      </c>
      <c r="G848" s="10" t="s">
        <v>1729</v>
      </c>
      <c r="H848" s="10" t="s">
        <v>1600</v>
      </c>
      <c r="I848" s="10" t="s">
        <v>1601</v>
      </c>
      <c r="J848" s="11">
        <v>800238465</v>
      </c>
      <c r="K848" s="11"/>
      <c r="L848" s="10" t="s">
        <v>1602</v>
      </c>
      <c r="M848" s="10" t="s">
        <v>47</v>
      </c>
      <c r="N848" s="10" t="s">
        <v>51</v>
      </c>
      <c r="O848" s="10">
        <v>2013</v>
      </c>
      <c r="P848" s="8">
        <v>42851</v>
      </c>
      <c r="Q848" s="12" t="s">
        <v>251</v>
      </c>
    </row>
    <row r="849" spans="1:17" x14ac:dyDescent="0.2">
      <c r="A849">
        <f t="shared" si="13"/>
        <v>1704031</v>
      </c>
      <c r="B849" s="7" t="s">
        <v>2823</v>
      </c>
      <c r="C849" s="8"/>
      <c r="D849" s="8"/>
      <c r="E849" s="9" t="s">
        <v>37</v>
      </c>
      <c r="F849" s="10" t="s">
        <v>16</v>
      </c>
      <c r="G849" s="10" t="s">
        <v>196</v>
      </c>
      <c r="H849" s="10" t="s">
        <v>3725</v>
      </c>
      <c r="I849" s="10" t="s">
        <v>233</v>
      </c>
      <c r="J849" s="11">
        <v>814422094</v>
      </c>
      <c r="K849" s="11"/>
      <c r="L849" s="10" t="s">
        <v>3726</v>
      </c>
      <c r="M849" s="10" t="s">
        <v>47</v>
      </c>
      <c r="N849" s="10" t="s">
        <v>106</v>
      </c>
      <c r="O849" s="10">
        <v>2010</v>
      </c>
      <c r="P849" s="8" t="s">
        <v>217</v>
      </c>
      <c r="Q849" s="12"/>
    </row>
    <row r="850" spans="1:17" x14ac:dyDescent="0.2">
      <c r="A850">
        <f t="shared" si="13"/>
        <v>1704032</v>
      </c>
      <c r="B850" s="7" t="s">
        <v>2824</v>
      </c>
      <c r="C850" s="8"/>
      <c r="D850" s="8"/>
      <c r="E850" s="9" t="s">
        <v>37</v>
      </c>
      <c r="F850" s="10" t="s">
        <v>16</v>
      </c>
      <c r="G850" s="10" t="s">
        <v>202</v>
      </c>
      <c r="H850" s="10" t="s">
        <v>2028</v>
      </c>
      <c r="I850" s="10" t="s">
        <v>233</v>
      </c>
      <c r="J850" s="11">
        <v>931732833</v>
      </c>
      <c r="K850" s="11">
        <v>830235820</v>
      </c>
      <c r="L850" s="10" t="s">
        <v>2029</v>
      </c>
      <c r="M850" s="10" t="s">
        <v>47</v>
      </c>
      <c r="N850" s="10" t="s">
        <v>212</v>
      </c>
      <c r="O850" s="10">
        <v>2013</v>
      </c>
      <c r="P850" s="8">
        <v>43133</v>
      </c>
      <c r="Q850" s="12" t="s">
        <v>217</v>
      </c>
    </row>
    <row r="851" spans="1:17" x14ac:dyDescent="0.2">
      <c r="A851">
        <f t="shared" si="13"/>
        <v>1704033</v>
      </c>
      <c r="B851" s="7" t="s">
        <v>2825</v>
      </c>
      <c r="C851" s="8"/>
      <c r="D851" s="8"/>
      <c r="E851" s="9" t="s">
        <v>37</v>
      </c>
      <c r="F851" s="10" t="s">
        <v>16</v>
      </c>
      <c r="G851" s="10" t="s">
        <v>207</v>
      </c>
      <c r="H851" s="10" t="s">
        <v>3727</v>
      </c>
      <c r="I851" s="10" t="s">
        <v>243</v>
      </c>
      <c r="J851" s="11">
        <v>802979699</v>
      </c>
      <c r="K851" s="11">
        <v>27076402</v>
      </c>
      <c r="L851" s="10" t="s">
        <v>3728</v>
      </c>
      <c r="M851" s="10" t="s">
        <v>58</v>
      </c>
      <c r="N851" s="10" t="s">
        <v>717</v>
      </c>
      <c r="O851" s="10">
        <v>2013</v>
      </c>
      <c r="P851" s="8">
        <v>42825</v>
      </c>
      <c r="Q851" s="12" t="s">
        <v>634</v>
      </c>
    </row>
    <row r="852" spans="1:17" x14ac:dyDescent="0.2">
      <c r="A852">
        <f t="shared" si="13"/>
        <v>1704034</v>
      </c>
      <c r="B852" s="7" t="s">
        <v>2826</v>
      </c>
      <c r="C852" s="8"/>
      <c r="D852" s="8"/>
      <c r="E852" s="9" t="s">
        <v>37</v>
      </c>
      <c r="F852" s="10" t="s">
        <v>16</v>
      </c>
      <c r="G852" s="10" t="s">
        <v>207</v>
      </c>
      <c r="H852" s="10" t="s">
        <v>3729</v>
      </c>
      <c r="I852" s="10" t="s">
        <v>271</v>
      </c>
      <c r="J852" s="11">
        <v>987099355</v>
      </c>
      <c r="K852" s="11">
        <v>931231373</v>
      </c>
      <c r="L852" s="10" t="s">
        <v>3730</v>
      </c>
      <c r="M852" s="10" t="s">
        <v>47</v>
      </c>
      <c r="N852" s="10" t="s">
        <v>106</v>
      </c>
      <c r="O852" s="10">
        <v>2014</v>
      </c>
      <c r="P852" s="8">
        <v>42874</v>
      </c>
      <c r="Q852" s="12" t="s">
        <v>217</v>
      </c>
    </row>
    <row r="853" spans="1:17" x14ac:dyDescent="0.2">
      <c r="A853">
        <f t="shared" si="13"/>
        <v>1704035</v>
      </c>
      <c r="B853" s="7" t="s">
        <v>2827</v>
      </c>
      <c r="C853" s="8"/>
      <c r="D853" s="8"/>
      <c r="E853" s="9" t="s">
        <v>37</v>
      </c>
      <c r="F853" s="10" t="s">
        <v>16</v>
      </c>
      <c r="G853" s="10" t="s">
        <v>225</v>
      </c>
      <c r="H853" s="10" t="s">
        <v>3731</v>
      </c>
      <c r="I853" s="10" t="s">
        <v>3568</v>
      </c>
      <c r="J853" s="11">
        <v>841299978</v>
      </c>
      <c r="K853" s="11"/>
      <c r="L853" s="10" t="s">
        <v>3732</v>
      </c>
      <c r="M853" s="10" t="s">
        <v>58</v>
      </c>
      <c r="N853" s="10" t="s">
        <v>435</v>
      </c>
      <c r="O853" s="10">
        <v>2009</v>
      </c>
      <c r="P853" s="8">
        <v>42906</v>
      </c>
      <c r="Q853" s="12" t="s">
        <v>540</v>
      </c>
    </row>
    <row r="854" spans="1:17" x14ac:dyDescent="0.2">
      <c r="A854">
        <f t="shared" si="13"/>
        <v>1704036</v>
      </c>
      <c r="B854" s="7" t="s">
        <v>2828</v>
      </c>
      <c r="C854" s="8"/>
      <c r="D854" s="8"/>
      <c r="E854" s="9" t="s">
        <v>37</v>
      </c>
      <c r="F854" s="10" t="s">
        <v>16</v>
      </c>
      <c r="G854" s="10" t="s">
        <v>225</v>
      </c>
      <c r="H854" s="10" t="s">
        <v>3733</v>
      </c>
      <c r="I854" s="10" t="s">
        <v>254</v>
      </c>
      <c r="J854" s="11">
        <v>984404726</v>
      </c>
      <c r="K854" s="11">
        <v>823405191</v>
      </c>
      <c r="L854" s="10" t="s">
        <v>3734</v>
      </c>
      <c r="M854" s="10" t="s">
        <v>54</v>
      </c>
      <c r="N854" s="10" t="s">
        <v>3735</v>
      </c>
      <c r="O854" s="10">
        <v>2003</v>
      </c>
      <c r="P854" s="8">
        <v>42684</v>
      </c>
      <c r="Q854" s="12" t="s">
        <v>2044</v>
      </c>
    </row>
    <row r="855" spans="1:17" x14ac:dyDescent="0.2">
      <c r="A855">
        <f t="shared" si="13"/>
        <v>1704037</v>
      </c>
      <c r="B855" s="7" t="s">
        <v>2829</v>
      </c>
      <c r="C855" s="8"/>
      <c r="D855" s="8"/>
      <c r="E855" s="9" t="s">
        <v>37</v>
      </c>
      <c r="F855" s="10" t="s">
        <v>16</v>
      </c>
      <c r="G855" s="10" t="s">
        <v>303</v>
      </c>
      <c r="H855" s="10" t="s">
        <v>3736</v>
      </c>
      <c r="I855" s="10" t="s">
        <v>243</v>
      </c>
      <c r="J855" s="11">
        <v>800483429</v>
      </c>
      <c r="K855" s="11"/>
      <c r="L855" s="10" t="s">
        <v>3737</v>
      </c>
      <c r="M855" s="10" t="s">
        <v>58</v>
      </c>
      <c r="N855" s="10" t="s">
        <v>414</v>
      </c>
      <c r="O855" s="10">
        <v>2011</v>
      </c>
      <c r="P855" s="8">
        <v>42959</v>
      </c>
      <c r="Q855" s="12" t="s">
        <v>1069</v>
      </c>
    </row>
    <row r="856" spans="1:17" x14ac:dyDescent="0.2">
      <c r="A856">
        <f t="shared" si="13"/>
        <v>1704038</v>
      </c>
      <c r="B856" s="7" t="s">
        <v>2830</v>
      </c>
      <c r="C856" s="8"/>
      <c r="D856" s="8"/>
      <c r="E856" s="9" t="s">
        <v>37</v>
      </c>
      <c r="F856" s="10" t="s">
        <v>16</v>
      </c>
      <c r="G856" s="10" t="s">
        <v>196</v>
      </c>
      <c r="H856" s="10" t="s">
        <v>3738</v>
      </c>
      <c r="I856" s="10" t="s">
        <v>263</v>
      </c>
      <c r="J856" s="11">
        <v>989959394</v>
      </c>
      <c r="K856" s="11"/>
      <c r="L856" s="10" t="s">
        <v>3739</v>
      </c>
      <c r="M856" s="10" t="s">
        <v>109</v>
      </c>
      <c r="N856" s="10" t="s">
        <v>3740</v>
      </c>
      <c r="O856" s="10">
        <v>2011</v>
      </c>
      <c r="P856" s="8">
        <v>42880</v>
      </c>
      <c r="Q856" s="12" t="s">
        <v>1013</v>
      </c>
    </row>
    <row r="857" spans="1:17" x14ac:dyDescent="0.2">
      <c r="A857">
        <f t="shared" si="13"/>
        <v>1704039</v>
      </c>
      <c r="B857" s="7" t="s">
        <v>2831</v>
      </c>
      <c r="C857" s="8"/>
      <c r="D857" s="8"/>
      <c r="E857" s="9" t="s">
        <v>37</v>
      </c>
      <c r="F857" s="10" t="s">
        <v>16</v>
      </c>
      <c r="G857" s="10" t="s">
        <v>199</v>
      </c>
      <c r="H857" s="10" t="s">
        <v>3741</v>
      </c>
      <c r="I857" s="10"/>
      <c r="J857" s="11">
        <v>812661293</v>
      </c>
      <c r="K857" s="11"/>
      <c r="L857" s="10" t="s">
        <v>3192</v>
      </c>
      <c r="M857" s="10" t="s">
        <v>42</v>
      </c>
      <c r="N857" s="10" t="s">
        <v>43</v>
      </c>
      <c r="O857" s="10">
        <v>2008</v>
      </c>
      <c r="P857" s="8" t="s">
        <v>1120</v>
      </c>
      <c r="Q857" s="12"/>
    </row>
    <row r="858" spans="1:17" x14ac:dyDescent="0.2">
      <c r="A858">
        <f t="shared" si="13"/>
        <v>1704040</v>
      </c>
      <c r="B858" s="7" t="s">
        <v>2832</v>
      </c>
      <c r="C858" s="8"/>
      <c r="D858" s="8"/>
      <c r="E858" s="9" t="s">
        <v>37</v>
      </c>
      <c r="F858" s="10" t="s">
        <v>16</v>
      </c>
      <c r="G858" s="10" t="s">
        <v>196</v>
      </c>
      <c r="H858" s="10" t="s">
        <v>3742</v>
      </c>
      <c r="I858" s="10"/>
      <c r="J858" s="11">
        <v>815746352</v>
      </c>
      <c r="K858" s="11"/>
      <c r="L858" s="10" t="s">
        <v>3743</v>
      </c>
      <c r="M858" s="10" t="s">
        <v>54</v>
      </c>
      <c r="N858" s="10"/>
      <c r="O858" s="10">
        <v>2014</v>
      </c>
      <c r="P858" s="8" t="s">
        <v>1120</v>
      </c>
      <c r="Q858" s="12"/>
    </row>
    <row r="859" spans="1:17" x14ac:dyDescent="0.2">
      <c r="A859">
        <f t="shared" si="13"/>
        <v>1704041</v>
      </c>
      <c r="B859" s="7" t="s">
        <v>2833</v>
      </c>
      <c r="C859" s="8"/>
      <c r="D859" s="8"/>
      <c r="E859" s="9" t="s">
        <v>37</v>
      </c>
      <c r="F859" s="10" t="s">
        <v>16</v>
      </c>
      <c r="G859" s="10" t="s">
        <v>207</v>
      </c>
      <c r="H859" s="10" t="s">
        <v>2045</v>
      </c>
      <c r="I859" s="10" t="s">
        <v>243</v>
      </c>
      <c r="J859" s="11">
        <v>615792609</v>
      </c>
      <c r="K859" s="11"/>
      <c r="L859" s="10" t="s">
        <v>2046</v>
      </c>
      <c r="M859" s="10" t="s">
        <v>54</v>
      </c>
      <c r="N859" s="10" t="s">
        <v>72</v>
      </c>
      <c r="O859" s="10">
        <v>2012</v>
      </c>
      <c r="P859" s="8">
        <v>42803</v>
      </c>
      <c r="Q859" s="12" t="s">
        <v>419</v>
      </c>
    </row>
    <row r="860" spans="1:17" x14ac:dyDescent="0.2">
      <c r="A860">
        <f t="shared" si="13"/>
        <v>1705001</v>
      </c>
      <c r="B860" s="7" t="s">
        <v>2834</v>
      </c>
      <c r="C860" s="8"/>
      <c r="D860" s="8"/>
      <c r="E860" s="9" t="s">
        <v>37</v>
      </c>
      <c r="F860" s="10" t="s">
        <v>16</v>
      </c>
      <c r="G860" s="10"/>
      <c r="H860" s="10"/>
      <c r="I860" s="10"/>
      <c r="J860" s="11"/>
      <c r="K860" s="11"/>
      <c r="L860" s="10" t="s">
        <v>2047</v>
      </c>
      <c r="M860" s="10" t="s">
        <v>42</v>
      </c>
      <c r="N860" s="10" t="s">
        <v>84</v>
      </c>
      <c r="O860" s="10">
        <v>2010</v>
      </c>
      <c r="P860" s="8">
        <v>43007</v>
      </c>
      <c r="Q860" s="12" t="s">
        <v>260</v>
      </c>
    </row>
    <row r="861" spans="1:17" x14ac:dyDescent="0.2">
      <c r="A861">
        <f t="shared" si="13"/>
        <v>1705002</v>
      </c>
      <c r="B861" s="7" t="s">
        <v>2835</v>
      </c>
      <c r="C861" s="8"/>
      <c r="D861" s="8"/>
      <c r="E861" s="9" t="s">
        <v>37</v>
      </c>
      <c r="F861" s="10" t="s">
        <v>16</v>
      </c>
      <c r="G861" s="10" t="s">
        <v>1729</v>
      </c>
      <c r="H861" s="10"/>
      <c r="I861" s="10"/>
      <c r="J861" s="11"/>
      <c r="K861" s="11"/>
      <c r="L861" s="10" t="s">
        <v>2048</v>
      </c>
      <c r="M861" s="10" t="s">
        <v>126</v>
      </c>
      <c r="N861" s="10" t="s">
        <v>3583</v>
      </c>
      <c r="O861" s="10">
        <v>2012</v>
      </c>
      <c r="P861" s="8">
        <v>43064</v>
      </c>
      <c r="Q861" s="12" t="s">
        <v>217</v>
      </c>
    </row>
    <row r="862" spans="1:17" x14ac:dyDescent="0.2">
      <c r="A862">
        <f t="shared" si="13"/>
        <v>1705003</v>
      </c>
      <c r="B862" s="7" t="s">
        <v>2836</v>
      </c>
      <c r="C862" s="8"/>
      <c r="D862" s="8"/>
      <c r="E862" s="9" t="s">
        <v>37</v>
      </c>
      <c r="F862" s="10" t="s">
        <v>16</v>
      </c>
      <c r="G862" s="10"/>
      <c r="H862" s="10"/>
      <c r="I862" s="10"/>
      <c r="J862" s="11"/>
      <c r="K862" s="11"/>
      <c r="L862" s="10" t="s">
        <v>2049</v>
      </c>
      <c r="M862" s="10" t="s">
        <v>126</v>
      </c>
      <c r="N862" s="10" t="s">
        <v>127</v>
      </c>
      <c r="O862" s="10">
        <v>2012</v>
      </c>
      <c r="P862" s="8">
        <v>42501</v>
      </c>
      <c r="Q862" s="12" t="s">
        <v>2050</v>
      </c>
    </row>
    <row r="863" spans="1:17" x14ac:dyDescent="0.2">
      <c r="A863">
        <f t="shared" si="13"/>
        <v>1705004</v>
      </c>
      <c r="B863" s="7" t="s">
        <v>2837</v>
      </c>
      <c r="C863" s="8"/>
      <c r="D863" s="8"/>
      <c r="E863" s="9" t="s">
        <v>37</v>
      </c>
      <c r="F863" s="10" t="s">
        <v>16</v>
      </c>
      <c r="G863" s="10" t="s">
        <v>196</v>
      </c>
      <c r="H863" s="10"/>
      <c r="I863" s="10"/>
      <c r="J863" s="11"/>
      <c r="K863" s="11"/>
      <c r="L863" s="10" t="s">
        <v>3744</v>
      </c>
      <c r="M863" s="10" t="s">
        <v>47</v>
      </c>
      <c r="N863" s="10" t="s">
        <v>106</v>
      </c>
      <c r="O863" s="10">
        <v>2013</v>
      </c>
      <c r="P863" s="8">
        <v>43088</v>
      </c>
      <c r="Q863" s="12" t="s">
        <v>260</v>
      </c>
    </row>
    <row r="864" spans="1:17" x14ac:dyDescent="0.2">
      <c r="A864">
        <f t="shared" si="13"/>
        <v>1705005</v>
      </c>
      <c r="B864" s="7" t="s">
        <v>2838</v>
      </c>
      <c r="C864" s="8"/>
      <c r="D864" s="8"/>
      <c r="E864" s="9" t="s">
        <v>37</v>
      </c>
      <c r="F864" s="10" t="s">
        <v>16</v>
      </c>
      <c r="G864" s="10"/>
      <c r="H864" s="10"/>
      <c r="I864" s="10"/>
      <c r="J864" s="11"/>
      <c r="K864" s="11"/>
      <c r="L864" s="10" t="s">
        <v>3496</v>
      </c>
      <c r="M864" s="10" t="s">
        <v>58</v>
      </c>
      <c r="N864" s="10" t="s">
        <v>435</v>
      </c>
      <c r="O864" s="10">
        <v>2012</v>
      </c>
      <c r="P864" s="8">
        <v>42925</v>
      </c>
      <c r="Q864" s="12" t="s">
        <v>564</v>
      </c>
    </row>
    <row r="865" spans="1:17" x14ac:dyDescent="0.2">
      <c r="A865">
        <f t="shared" si="13"/>
        <v>1705006</v>
      </c>
      <c r="B865" s="7" t="s">
        <v>2839</v>
      </c>
      <c r="C865" s="8"/>
      <c r="D865" s="8"/>
      <c r="E865" s="9" t="s">
        <v>37</v>
      </c>
      <c r="F865" s="10" t="s">
        <v>16</v>
      </c>
      <c r="G865" s="10"/>
      <c r="H865" s="10"/>
      <c r="I865" s="10"/>
      <c r="J865" s="11"/>
      <c r="K865" s="11"/>
      <c r="L865" s="10" t="s">
        <v>3745</v>
      </c>
      <c r="M865" s="10" t="s">
        <v>126</v>
      </c>
      <c r="N865" s="10" t="s">
        <v>172</v>
      </c>
      <c r="O865" s="10">
        <v>2011</v>
      </c>
      <c r="P865" s="8" t="s">
        <v>1120</v>
      </c>
      <c r="Q865" s="12"/>
    </row>
    <row r="866" spans="1:17" x14ac:dyDescent="0.2">
      <c r="A866">
        <f t="shared" si="13"/>
        <v>1705007</v>
      </c>
      <c r="B866" s="7" t="s">
        <v>2840</v>
      </c>
      <c r="C866" s="8"/>
      <c r="D866" s="8"/>
      <c r="E866" s="9" t="s">
        <v>37</v>
      </c>
      <c r="F866" s="10" t="s">
        <v>159</v>
      </c>
      <c r="G866" s="10"/>
      <c r="H866" s="10"/>
      <c r="I866" s="10"/>
      <c r="J866" s="11"/>
      <c r="K866" s="11"/>
      <c r="L866" s="10" t="s">
        <v>1019</v>
      </c>
      <c r="M866" s="10" t="s">
        <v>47</v>
      </c>
      <c r="N866" s="10" t="s">
        <v>106</v>
      </c>
      <c r="O866" s="10"/>
      <c r="P866" s="8"/>
      <c r="Q866" s="12"/>
    </row>
    <row r="867" spans="1:17" x14ac:dyDescent="0.2">
      <c r="A867">
        <f t="shared" si="13"/>
        <v>1705008</v>
      </c>
      <c r="B867" s="7" t="s">
        <v>2841</v>
      </c>
      <c r="C867" s="8"/>
      <c r="D867" s="8"/>
      <c r="E867" s="9" t="s">
        <v>37</v>
      </c>
      <c r="F867" s="10" t="s">
        <v>16</v>
      </c>
      <c r="G867" s="10"/>
      <c r="H867" s="10"/>
      <c r="I867" s="10"/>
      <c r="J867" s="11"/>
      <c r="K867" s="11"/>
      <c r="L867" s="10" t="s">
        <v>2051</v>
      </c>
      <c r="M867" s="10" t="s">
        <v>42</v>
      </c>
      <c r="N867" s="10" t="s">
        <v>84</v>
      </c>
      <c r="O867" s="10">
        <v>2000</v>
      </c>
      <c r="P867" s="8">
        <v>42916</v>
      </c>
      <c r="Q867" s="12" t="s">
        <v>301</v>
      </c>
    </row>
    <row r="868" spans="1:17" x14ac:dyDescent="0.2">
      <c r="A868">
        <f t="shared" si="13"/>
        <v>1705009</v>
      </c>
      <c r="B868" s="7" t="s">
        <v>2842</v>
      </c>
      <c r="C868" s="8"/>
      <c r="D868" s="8"/>
      <c r="E868" s="9" t="s">
        <v>37</v>
      </c>
      <c r="F868" s="10" t="s">
        <v>16</v>
      </c>
      <c r="G868" s="10"/>
      <c r="H868" s="10"/>
      <c r="I868" s="10"/>
      <c r="J868" s="11"/>
      <c r="K868" s="11"/>
      <c r="L868" s="10" t="s">
        <v>3746</v>
      </c>
      <c r="M868" s="10" t="s">
        <v>126</v>
      </c>
      <c r="N868" s="10" t="s">
        <v>235</v>
      </c>
      <c r="O868" s="10">
        <v>2015</v>
      </c>
      <c r="P868" s="8" t="s">
        <v>1120</v>
      </c>
      <c r="Q868" s="12"/>
    </row>
    <row r="869" spans="1:17" x14ac:dyDescent="0.2">
      <c r="A869">
        <f t="shared" si="13"/>
        <v>1705010</v>
      </c>
      <c r="B869" s="7" t="s">
        <v>2843</v>
      </c>
      <c r="C869" s="8"/>
      <c r="D869" s="8"/>
      <c r="E869" s="9" t="s">
        <v>37</v>
      </c>
      <c r="F869" s="10" t="s">
        <v>16</v>
      </c>
      <c r="G869" s="10" t="s">
        <v>207</v>
      </c>
      <c r="H869" s="10"/>
      <c r="I869" s="10"/>
      <c r="J869" s="11"/>
      <c r="K869" s="11"/>
      <c r="L869" s="10" t="s">
        <v>2052</v>
      </c>
      <c r="M869" s="10" t="s">
        <v>47</v>
      </c>
      <c r="N869" s="10" t="s">
        <v>209</v>
      </c>
      <c r="O869" s="10">
        <v>2006</v>
      </c>
      <c r="P869" s="8" t="s">
        <v>1120</v>
      </c>
      <c r="Q869" s="12"/>
    </row>
    <row r="870" spans="1:17" x14ac:dyDescent="0.2">
      <c r="A870">
        <f t="shared" si="13"/>
        <v>1705011</v>
      </c>
      <c r="B870" s="7" t="s">
        <v>2844</v>
      </c>
      <c r="C870" s="8"/>
      <c r="D870" s="8"/>
      <c r="E870" s="9" t="s">
        <v>37</v>
      </c>
      <c r="F870" s="10" t="s">
        <v>16</v>
      </c>
      <c r="G870" s="10"/>
      <c r="H870" s="10"/>
      <c r="I870" s="10"/>
      <c r="J870" s="11"/>
      <c r="K870" s="11"/>
      <c r="L870" s="10" t="s">
        <v>3747</v>
      </c>
      <c r="M870" s="10" t="s">
        <v>47</v>
      </c>
      <c r="N870" s="10" t="s">
        <v>209</v>
      </c>
      <c r="O870" s="10">
        <v>2010</v>
      </c>
      <c r="P870" s="8">
        <v>43121</v>
      </c>
      <c r="Q870" s="12" t="s">
        <v>1411</v>
      </c>
    </row>
    <row r="871" spans="1:17" x14ac:dyDescent="0.2">
      <c r="A871">
        <f t="shared" si="13"/>
        <v>1705012</v>
      </c>
      <c r="B871" s="7" t="s">
        <v>2845</v>
      </c>
      <c r="C871" s="8"/>
      <c r="D871" s="8"/>
      <c r="E871" s="9" t="s">
        <v>37</v>
      </c>
      <c r="F871" s="10" t="s">
        <v>16</v>
      </c>
      <c r="G871" s="10"/>
      <c r="H871" s="10"/>
      <c r="I871" s="10"/>
      <c r="J871" s="11"/>
      <c r="K871" s="11"/>
      <c r="L871" s="10" t="s">
        <v>3543</v>
      </c>
      <c r="M871" s="10" t="s">
        <v>47</v>
      </c>
      <c r="N871" s="10" t="s">
        <v>51</v>
      </c>
      <c r="O871" s="10">
        <v>2005</v>
      </c>
      <c r="P871" s="8">
        <v>43098</v>
      </c>
      <c r="Q871" s="12" t="s">
        <v>1742</v>
      </c>
    </row>
    <row r="872" spans="1:17" x14ac:dyDescent="0.2">
      <c r="A872">
        <f t="shared" si="13"/>
        <v>1705013</v>
      </c>
      <c r="B872" s="7" t="s">
        <v>2846</v>
      </c>
      <c r="C872" s="8"/>
      <c r="D872" s="8"/>
      <c r="E872" s="9" t="s">
        <v>37</v>
      </c>
      <c r="F872" s="10" t="s">
        <v>16</v>
      </c>
      <c r="G872" s="10"/>
      <c r="H872" s="10"/>
      <c r="I872" s="10"/>
      <c r="J872" s="11"/>
      <c r="K872" s="11"/>
      <c r="L872" s="10" t="s">
        <v>3748</v>
      </c>
      <c r="M872" s="10" t="s">
        <v>126</v>
      </c>
      <c r="N872" s="10" t="s">
        <v>297</v>
      </c>
      <c r="O872" s="10">
        <v>2012</v>
      </c>
      <c r="P872" s="8">
        <v>43092</v>
      </c>
      <c r="Q872" s="12" t="s">
        <v>217</v>
      </c>
    </row>
    <row r="873" spans="1:17" x14ac:dyDescent="0.2">
      <c r="A873">
        <f t="shared" si="13"/>
        <v>1705014</v>
      </c>
      <c r="B873" s="7" t="s">
        <v>2847</v>
      </c>
      <c r="C873" s="8"/>
      <c r="D873" s="8"/>
      <c r="E873" s="9" t="s">
        <v>37</v>
      </c>
      <c r="F873" s="10" t="s">
        <v>16</v>
      </c>
      <c r="G873" s="10"/>
      <c r="H873" s="10"/>
      <c r="I873" s="10"/>
      <c r="J873" s="11"/>
      <c r="K873" s="11"/>
      <c r="L873" s="10" t="s">
        <v>3749</v>
      </c>
      <c r="M873" s="10" t="s">
        <v>47</v>
      </c>
      <c r="N873" s="10" t="s">
        <v>48</v>
      </c>
      <c r="O873" s="10">
        <v>2009</v>
      </c>
      <c r="P873" s="8">
        <v>43095</v>
      </c>
      <c r="Q873" s="12" t="s">
        <v>382</v>
      </c>
    </row>
    <row r="874" spans="1:17" x14ac:dyDescent="0.2">
      <c r="A874">
        <f t="shared" si="13"/>
        <v>1705015</v>
      </c>
      <c r="B874" s="7" t="s">
        <v>2848</v>
      </c>
      <c r="C874" s="8"/>
      <c r="D874" s="8"/>
      <c r="E874" s="9" t="s">
        <v>37</v>
      </c>
      <c r="F874" s="10" t="s">
        <v>16</v>
      </c>
      <c r="G874" s="10" t="s">
        <v>202</v>
      </c>
      <c r="H874" s="10" t="s">
        <v>3750</v>
      </c>
      <c r="I874" s="10"/>
      <c r="J874" s="11">
        <v>817120628</v>
      </c>
      <c r="K874" s="11"/>
      <c r="L874" s="10" t="s">
        <v>3751</v>
      </c>
      <c r="M874" s="10" t="s">
        <v>47</v>
      </c>
      <c r="N874" s="10" t="s">
        <v>630</v>
      </c>
      <c r="O874" s="10">
        <v>2012</v>
      </c>
      <c r="P874" s="8" t="s">
        <v>1120</v>
      </c>
      <c r="Q874" s="12"/>
    </row>
    <row r="875" spans="1:17" x14ac:dyDescent="0.2">
      <c r="A875">
        <f t="shared" si="13"/>
        <v>1705016</v>
      </c>
      <c r="B875" s="7" t="s">
        <v>2849</v>
      </c>
      <c r="C875" s="8"/>
      <c r="D875" s="8"/>
      <c r="E875" s="9" t="s">
        <v>37</v>
      </c>
      <c r="F875" s="10" t="s">
        <v>159</v>
      </c>
      <c r="G875" s="10" t="s">
        <v>40</v>
      </c>
      <c r="H875" s="10" t="s">
        <v>3752</v>
      </c>
      <c r="I875" s="10"/>
      <c r="J875" s="11">
        <v>884913861</v>
      </c>
      <c r="K875" s="11"/>
      <c r="L875" s="10" t="s">
        <v>3753</v>
      </c>
      <c r="M875" s="10" t="s">
        <v>58</v>
      </c>
      <c r="N875" s="10" t="s">
        <v>414</v>
      </c>
      <c r="O875" s="10"/>
      <c r="P875" s="8" t="s">
        <v>1120</v>
      </c>
      <c r="Q875" s="12"/>
    </row>
    <row r="876" spans="1:17" x14ac:dyDescent="0.2">
      <c r="A876">
        <f t="shared" si="13"/>
        <v>1705017</v>
      </c>
      <c r="B876" s="7" t="s">
        <v>2850</v>
      </c>
      <c r="C876" s="8"/>
      <c r="D876" s="8"/>
      <c r="E876" s="9" t="s">
        <v>37</v>
      </c>
      <c r="F876" s="10" t="s">
        <v>16</v>
      </c>
      <c r="G876" s="10" t="s">
        <v>3155</v>
      </c>
      <c r="H876" s="10" t="s">
        <v>3754</v>
      </c>
      <c r="I876" s="10" t="s">
        <v>233</v>
      </c>
      <c r="J876" s="11">
        <v>877153255</v>
      </c>
      <c r="K876" s="11"/>
      <c r="L876" s="10" t="s">
        <v>3755</v>
      </c>
      <c r="M876" s="10" t="s">
        <v>126</v>
      </c>
      <c r="N876" s="10" t="s">
        <v>3756</v>
      </c>
      <c r="O876" s="10">
        <v>1995</v>
      </c>
      <c r="P876" s="8" t="s">
        <v>1120</v>
      </c>
      <c r="Q876" s="12"/>
    </row>
    <row r="877" spans="1:17" x14ac:dyDescent="0.2">
      <c r="A877">
        <f t="shared" si="13"/>
        <v>1705018</v>
      </c>
      <c r="B877" s="7" t="s">
        <v>2851</v>
      </c>
      <c r="C877" s="8"/>
      <c r="D877" s="8"/>
      <c r="E877" s="9" t="s">
        <v>37</v>
      </c>
      <c r="F877" s="10" t="s">
        <v>16</v>
      </c>
      <c r="G877" s="10" t="s">
        <v>207</v>
      </c>
      <c r="H877" s="10" t="s">
        <v>3757</v>
      </c>
      <c r="I877" s="10" t="s">
        <v>233</v>
      </c>
      <c r="J877" s="11">
        <v>997588600</v>
      </c>
      <c r="K877" s="11"/>
      <c r="L877" s="10" t="s">
        <v>3758</v>
      </c>
      <c r="M877" s="10" t="s">
        <v>42</v>
      </c>
      <c r="N877" s="10" t="s">
        <v>43</v>
      </c>
      <c r="O877" s="10">
        <v>2004</v>
      </c>
      <c r="P877" s="8">
        <v>43099</v>
      </c>
      <c r="Q877" s="12" t="s">
        <v>229</v>
      </c>
    </row>
    <row r="878" spans="1:17" x14ac:dyDescent="0.2">
      <c r="A878">
        <f t="shared" si="13"/>
        <v>1705019</v>
      </c>
      <c r="B878" s="7" t="s">
        <v>2852</v>
      </c>
      <c r="C878" s="8"/>
      <c r="D878" s="8"/>
      <c r="E878" s="9" t="s">
        <v>37</v>
      </c>
      <c r="F878" s="10" t="s">
        <v>16</v>
      </c>
      <c r="G878" s="10" t="s">
        <v>202</v>
      </c>
      <c r="H878" s="10" t="s">
        <v>3759</v>
      </c>
      <c r="I878" s="10" t="s">
        <v>286</v>
      </c>
      <c r="J878" s="11">
        <v>813131544</v>
      </c>
      <c r="K878" s="11"/>
      <c r="L878" s="10" t="s">
        <v>3760</v>
      </c>
      <c r="M878" s="10" t="s">
        <v>282</v>
      </c>
      <c r="N878" s="10" t="s">
        <v>283</v>
      </c>
      <c r="O878" s="10">
        <v>2014</v>
      </c>
      <c r="P878" s="8" t="s">
        <v>1120</v>
      </c>
      <c r="Q878" s="12"/>
    </row>
    <row r="879" spans="1:17" x14ac:dyDescent="0.2">
      <c r="A879">
        <f t="shared" si="13"/>
        <v>1705020</v>
      </c>
      <c r="B879" s="7" t="s">
        <v>2853</v>
      </c>
      <c r="C879" s="8"/>
      <c r="D879" s="8"/>
      <c r="E879" s="9" t="s">
        <v>37</v>
      </c>
      <c r="F879" s="10" t="s">
        <v>16</v>
      </c>
      <c r="G879" s="10" t="s">
        <v>196</v>
      </c>
      <c r="H879" s="10" t="s">
        <v>3761</v>
      </c>
      <c r="I879" s="10"/>
      <c r="J879" s="11">
        <v>879109839</v>
      </c>
      <c r="K879" s="11"/>
      <c r="L879" s="10" t="s">
        <v>3762</v>
      </c>
      <c r="M879" s="10" t="s">
        <v>42</v>
      </c>
      <c r="N879" s="10" t="s">
        <v>84</v>
      </c>
      <c r="O879" s="10">
        <v>2011</v>
      </c>
      <c r="P879" s="8">
        <v>43175</v>
      </c>
      <c r="Q879" s="12" t="s">
        <v>341</v>
      </c>
    </row>
    <row r="880" spans="1:17" x14ac:dyDescent="0.2">
      <c r="A880">
        <f t="shared" si="13"/>
        <v>1705021</v>
      </c>
      <c r="B880" s="7" t="s">
        <v>2854</v>
      </c>
      <c r="C880" s="8"/>
      <c r="D880" s="8"/>
      <c r="E880" s="9" t="s">
        <v>37</v>
      </c>
      <c r="F880" s="10" t="s">
        <v>16</v>
      </c>
      <c r="G880" s="10" t="s">
        <v>207</v>
      </c>
      <c r="H880" s="10" t="s">
        <v>3763</v>
      </c>
      <c r="I880" s="10" t="s">
        <v>243</v>
      </c>
      <c r="J880" s="11">
        <v>800781655</v>
      </c>
      <c r="K880" s="11"/>
      <c r="L880" s="10" t="s">
        <v>3764</v>
      </c>
      <c r="M880" s="10" t="s">
        <v>47</v>
      </c>
      <c r="N880" s="10" t="s">
        <v>51</v>
      </c>
      <c r="O880" s="10">
        <v>2012</v>
      </c>
      <c r="P880" s="8">
        <v>42875</v>
      </c>
      <c r="Q880" s="12" t="s">
        <v>256</v>
      </c>
    </row>
    <row r="881" spans="1:17" x14ac:dyDescent="0.2">
      <c r="A881">
        <f t="shared" si="13"/>
        <v>1705022</v>
      </c>
      <c r="B881" s="7" t="s">
        <v>2855</v>
      </c>
      <c r="C881" s="8"/>
      <c r="D881" s="8"/>
      <c r="E881" s="9" t="s">
        <v>37</v>
      </c>
      <c r="F881" s="10" t="s">
        <v>16</v>
      </c>
      <c r="G881" s="10" t="s">
        <v>196</v>
      </c>
      <c r="H881" s="10" t="s">
        <v>3765</v>
      </c>
      <c r="I881" s="10"/>
      <c r="J881" s="11">
        <v>886583440</v>
      </c>
      <c r="K881" s="11">
        <v>918726669</v>
      </c>
      <c r="L881" s="10" t="s">
        <v>3766</v>
      </c>
      <c r="M881" s="10" t="s">
        <v>54</v>
      </c>
      <c r="N881" s="10" t="s">
        <v>3767</v>
      </c>
      <c r="O881" s="10">
        <v>2009</v>
      </c>
      <c r="P881" s="8" t="s">
        <v>1120</v>
      </c>
      <c r="Q881" s="12"/>
    </row>
    <row r="882" spans="1:17" x14ac:dyDescent="0.2">
      <c r="A882">
        <f t="shared" si="13"/>
        <v>1705023</v>
      </c>
      <c r="B882" s="7" t="s">
        <v>2856</v>
      </c>
      <c r="C882" s="8"/>
      <c r="D882" s="8"/>
      <c r="E882" s="9" t="s">
        <v>37</v>
      </c>
      <c r="F882" s="10" t="s">
        <v>16</v>
      </c>
      <c r="G882" s="10" t="s">
        <v>202</v>
      </c>
      <c r="H882" s="10" t="s">
        <v>2083</v>
      </c>
      <c r="I882" s="10" t="s">
        <v>2084</v>
      </c>
      <c r="J882" s="11">
        <v>891296091</v>
      </c>
      <c r="K882" s="11"/>
      <c r="L882" s="10" t="s">
        <v>2085</v>
      </c>
      <c r="M882" s="10" t="s">
        <v>126</v>
      </c>
      <c r="N882" s="10" t="s">
        <v>3768</v>
      </c>
      <c r="O882" s="10">
        <v>2012</v>
      </c>
      <c r="P882" s="8">
        <v>42902</v>
      </c>
      <c r="Q882" s="12" t="s">
        <v>531</v>
      </c>
    </row>
    <row r="883" spans="1:17" x14ac:dyDescent="0.2">
      <c r="A883">
        <f t="shared" si="13"/>
        <v>1705024</v>
      </c>
      <c r="B883" s="7" t="s">
        <v>2857</v>
      </c>
      <c r="C883" s="8"/>
      <c r="D883" s="8"/>
      <c r="E883" s="9" t="s">
        <v>37</v>
      </c>
      <c r="F883" s="10" t="s">
        <v>16</v>
      </c>
      <c r="G883" s="10" t="s">
        <v>207</v>
      </c>
      <c r="H883" s="10" t="s">
        <v>3769</v>
      </c>
      <c r="I883" s="10" t="s">
        <v>286</v>
      </c>
      <c r="J883" s="11">
        <v>882888988</v>
      </c>
      <c r="K883" s="11">
        <v>882888898</v>
      </c>
      <c r="L883" s="10" t="s">
        <v>3770</v>
      </c>
      <c r="M883" s="10" t="s">
        <v>54</v>
      </c>
      <c r="N883" s="10" t="s">
        <v>1124</v>
      </c>
      <c r="O883" s="10">
        <v>2014</v>
      </c>
      <c r="P883" s="8">
        <v>43256</v>
      </c>
      <c r="Q883" s="12" t="s">
        <v>236</v>
      </c>
    </row>
    <row r="884" spans="1:17" x14ac:dyDescent="0.2">
      <c r="A884">
        <f t="shared" si="13"/>
        <v>1705025</v>
      </c>
      <c r="B884" s="7" t="s">
        <v>2858</v>
      </c>
      <c r="C884" s="8"/>
      <c r="D884" s="8"/>
      <c r="E884" s="9" t="s">
        <v>37</v>
      </c>
      <c r="F884" s="10" t="s">
        <v>16</v>
      </c>
      <c r="G884" s="10" t="s">
        <v>207</v>
      </c>
      <c r="H884" s="10" t="s">
        <v>3771</v>
      </c>
      <c r="I884" s="10" t="s">
        <v>254</v>
      </c>
      <c r="J884" s="11">
        <v>897752403</v>
      </c>
      <c r="K884" s="11"/>
      <c r="L884" s="10" t="s">
        <v>3772</v>
      </c>
      <c r="M884" s="10" t="s">
        <v>58</v>
      </c>
      <c r="N884" s="10" t="s">
        <v>717</v>
      </c>
      <c r="O884" s="10">
        <v>2016</v>
      </c>
      <c r="P884" s="8">
        <v>43115</v>
      </c>
      <c r="Q884" s="12" t="s">
        <v>366</v>
      </c>
    </row>
    <row r="885" spans="1:17" x14ac:dyDescent="0.2">
      <c r="A885">
        <f t="shared" si="13"/>
        <v>1705026</v>
      </c>
      <c r="B885" s="7" t="s">
        <v>2859</v>
      </c>
      <c r="C885" s="8"/>
      <c r="D885" s="8"/>
      <c r="E885" s="9" t="s">
        <v>37</v>
      </c>
      <c r="F885" s="10" t="s">
        <v>16</v>
      </c>
      <c r="G885" s="10" t="s">
        <v>337</v>
      </c>
      <c r="H885" s="10" t="s">
        <v>3773</v>
      </c>
      <c r="I885" s="10" t="s">
        <v>263</v>
      </c>
      <c r="J885" s="11">
        <v>818032118</v>
      </c>
      <c r="K885" s="11"/>
      <c r="L885" s="10" t="s">
        <v>3774</v>
      </c>
      <c r="M885" s="10" t="s">
        <v>42</v>
      </c>
      <c r="N885" s="10" t="s">
        <v>84</v>
      </c>
      <c r="O885" s="10">
        <v>2009</v>
      </c>
      <c r="P885" s="8">
        <v>42532</v>
      </c>
      <c r="Q885" s="12" t="s">
        <v>677</v>
      </c>
    </row>
    <row r="886" spans="1:17" x14ac:dyDescent="0.2">
      <c r="A886">
        <f t="shared" si="13"/>
        <v>1705027</v>
      </c>
      <c r="B886" s="7" t="s">
        <v>2860</v>
      </c>
      <c r="C886" s="8"/>
      <c r="D886" s="8"/>
      <c r="E886" s="9" t="s">
        <v>37</v>
      </c>
      <c r="F886" s="10" t="s">
        <v>16</v>
      </c>
      <c r="G886" s="10" t="s">
        <v>207</v>
      </c>
      <c r="H886" s="10" t="s">
        <v>3775</v>
      </c>
      <c r="I886" s="10" t="s">
        <v>577</v>
      </c>
      <c r="J886" s="11">
        <v>910097224</v>
      </c>
      <c r="K886" s="11"/>
      <c r="L886" s="10" t="s">
        <v>3776</v>
      </c>
      <c r="M886" s="10" t="s">
        <v>42</v>
      </c>
      <c r="N886" s="10" t="s">
        <v>43</v>
      </c>
      <c r="O886" s="10">
        <v>2016</v>
      </c>
      <c r="P886" s="8">
        <v>43129</v>
      </c>
      <c r="Q886" s="12" t="s">
        <v>217</v>
      </c>
    </row>
    <row r="887" spans="1:17" x14ac:dyDescent="0.2">
      <c r="A887">
        <f t="shared" si="13"/>
        <v>1705028</v>
      </c>
      <c r="B887" s="7" t="s">
        <v>2861</v>
      </c>
      <c r="C887" s="8"/>
      <c r="D887" s="8"/>
      <c r="E887" s="9" t="s">
        <v>37</v>
      </c>
      <c r="F887" s="10" t="s">
        <v>16</v>
      </c>
      <c r="G887" s="10" t="s">
        <v>207</v>
      </c>
      <c r="H887" s="10" t="s">
        <v>2086</v>
      </c>
      <c r="I887" s="10" t="s">
        <v>506</v>
      </c>
      <c r="J887" s="11">
        <v>843309064</v>
      </c>
      <c r="K887" s="11"/>
      <c r="L887" s="10" t="s">
        <v>2087</v>
      </c>
      <c r="M887" s="10" t="s">
        <v>47</v>
      </c>
      <c r="N887" s="10" t="s">
        <v>106</v>
      </c>
      <c r="O887" s="10">
        <v>2007</v>
      </c>
      <c r="P887" s="8">
        <v>43014</v>
      </c>
      <c r="Q887" s="12" t="s">
        <v>350</v>
      </c>
    </row>
    <row r="888" spans="1:17" x14ac:dyDescent="0.2">
      <c r="A888">
        <f t="shared" si="13"/>
        <v>1705029</v>
      </c>
      <c r="B888" s="7" t="s">
        <v>2862</v>
      </c>
      <c r="C888" s="8"/>
      <c r="D888" s="8"/>
      <c r="E888" s="9" t="s">
        <v>37</v>
      </c>
      <c r="F888" s="10" t="s">
        <v>16</v>
      </c>
      <c r="G888" s="10" t="s">
        <v>225</v>
      </c>
      <c r="H888" s="10" t="s">
        <v>2088</v>
      </c>
      <c r="I888" s="10" t="s">
        <v>263</v>
      </c>
      <c r="J888" s="11">
        <v>868977366</v>
      </c>
      <c r="K888" s="11"/>
      <c r="L888" s="10" t="s">
        <v>2089</v>
      </c>
      <c r="M888" s="10" t="s">
        <v>47</v>
      </c>
      <c r="N888" s="10" t="s">
        <v>212</v>
      </c>
      <c r="O888" s="10">
        <v>2013</v>
      </c>
      <c r="P888" s="8">
        <v>43096</v>
      </c>
      <c r="Q888" s="12" t="s">
        <v>877</v>
      </c>
    </row>
    <row r="889" spans="1:17" x14ac:dyDescent="0.2">
      <c r="A889">
        <f t="shared" si="13"/>
        <v>1705030</v>
      </c>
      <c r="B889" s="7" t="s">
        <v>2863</v>
      </c>
      <c r="C889" s="8"/>
      <c r="D889" s="8"/>
      <c r="E889" s="9" t="s">
        <v>37</v>
      </c>
      <c r="F889" s="10" t="s">
        <v>16</v>
      </c>
      <c r="G889" s="10" t="s">
        <v>207</v>
      </c>
      <c r="H889" s="10" t="s">
        <v>1281</v>
      </c>
      <c r="I889" s="10" t="s">
        <v>243</v>
      </c>
      <c r="J889" s="11">
        <v>875563966</v>
      </c>
      <c r="K889" s="11"/>
      <c r="L889" s="10" t="s">
        <v>1282</v>
      </c>
      <c r="M889" s="10" t="s">
        <v>58</v>
      </c>
      <c r="N889" s="10" t="s">
        <v>717</v>
      </c>
      <c r="O889" s="10">
        <v>2013</v>
      </c>
      <c r="P889" s="8">
        <v>42914</v>
      </c>
      <c r="Q889" s="12" t="s">
        <v>540</v>
      </c>
    </row>
    <row r="890" spans="1:17" x14ac:dyDescent="0.2">
      <c r="A890">
        <f t="shared" si="13"/>
        <v>1705031</v>
      </c>
      <c r="B890" s="7" t="s">
        <v>2864</v>
      </c>
      <c r="C890" s="8"/>
      <c r="D890" s="8"/>
      <c r="E890" s="9" t="s">
        <v>37</v>
      </c>
      <c r="F890" s="10" t="s">
        <v>16</v>
      </c>
      <c r="G890" s="10" t="s">
        <v>196</v>
      </c>
      <c r="H890" s="10" t="s">
        <v>3777</v>
      </c>
      <c r="I890" s="10" t="s">
        <v>305</v>
      </c>
      <c r="J890" s="11">
        <v>870808716</v>
      </c>
      <c r="K890" s="11"/>
      <c r="L890" s="10" t="s">
        <v>3778</v>
      </c>
      <c r="M890" s="10" t="s">
        <v>58</v>
      </c>
      <c r="N890" s="10" t="s">
        <v>414</v>
      </c>
      <c r="O890" s="10">
        <v>2013</v>
      </c>
      <c r="P890" s="8">
        <v>43199</v>
      </c>
      <c r="Q890" s="12" t="s">
        <v>374</v>
      </c>
    </row>
    <row r="891" spans="1:17" x14ac:dyDescent="0.2">
      <c r="A891">
        <f t="shared" si="13"/>
        <v>1705032</v>
      </c>
      <c r="B891" s="7" t="s">
        <v>2865</v>
      </c>
      <c r="C891" s="8"/>
      <c r="D891" s="8"/>
      <c r="E891" s="9" t="s">
        <v>37</v>
      </c>
      <c r="F891" s="10" t="s">
        <v>16</v>
      </c>
      <c r="G891" s="10" t="s">
        <v>337</v>
      </c>
      <c r="H891" s="10" t="s">
        <v>3779</v>
      </c>
      <c r="I891" s="10" t="s">
        <v>233</v>
      </c>
      <c r="J891" s="11">
        <v>929599899</v>
      </c>
      <c r="K891" s="11"/>
      <c r="L891" s="10" t="s">
        <v>3780</v>
      </c>
      <c r="M891" s="10" t="s">
        <v>93</v>
      </c>
      <c r="N891" s="10" t="s">
        <v>161</v>
      </c>
      <c r="O891" s="10">
        <v>2007</v>
      </c>
      <c r="P891" s="8">
        <v>42937</v>
      </c>
      <c r="Q891" s="12" t="s">
        <v>660</v>
      </c>
    </row>
    <row r="892" spans="1:17" x14ac:dyDescent="0.2">
      <c r="A892">
        <f t="shared" si="13"/>
        <v>1705033</v>
      </c>
      <c r="B892" s="7" t="s">
        <v>2866</v>
      </c>
      <c r="C892" s="8"/>
      <c r="D892" s="8"/>
      <c r="E892" s="9" t="s">
        <v>37</v>
      </c>
      <c r="F892" s="10" t="s">
        <v>16</v>
      </c>
      <c r="G892" s="10" t="s">
        <v>207</v>
      </c>
      <c r="H892" s="10" t="s">
        <v>3781</v>
      </c>
      <c r="I892" s="10" t="s">
        <v>286</v>
      </c>
      <c r="J892" s="11">
        <v>847772415</v>
      </c>
      <c r="K892" s="11"/>
      <c r="L892" s="10" t="s">
        <v>3782</v>
      </c>
      <c r="M892" s="10" t="s">
        <v>47</v>
      </c>
      <c r="N892" s="10" t="s">
        <v>3614</v>
      </c>
      <c r="O892" s="10">
        <v>2015</v>
      </c>
      <c r="P892" s="8">
        <v>42926</v>
      </c>
      <c r="Q892" s="12" t="s">
        <v>366</v>
      </c>
    </row>
    <row r="893" spans="1:17" x14ac:dyDescent="0.2">
      <c r="A893">
        <f t="shared" si="13"/>
        <v>1705034</v>
      </c>
      <c r="B893" s="7" t="s">
        <v>2867</v>
      </c>
      <c r="C893" s="8"/>
      <c r="D893" s="8"/>
      <c r="E893" s="9" t="s">
        <v>37</v>
      </c>
      <c r="F893" s="10" t="s">
        <v>16</v>
      </c>
      <c r="G893" s="10" t="s">
        <v>231</v>
      </c>
      <c r="H893" s="10" t="s">
        <v>2090</v>
      </c>
      <c r="I893" s="10" t="s">
        <v>577</v>
      </c>
      <c r="J893" s="11">
        <v>859206108</v>
      </c>
      <c r="K893" s="11"/>
      <c r="L893" s="10" t="s">
        <v>2091</v>
      </c>
      <c r="M893" s="10" t="s">
        <v>58</v>
      </c>
      <c r="N893" s="10" t="s">
        <v>414</v>
      </c>
      <c r="O893" s="10">
        <v>2003</v>
      </c>
      <c r="P893" s="8">
        <v>42986</v>
      </c>
      <c r="Q893" s="12" t="s">
        <v>2092</v>
      </c>
    </row>
    <row r="894" spans="1:17" x14ac:dyDescent="0.2">
      <c r="A894">
        <f t="shared" si="13"/>
        <v>1705035</v>
      </c>
      <c r="B894" s="7" t="s">
        <v>2868</v>
      </c>
      <c r="C894" s="8"/>
      <c r="D894" s="8"/>
      <c r="E894" s="9" t="s">
        <v>37</v>
      </c>
      <c r="F894" s="10" t="s">
        <v>16</v>
      </c>
      <c r="G894" s="10" t="s">
        <v>303</v>
      </c>
      <c r="H894" s="10" t="s">
        <v>2093</v>
      </c>
      <c r="I894" s="10" t="s">
        <v>506</v>
      </c>
      <c r="J894" s="11">
        <v>863291023</v>
      </c>
      <c r="K894" s="11"/>
      <c r="L894" s="10" t="s">
        <v>2094</v>
      </c>
      <c r="M894" s="10" t="s">
        <v>54</v>
      </c>
      <c r="N894" s="10" t="s">
        <v>72</v>
      </c>
      <c r="O894" s="10">
        <v>2011</v>
      </c>
      <c r="P894" s="8">
        <v>43117</v>
      </c>
      <c r="Q894" s="12" t="s">
        <v>640</v>
      </c>
    </row>
    <row r="895" spans="1:17" x14ac:dyDescent="0.2">
      <c r="A895">
        <f t="shared" si="13"/>
        <v>1705036</v>
      </c>
      <c r="B895" s="7" t="s">
        <v>2869</v>
      </c>
      <c r="C895" s="8"/>
      <c r="D895" s="8"/>
      <c r="E895" s="9" t="s">
        <v>37</v>
      </c>
      <c r="F895" s="10" t="s">
        <v>16</v>
      </c>
      <c r="G895" s="10" t="s">
        <v>196</v>
      </c>
      <c r="H895" s="10" t="s">
        <v>3783</v>
      </c>
      <c r="I895" s="10" t="s">
        <v>215</v>
      </c>
      <c r="J895" s="11">
        <v>944816875</v>
      </c>
      <c r="K895" s="11"/>
      <c r="L895" s="10" t="s">
        <v>3784</v>
      </c>
      <c r="M895" s="10" t="s">
        <v>47</v>
      </c>
      <c r="N895" s="10" t="s">
        <v>106</v>
      </c>
      <c r="O895" s="10">
        <v>2014</v>
      </c>
      <c r="P895" s="8">
        <v>43099</v>
      </c>
      <c r="Q895" s="12" t="s">
        <v>1742</v>
      </c>
    </row>
    <row r="896" spans="1:17" x14ac:dyDescent="0.2">
      <c r="A896">
        <f t="shared" si="13"/>
        <v>1705037</v>
      </c>
      <c r="B896" s="7" t="s">
        <v>2870</v>
      </c>
      <c r="C896" s="8"/>
      <c r="D896" s="8"/>
      <c r="E896" s="9" t="s">
        <v>37</v>
      </c>
      <c r="F896" s="10" t="s">
        <v>16</v>
      </c>
      <c r="G896" s="10" t="s">
        <v>207</v>
      </c>
      <c r="H896" s="10" t="s">
        <v>3785</v>
      </c>
      <c r="I896" s="10" t="s">
        <v>243</v>
      </c>
      <c r="J896" s="11">
        <v>927801895</v>
      </c>
      <c r="K896" s="11">
        <v>922864703</v>
      </c>
      <c r="L896" s="10" t="s">
        <v>3786</v>
      </c>
      <c r="M896" s="10" t="s">
        <v>58</v>
      </c>
      <c r="N896" s="10" t="s">
        <v>414</v>
      </c>
      <c r="O896" s="10">
        <v>2012</v>
      </c>
      <c r="P896" s="8">
        <v>43183</v>
      </c>
      <c r="Q896" s="12" t="s">
        <v>1758</v>
      </c>
    </row>
    <row r="897" spans="1:17" x14ac:dyDescent="0.2">
      <c r="A897">
        <f t="shared" si="13"/>
        <v>1705038</v>
      </c>
      <c r="B897" s="7" t="s">
        <v>2871</v>
      </c>
      <c r="C897" s="8"/>
      <c r="D897" s="8"/>
      <c r="E897" s="9" t="s">
        <v>37</v>
      </c>
      <c r="F897" s="10" t="s">
        <v>16</v>
      </c>
      <c r="G897" s="10" t="s">
        <v>202</v>
      </c>
      <c r="H897" s="10" t="s">
        <v>3787</v>
      </c>
      <c r="I897" s="10" t="s">
        <v>222</v>
      </c>
      <c r="J897" s="11">
        <v>897249911</v>
      </c>
      <c r="K897" s="11">
        <v>979977287</v>
      </c>
      <c r="L897" s="10" t="s">
        <v>3788</v>
      </c>
      <c r="M897" s="10" t="s">
        <v>54</v>
      </c>
      <c r="N897" s="10" t="s">
        <v>72</v>
      </c>
      <c r="O897" s="10">
        <v>2013</v>
      </c>
      <c r="P897" s="8" t="s">
        <v>1120</v>
      </c>
      <c r="Q897" s="12"/>
    </row>
    <row r="898" spans="1:17" x14ac:dyDescent="0.2">
      <c r="A898">
        <f t="shared" si="13"/>
        <v>1705039</v>
      </c>
      <c r="B898" s="7" t="s">
        <v>2872</v>
      </c>
      <c r="C898" s="8"/>
      <c r="D898" s="8"/>
      <c r="E898" s="9" t="s">
        <v>37</v>
      </c>
      <c r="F898" s="10" t="s">
        <v>16</v>
      </c>
      <c r="G898" s="10" t="s">
        <v>207</v>
      </c>
      <c r="H898" s="10" t="s">
        <v>2095</v>
      </c>
      <c r="I898" s="10" t="s">
        <v>2096</v>
      </c>
      <c r="J898" s="11">
        <v>917782840</v>
      </c>
      <c r="K898" s="11"/>
      <c r="L898" s="10" t="s">
        <v>2097</v>
      </c>
      <c r="M898" s="10" t="s">
        <v>47</v>
      </c>
      <c r="N898" s="10" t="s">
        <v>78</v>
      </c>
      <c r="O898" s="10">
        <v>2005</v>
      </c>
      <c r="P898" s="8" t="s">
        <v>1120</v>
      </c>
      <c r="Q898" s="12"/>
    </row>
    <row r="899" spans="1:17" x14ac:dyDescent="0.2">
      <c r="A899">
        <f t="shared" si="13"/>
        <v>1705040</v>
      </c>
      <c r="B899" s="7" t="s">
        <v>2873</v>
      </c>
      <c r="C899" s="8"/>
      <c r="D899" s="8"/>
      <c r="E899" s="9" t="s">
        <v>37</v>
      </c>
      <c r="F899" s="10" t="s">
        <v>16</v>
      </c>
      <c r="G899" s="10" t="s">
        <v>580</v>
      </c>
      <c r="H899" s="10" t="s">
        <v>1432</v>
      </c>
      <c r="I899" s="10" t="s">
        <v>254</v>
      </c>
      <c r="J899" s="11">
        <v>987825692</v>
      </c>
      <c r="K899" s="11"/>
      <c r="L899" s="10" t="s">
        <v>3381</v>
      </c>
      <c r="M899" s="10" t="s">
        <v>42</v>
      </c>
      <c r="N899" s="10" t="s">
        <v>1434</v>
      </c>
      <c r="O899" s="10">
        <v>2010</v>
      </c>
      <c r="P899" s="8">
        <v>43159</v>
      </c>
      <c r="Q899" s="12" t="s">
        <v>256</v>
      </c>
    </row>
    <row r="900" spans="1:17" x14ac:dyDescent="0.2">
      <c r="A900">
        <f t="shared" ref="A900:A963" si="14">VALUE(B900)</f>
        <v>1705041</v>
      </c>
      <c r="B900" s="7" t="s">
        <v>2874</v>
      </c>
      <c r="C900" s="8"/>
      <c r="D900" s="8"/>
      <c r="E900" s="9" t="s">
        <v>37</v>
      </c>
      <c r="F900" s="10" t="s">
        <v>16</v>
      </c>
      <c r="G900" s="10" t="s">
        <v>337</v>
      </c>
      <c r="H900" s="10" t="s">
        <v>1974</v>
      </c>
      <c r="I900" s="10" t="s">
        <v>1192</v>
      </c>
      <c r="J900" s="11">
        <v>917133317</v>
      </c>
      <c r="K900" s="11"/>
      <c r="L900" s="10" t="s">
        <v>1975</v>
      </c>
      <c r="M900" s="10" t="s">
        <v>47</v>
      </c>
      <c r="N900" s="10" t="s">
        <v>51</v>
      </c>
      <c r="O900" s="10">
        <v>2012</v>
      </c>
      <c r="P900" s="8" t="s">
        <v>3789</v>
      </c>
      <c r="Q900" s="12"/>
    </row>
    <row r="901" spans="1:17" x14ac:dyDescent="0.2">
      <c r="A901">
        <f t="shared" si="14"/>
        <v>1705042</v>
      </c>
      <c r="B901" s="7" t="s">
        <v>2875</v>
      </c>
      <c r="C901" s="8"/>
      <c r="D901" s="8"/>
      <c r="E901" s="9" t="s">
        <v>37</v>
      </c>
      <c r="F901" s="10" t="s">
        <v>16</v>
      </c>
      <c r="G901" s="10" t="s">
        <v>207</v>
      </c>
      <c r="H901" s="10" t="s">
        <v>3790</v>
      </c>
      <c r="I901" s="10" t="s">
        <v>3791</v>
      </c>
      <c r="J901" s="11">
        <v>875584791</v>
      </c>
      <c r="K901" s="11"/>
      <c r="L901" s="10" t="s">
        <v>3792</v>
      </c>
      <c r="M901" s="10" t="s">
        <v>47</v>
      </c>
      <c r="N901" s="10" t="s">
        <v>209</v>
      </c>
      <c r="O901" s="10">
        <v>2006</v>
      </c>
      <c r="P901" s="8" t="s">
        <v>1120</v>
      </c>
      <c r="Q901" s="12"/>
    </row>
    <row r="902" spans="1:17" x14ac:dyDescent="0.2">
      <c r="A902">
        <f t="shared" si="14"/>
        <v>1705043</v>
      </c>
      <c r="B902" s="7" t="s">
        <v>2876</v>
      </c>
      <c r="C902" s="8"/>
      <c r="D902" s="8"/>
      <c r="E902" s="9" t="s">
        <v>37</v>
      </c>
      <c r="F902" s="10" t="s">
        <v>16</v>
      </c>
      <c r="G902" s="10" t="s">
        <v>303</v>
      </c>
      <c r="H902" s="10" t="s">
        <v>3793</v>
      </c>
      <c r="I902" s="10" t="s">
        <v>492</v>
      </c>
      <c r="J902" s="11">
        <v>813428444</v>
      </c>
      <c r="K902" s="11">
        <v>814468151</v>
      </c>
      <c r="L902" s="10" t="s">
        <v>3794</v>
      </c>
      <c r="M902" s="10" t="s">
        <v>54</v>
      </c>
      <c r="N902" s="10" t="s">
        <v>72</v>
      </c>
      <c r="O902" s="10">
        <v>2012</v>
      </c>
      <c r="P902" s="8">
        <v>43155</v>
      </c>
      <c r="Q902" s="12" t="s">
        <v>1069</v>
      </c>
    </row>
    <row r="903" spans="1:17" x14ac:dyDescent="0.2">
      <c r="A903">
        <f t="shared" si="14"/>
        <v>1705044</v>
      </c>
      <c r="B903" s="7" t="s">
        <v>2877</v>
      </c>
      <c r="C903" s="8"/>
      <c r="D903" s="8"/>
      <c r="E903" s="9" t="s">
        <v>37</v>
      </c>
      <c r="F903" s="10" t="s">
        <v>16</v>
      </c>
      <c r="G903" s="10" t="s">
        <v>303</v>
      </c>
      <c r="H903" s="10" t="s">
        <v>2098</v>
      </c>
      <c r="I903" s="10" t="s">
        <v>215</v>
      </c>
      <c r="J903" s="11">
        <v>959864457</v>
      </c>
      <c r="K903" s="11"/>
      <c r="L903" s="10" t="s">
        <v>2099</v>
      </c>
      <c r="M903" s="10" t="s">
        <v>54</v>
      </c>
      <c r="N903" s="10" t="s">
        <v>72</v>
      </c>
      <c r="O903" s="10">
        <v>2009</v>
      </c>
      <c r="P903" s="8">
        <v>42877</v>
      </c>
      <c r="Q903" s="12" t="s">
        <v>520</v>
      </c>
    </row>
    <row r="904" spans="1:17" x14ac:dyDescent="0.2">
      <c r="A904">
        <f t="shared" si="14"/>
        <v>1705045</v>
      </c>
      <c r="B904" s="7" t="s">
        <v>2878</v>
      </c>
      <c r="C904" s="8"/>
      <c r="D904" s="8"/>
      <c r="E904" s="9" t="s">
        <v>37</v>
      </c>
      <c r="F904" s="10" t="s">
        <v>16</v>
      </c>
      <c r="G904" s="10" t="s">
        <v>337</v>
      </c>
      <c r="H904" s="10" t="s">
        <v>3795</v>
      </c>
      <c r="I904" s="10" t="s">
        <v>233</v>
      </c>
      <c r="J904" s="11">
        <v>890370158</v>
      </c>
      <c r="K904" s="11">
        <v>891089575</v>
      </c>
      <c r="L904" s="10" t="s">
        <v>3796</v>
      </c>
      <c r="M904" s="10" t="s">
        <v>42</v>
      </c>
      <c r="N904" s="10" t="s">
        <v>778</v>
      </c>
      <c r="O904" s="10">
        <v>2012</v>
      </c>
      <c r="P904" s="8">
        <v>43124</v>
      </c>
      <c r="Q904" s="12" t="s">
        <v>1042</v>
      </c>
    </row>
    <row r="905" spans="1:17" x14ac:dyDescent="0.2">
      <c r="A905">
        <f t="shared" si="14"/>
        <v>1705046</v>
      </c>
      <c r="B905" s="7" t="s">
        <v>2879</v>
      </c>
      <c r="C905" s="8"/>
      <c r="D905" s="8"/>
      <c r="E905" s="9" t="s">
        <v>37</v>
      </c>
      <c r="F905" s="10" t="s">
        <v>16</v>
      </c>
      <c r="G905" s="10" t="s">
        <v>225</v>
      </c>
      <c r="H905" s="10" t="s">
        <v>755</v>
      </c>
      <c r="I905" s="10" t="s">
        <v>263</v>
      </c>
      <c r="J905" s="11">
        <v>891222680</v>
      </c>
      <c r="K905" s="11"/>
      <c r="L905" s="10" t="s">
        <v>756</v>
      </c>
      <c r="M905" s="10" t="s">
        <v>87</v>
      </c>
      <c r="N905" s="10">
        <v>3</v>
      </c>
      <c r="O905" s="10">
        <v>2013</v>
      </c>
      <c r="P905" s="8">
        <v>43131</v>
      </c>
      <c r="Q905" s="12" t="s">
        <v>656</v>
      </c>
    </row>
    <row r="906" spans="1:17" x14ac:dyDescent="0.2">
      <c r="A906">
        <f t="shared" si="14"/>
        <v>1705047</v>
      </c>
      <c r="B906" s="7" t="s">
        <v>2880</v>
      </c>
      <c r="C906" s="8"/>
      <c r="D906" s="8"/>
      <c r="E906" s="9" t="s">
        <v>37</v>
      </c>
      <c r="F906" s="10" t="s">
        <v>16</v>
      </c>
      <c r="G906" s="10" t="s">
        <v>202</v>
      </c>
      <c r="H906" s="10" t="s">
        <v>3797</v>
      </c>
      <c r="I906" s="10" t="s">
        <v>506</v>
      </c>
      <c r="J906" s="11">
        <v>816122690</v>
      </c>
      <c r="K906" s="11" t="s">
        <v>3798</v>
      </c>
      <c r="L906" s="10" t="s">
        <v>3799</v>
      </c>
      <c r="M906" s="10" t="s">
        <v>47</v>
      </c>
      <c r="N906" s="10" t="s">
        <v>106</v>
      </c>
      <c r="O906" s="10">
        <v>2008</v>
      </c>
      <c r="P906" s="8">
        <v>43063</v>
      </c>
      <c r="Q906" s="12" t="s">
        <v>335</v>
      </c>
    </row>
    <row r="907" spans="1:17" x14ac:dyDescent="0.2">
      <c r="A907">
        <f t="shared" si="14"/>
        <v>1705048</v>
      </c>
      <c r="B907" s="7" t="s">
        <v>2881</v>
      </c>
      <c r="C907" s="8"/>
      <c r="D907" s="8"/>
      <c r="E907" s="9" t="s">
        <v>37</v>
      </c>
      <c r="F907" s="10" t="s">
        <v>16</v>
      </c>
      <c r="G907" s="10" t="s">
        <v>207</v>
      </c>
      <c r="H907" s="10" t="s">
        <v>3800</v>
      </c>
      <c r="I907" s="10" t="s">
        <v>243</v>
      </c>
      <c r="J907" s="11">
        <v>888743984</v>
      </c>
      <c r="K907" s="11"/>
      <c r="L907" s="10" t="s">
        <v>3801</v>
      </c>
      <c r="M907" s="10" t="s">
        <v>538</v>
      </c>
      <c r="N907" s="10" t="s">
        <v>1076</v>
      </c>
      <c r="O907" s="10">
        <v>2009</v>
      </c>
      <c r="P907" s="8">
        <v>42876</v>
      </c>
      <c r="Q907" s="12" t="s">
        <v>2103</v>
      </c>
    </row>
    <row r="908" spans="1:17" x14ac:dyDescent="0.2">
      <c r="A908">
        <f t="shared" si="14"/>
        <v>1705049</v>
      </c>
      <c r="B908" s="7" t="s">
        <v>2882</v>
      </c>
      <c r="C908" s="8"/>
      <c r="D908" s="8"/>
      <c r="E908" s="9" t="s">
        <v>37</v>
      </c>
      <c r="F908" s="10" t="s">
        <v>16</v>
      </c>
      <c r="G908" s="10" t="s">
        <v>1729</v>
      </c>
      <c r="H908" s="10" t="s">
        <v>3802</v>
      </c>
      <c r="I908" s="10" t="s">
        <v>286</v>
      </c>
      <c r="J908" s="11">
        <v>814421709</v>
      </c>
      <c r="K908" s="11"/>
      <c r="L908" s="10" t="s">
        <v>3803</v>
      </c>
      <c r="M908" s="10" t="s">
        <v>87</v>
      </c>
      <c r="N908" s="10">
        <v>2</v>
      </c>
      <c r="O908" s="10">
        <v>2013</v>
      </c>
      <c r="P908" s="8">
        <v>43214</v>
      </c>
      <c r="Q908" s="12" t="s">
        <v>229</v>
      </c>
    </row>
    <row r="909" spans="1:17" x14ac:dyDescent="0.2">
      <c r="A909">
        <f t="shared" si="14"/>
        <v>1705050</v>
      </c>
      <c r="B909" s="7" t="s">
        <v>2883</v>
      </c>
      <c r="C909" s="8"/>
      <c r="D909" s="8"/>
      <c r="E909" s="9" t="s">
        <v>37</v>
      </c>
      <c r="F909" s="10" t="s">
        <v>16</v>
      </c>
      <c r="G909" s="10" t="s">
        <v>225</v>
      </c>
      <c r="H909" s="10" t="s">
        <v>3804</v>
      </c>
      <c r="I909" s="10" t="s">
        <v>625</v>
      </c>
      <c r="J909" s="11">
        <v>914104009</v>
      </c>
      <c r="K909" s="11"/>
      <c r="L909" s="10" t="s">
        <v>3805</v>
      </c>
      <c r="M909" s="10" t="s">
        <v>47</v>
      </c>
      <c r="N909" s="10" t="s">
        <v>106</v>
      </c>
      <c r="O909" s="10">
        <v>2013</v>
      </c>
      <c r="P909" s="8">
        <v>43087</v>
      </c>
      <c r="Q909" s="12" t="s">
        <v>820</v>
      </c>
    </row>
    <row r="910" spans="1:17" x14ac:dyDescent="0.2">
      <c r="A910">
        <f t="shared" si="14"/>
        <v>1705051</v>
      </c>
      <c r="B910" s="7" t="s">
        <v>2884</v>
      </c>
      <c r="C910" s="8"/>
      <c r="D910" s="8"/>
      <c r="E910" s="9" t="s">
        <v>37</v>
      </c>
      <c r="F910" s="10" t="s">
        <v>16</v>
      </c>
      <c r="G910" s="10" t="s">
        <v>207</v>
      </c>
      <c r="H910" s="10" t="s">
        <v>3806</v>
      </c>
      <c r="I910" s="10" t="s">
        <v>243</v>
      </c>
      <c r="J910" s="11">
        <v>815671844</v>
      </c>
      <c r="K910" s="11">
        <v>917061206</v>
      </c>
      <c r="L910" s="10" t="s">
        <v>3807</v>
      </c>
      <c r="M910" s="10" t="s">
        <v>54</v>
      </c>
      <c r="N910" s="10" t="s">
        <v>72</v>
      </c>
      <c r="O910" s="10">
        <v>2016</v>
      </c>
      <c r="P910" s="8">
        <v>43104</v>
      </c>
      <c r="Q910" s="12" t="s">
        <v>2104</v>
      </c>
    </row>
    <row r="911" spans="1:17" x14ac:dyDescent="0.2">
      <c r="A911">
        <f t="shared" si="14"/>
        <v>1705052</v>
      </c>
      <c r="B911" s="7" t="s">
        <v>2885</v>
      </c>
      <c r="C911" s="8"/>
      <c r="D911" s="8"/>
      <c r="E911" s="9" t="s">
        <v>37</v>
      </c>
      <c r="F911" s="10" t="s">
        <v>16</v>
      </c>
      <c r="G911" s="10" t="s">
        <v>202</v>
      </c>
      <c r="H911" s="10" t="s">
        <v>2105</v>
      </c>
      <c r="I911" s="10" t="s">
        <v>2106</v>
      </c>
      <c r="J911" s="11">
        <v>879115544</v>
      </c>
      <c r="K911" s="11"/>
      <c r="L911" s="10" t="s">
        <v>2107</v>
      </c>
      <c r="M911" s="10" t="s">
        <v>42</v>
      </c>
      <c r="N911" s="10" t="s">
        <v>75</v>
      </c>
      <c r="O911" s="10">
        <v>2005</v>
      </c>
      <c r="P911" s="8">
        <v>42936</v>
      </c>
      <c r="Q911" s="12" t="s">
        <v>1861</v>
      </c>
    </row>
    <row r="912" spans="1:17" x14ac:dyDescent="0.2">
      <c r="A912">
        <f t="shared" si="14"/>
        <v>1705053</v>
      </c>
      <c r="B912" s="7" t="s">
        <v>2886</v>
      </c>
      <c r="C912" s="8"/>
      <c r="D912" s="8"/>
      <c r="E912" s="9" t="s">
        <v>37</v>
      </c>
      <c r="F912" s="10" t="s">
        <v>16</v>
      </c>
      <c r="G912" s="10" t="s">
        <v>202</v>
      </c>
      <c r="H912" s="10" t="s">
        <v>3808</v>
      </c>
      <c r="I912" s="10" t="s">
        <v>254</v>
      </c>
      <c r="J912" s="11">
        <v>858373383</v>
      </c>
      <c r="K912" s="11"/>
      <c r="L912" s="10" t="s">
        <v>3809</v>
      </c>
      <c r="M912" s="10" t="s">
        <v>93</v>
      </c>
      <c r="N912" s="10" t="s">
        <v>3810</v>
      </c>
      <c r="O912" s="10">
        <v>2015</v>
      </c>
      <c r="P912" s="8">
        <v>43081</v>
      </c>
      <c r="Q912" s="12" t="s">
        <v>779</v>
      </c>
    </row>
    <row r="913" spans="1:17" x14ac:dyDescent="0.2">
      <c r="A913">
        <f t="shared" si="14"/>
        <v>1705054</v>
      </c>
      <c r="B913" s="7" t="s">
        <v>2887</v>
      </c>
      <c r="C913" s="8"/>
      <c r="D913" s="8"/>
      <c r="E913" s="9" t="s">
        <v>37</v>
      </c>
      <c r="F913" s="10" t="s">
        <v>16</v>
      </c>
      <c r="G913" s="10" t="s">
        <v>231</v>
      </c>
      <c r="H913" s="10" t="s">
        <v>3811</v>
      </c>
      <c r="I913" s="10" t="s">
        <v>263</v>
      </c>
      <c r="J913" s="11">
        <v>865577611</v>
      </c>
      <c r="K913" s="11"/>
      <c r="L913" s="10" t="s">
        <v>3812</v>
      </c>
      <c r="M913" s="10" t="s">
        <v>42</v>
      </c>
      <c r="N913" s="10" t="s">
        <v>75</v>
      </c>
      <c r="O913" s="10">
        <v>2011</v>
      </c>
      <c r="P913" s="8" t="s">
        <v>1120</v>
      </c>
      <c r="Q913" s="12"/>
    </row>
    <row r="914" spans="1:17" x14ac:dyDescent="0.2">
      <c r="A914">
        <f t="shared" si="14"/>
        <v>1705055</v>
      </c>
      <c r="B914" s="7" t="s">
        <v>2888</v>
      </c>
      <c r="C914" s="8"/>
      <c r="D914" s="8"/>
      <c r="E914" s="9" t="s">
        <v>37</v>
      </c>
      <c r="F914" s="10" t="s">
        <v>16</v>
      </c>
      <c r="G914" s="10" t="s">
        <v>1729</v>
      </c>
      <c r="H914" s="10" t="s">
        <v>3813</v>
      </c>
      <c r="I914" s="10" t="s">
        <v>233</v>
      </c>
      <c r="J914" s="11">
        <v>631058622</v>
      </c>
      <c r="K914" s="11">
        <v>929502459</v>
      </c>
      <c r="L914" s="10" t="s">
        <v>3814</v>
      </c>
      <c r="M914" s="10" t="s">
        <v>47</v>
      </c>
      <c r="N914" s="10" t="s">
        <v>48</v>
      </c>
      <c r="O914" s="10">
        <v>2010</v>
      </c>
      <c r="P914" s="8">
        <v>43015</v>
      </c>
      <c r="Q914" s="12" t="s">
        <v>301</v>
      </c>
    </row>
    <row r="915" spans="1:17" x14ac:dyDescent="0.2">
      <c r="A915">
        <f t="shared" si="14"/>
        <v>1705056</v>
      </c>
      <c r="B915" s="7" t="s">
        <v>2889</v>
      </c>
      <c r="C915" s="8"/>
      <c r="D915" s="8"/>
      <c r="E915" s="9" t="s">
        <v>37</v>
      </c>
      <c r="F915" s="10" t="s">
        <v>16</v>
      </c>
      <c r="G915" s="10" t="s">
        <v>207</v>
      </c>
      <c r="H915" s="10" t="s">
        <v>3815</v>
      </c>
      <c r="I915" s="10" t="s">
        <v>233</v>
      </c>
      <c r="J915" s="11">
        <v>628430270</v>
      </c>
      <c r="K915" s="11"/>
      <c r="L915" s="10" t="s">
        <v>3816</v>
      </c>
      <c r="M915" s="10" t="s">
        <v>47</v>
      </c>
      <c r="N915" s="10" t="s">
        <v>48</v>
      </c>
      <c r="O915" s="10">
        <v>2004</v>
      </c>
      <c r="P915" s="8">
        <v>43002</v>
      </c>
      <c r="Q915" s="12" t="s">
        <v>1377</v>
      </c>
    </row>
    <row r="916" spans="1:17" x14ac:dyDescent="0.2">
      <c r="A916">
        <f t="shared" si="14"/>
        <v>1705057</v>
      </c>
      <c r="B916" s="7" t="s">
        <v>2890</v>
      </c>
      <c r="C916" s="8"/>
      <c r="D916" s="8"/>
      <c r="E916" s="9" t="s">
        <v>37</v>
      </c>
      <c r="F916" s="10" t="s">
        <v>16</v>
      </c>
      <c r="G916" s="10" t="s">
        <v>225</v>
      </c>
      <c r="H916" s="10" t="s">
        <v>3817</v>
      </c>
      <c r="I916" s="10" t="s">
        <v>429</v>
      </c>
      <c r="J916" s="11">
        <v>810020122</v>
      </c>
      <c r="K916" s="11"/>
      <c r="L916" s="10" t="s">
        <v>3818</v>
      </c>
      <c r="M916" s="10" t="s">
        <v>47</v>
      </c>
      <c r="N916" s="10" t="s">
        <v>106</v>
      </c>
      <c r="O916" s="10">
        <v>2013</v>
      </c>
      <c r="P916" s="8">
        <v>43010</v>
      </c>
      <c r="Q916" s="12" t="s">
        <v>2122</v>
      </c>
    </row>
    <row r="917" spans="1:17" x14ac:dyDescent="0.2">
      <c r="A917">
        <f t="shared" si="14"/>
        <v>1705058</v>
      </c>
      <c r="B917" s="7" t="s">
        <v>2891</v>
      </c>
      <c r="C917" s="8"/>
      <c r="D917" s="8"/>
      <c r="E917" s="9" t="s">
        <v>37</v>
      </c>
      <c r="F917" s="10" t="s">
        <v>16</v>
      </c>
      <c r="G917" s="10" t="s">
        <v>202</v>
      </c>
      <c r="H917" s="10" t="s">
        <v>653</v>
      </c>
      <c r="I917" s="10" t="s">
        <v>233</v>
      </c>
      <c r="J917" s="11">
        <v>815638323</v>
      </c>
      <c r="K917" s="11"/>
      <c r="L917" s="10" t="s">
        <v>1490</v>
      </c>
      <c r="M917" s="10" t="s">
        <v>47</v>
      </c>
      <c r="N917" s="10" t="s">
        <v>209</v>
      </c>
      <c r="O917" s="10">
        <v>2010</v>
      </c>
      <c r="P917" s="8">
        <v>42868</v>
      </c>
      <c r="Q917" s="12" t="s">
        <v>779</v>
      </c>
    </row>
    <row r="918" spans="1:17" x14ac:dyDescent="0.2">
      <c r="A918">
        <f t="shared" si="14"/>
        <v>1705059</v>
      </c>
      <c r="B918" s="7" t="s">
        <v>2892</v>
      </c>
      <c r="C918" s="8"/>
      <c r="D918" s="8"/>
      <c r="E918" s="9" t="s">
        <v>37</v>
      </c>
      <c r="F918" s="10" t="s">
        <v>16</v>
      </c>
      <c r="G918" s="10" t="s">
        <v>196</v>
      </c>
      <c r="H918" s="10" t="s">
        <v>3819</v>
      </c>
      <c r="I918" s="10" t="s">
        <v>254</v>
      </c>
      <c r="J918" s="11">
        <v>812861394</v>
      </c>
      <c r="K918" s="11"/>
      <c r="L918" s="10" t="s">
        <v>3820</v>
      </c>
      <c r="M918" s="10" t="s">
        <v>58</v>
      </c>
      <c r="N918" s="10" t="s">
        <v>414</v>
      </c>
      <c r="O918" s="10">
        <v>2007</v>
      </c>
      <c r="P918" s="8">
        <v>42876</v>
      </c>
      <c r="Q918" s="12" t="s">
        <v>292</v>
      </c>
    </row>
    <row r="919" spans="1:17" x14ac:dyDescent="0.2">
      <c r="A919">
        <f t="shared" si="14"/>
        <v>1705060</v>
      </c>
      <c r="B919" s="7" t="s">
        <v>2893</v>
      </c>
      <c r="C919" s="8"/>
      <c r="D919" s="8"/>
      <c r="E919" s="9" t="s">
        <v>37</v>
      </c>
      <c r="F919" s="10" t="s">
        <v>16</v>
      </c>
      <c r="G919" s="10" t="s">
        <v>225</v>
      </c>
      <c r="H919" s="10" t="s">
        <v>2130</v>
      </c>
      <c r="I919" s="10" t="s">
        <v>2131</v>
      </c>
      <c r="J919" s="11">
        <v>819073252</v>
      </c>
      <c r="K919" s="11">
        <v>893008389</v>
      </c>
      <c r="L919" s="10" t="s">
        <v>2132</v>
      </c>
      <c r="M919" s="10" t="s">
        <v>47</v>
      </c>
      <c r="N919" s="10" t="s">
        <v>48</v>
      </c>
      <c r="O919" s="10">
        <v>2009</v>
      </c>
      <c r="P919" s="8">
        <v>43023</v>
      </c>
      <c r="Q919" s="12" t="s">
        <v>341</v>
      </c>
    </row>
    <row r="920" spans="1:17" x14ac:dyDescent="0.2">
      <c r="A920">
        <f t="shared" si="14"/>
        <v>1705061</v>
      </c>
      <c r="B920" s="7" t="s">
        <v>2894</v>
      </c>
      <c r="C920" s="8"/>
      <c r="D920" s="8"/>
      <c r="E920" s="9" t="s">
        <v>37</v>
      </c>
      <c r="F920" s="10" t="s">
        <v>16</v>
      </c>
      <c r="G920" s="10" t="s">
        <v>202</v>
      </c>
      <c r="H920" s="10" t="s">
        <v>2133</v>
      </c>
      <c r="I920" s="10" t="s">
        <v>254</v>
      </c>
      <c r="J920" s="11">
        <v>870235666</v>
      </c>
      <c r="K920" s="11"/>
      <c r="L920" s="10" t="s">
        <v>2134</v>
      </c>
      <c r="M920" s="10" t="s">
        <v>47</v>
      </c>
      <c r="N920" s="10" t="s">
        <v>209</v>
      </c>
      <c r="O920" s="10">
        <v>2013</v>
      </c>
      <c r="P920" s="8">
        <v>43109</v>
      </c>
      <c r="Q920" s="12" t="s">
        <v>2135</v>
      </c>
    </row>
    <row r="921" spans="1:17" x14ac:dyDescent="0.2">
      <c r="A921">
        <f t="shared" si="14"/>
        <v>1705062</v>
      </c>
      <c r="B921" s="7" t="s">
        <v>2895</v>
      </c>
      <c r="C921" s="8"/>
      <c r="D921" s="8"/>
      <c r="E921" s="9" t="s">
        <v>37</v>
      </c>
      <c r="F921" s="10" t="s">
        <v>16</v>
      </c>
      <c r="G921" s="10" t="s">
        <v>202</v>
      </c>
      <c r="H921" s="10" t="s">
        <v>3821</v>
      </c>
      <c r="I921" s="10" t="s">
        <v>233</v>
      </c>
      <c r="J921" s="11">
        <v>891143876</v>
      </c>
      <c r="K921" s="11"/>
      <c r="L921" s="10" t="s">
        <v>3822</v>
      </c>
      <c r="M921" s="10" t="s">
        <v>42</v>
      </c>
      <c r="N921" s="10" t="s">
        <v>3823</v>
      </c>
      <c r="O921" s="10">
        <v>2014</v>
      </c>
      <c r="P921" s="8">
        <v>42881</v>
      </c>
      <c r="Q921" s="12" t="s">
        <v>1042</v>
      </c>
    </row>
    <row r="922" spans="1:17" x14ac:dyDescent="0.2">
      <c r="A922">
        <f t="shared" si="14"/>
        <v>1705063</v>
      </c>
      <c r="B922" s="7" t="s">
        <v>2896</v>
      </c>
      <c r="C922" s="8"/>
      <c r="D922" s="8"/>
      <c r="E922" s="9" t="s">
        <v>37</v>
      </c>
      <c r="F922" s="10" t="s">
        <v>16</v>
      </c>
      <c r="G922" s="10" t="s">
        <v>231</v>
      </c>
      <c r="H922" s="10" t="s">
        <v>3824</v>
      </c>
      <c r="I922" s="10" t="s">
        <v>233</v>
      </c>
      <c r="J922" s="11">
        <v>888697015</v>
      </c>
      <c r="K922" s="11"/>
      <c r="L922" s="10" t="s">
        <v>3825</v>
      </c>
      <c r="M922" s="10" t="s">
        <v>126</v>
      </c>
      <c r="N922" s="10" t="s">
        <v>172</v>
      </c>
      <c r="O922" s="10">
        <v>2011</v>
      </c>
      <c r="P922" s="8">
        <v>42818</v>
      </c>
      <c r="Q922" s="12" t="s">
        <v>1080</v>
      </c>
    </row>
    <row r="923" spans="1:17" x14ac:dyDescent="0.2">
      <c r="A923">
        <f t="shared" si="14"/>
        <v>1706001</v>
      </c>
      <c r="B923" s="7" t="s">
        <v>2897</v>
      </c>
      <c r="C923" s="8"/>
      <c r="D923" s="8"/>
      <c r="E923" s="9" t="s">
        <v>37</v>
      </c>
      <c r="F923" s="10" t="s">
        <v>16</v>
      </c>
      <c r="G923" s="10" t="s">
        <v>207</v>
      </c>
      <c r="H923" s="10" t="s">
        <v>3826</v>
      </c>
      <c r="I923" s="10" t="s">
        <v>254</v>
      </c>
      <c r="J923" s="11">
        <v>847279129</v>
      </c>
      <c r="K923" s="11">
        <v>820790360</v>
      </c>
      <c r="L923" s="10" t="s">
        <v>3827</v>
      </c>
      <c r="M923" s="10" t="s">
        <v>47</v>
      </c>
      <c r="N923" s="10" t="s">
        <v>106</v>
      </c>
      <c r="O923" s="10">
        <v>2012</v>
      </c>
      <c r="P923" s="8" t="s">
        <v>1120</v>
      </c>
      <c r="Q923" s="12"/>
    </row>
    <row r="924" spans="1:17" x14ac:dyDescent="0.2">
      <c r="A924">
        <f t="shared" si="14"/>
        <v>1706002</v>
      </c>
      <c r="B924" s="7" t="s">
        <v>2898</v>
      </c>
      <c r="C924" s="8"/>
      <c r="D924" s="8"/>
      <c r="E924" s="9" t="s">
        <v>37</v>
      </c>
      <c r="F924" s="10" t="s">
        <v>16</v>
      </c>
      <c r="G924" s="10" t="s">
        <v>207</v>
      </c>
      <c r="H924" s="10" t="s">
        <v>3828</v>
      </c>
      <c r="I924" s="10" t="s">
        <v>254</v>
      </c>
      <c r="J924" s="11">
        <v>890186482</v>
      </c>
      <c r="K924" s="11"/>
      <c r="L924" s="10" t="s">
        <v>3829</v>
      </c>
      <c r="M924" s="10" t="s">
        <v>54</v>
      </c>
      <c r="N924" s="10" t="s">
        <v>3281</v>
      </c>
      <c r="O924" s="10">
        <v>2002</v>
      </c>
      <c r="P924" s="8">
        <v>43036</v>
      </c>
      <c r="Q924" s="12" t="s">
        <v>2156</v>
      </c>
    </row>
    <row r="925" spans="1:17" x14ac:dyDescent="0.2">
      <c r="A925">
        <f t="shared" si="14"/>
        <v>1706003</v>
      </c>
      <c r="B925" s="7" t="s">
        <v>2899</v>
      </c>
      <c r="C925" s="8"/>
      <c r="D925" s="8"/>
      <c r="E925" s="9" t="s">
        <v>37</v>
      </c>
      <c r="F925" s="10" t="s">
        <v>16</v>
      </c>
      <c r="G925" s="10" t="s">
        <v>207</v>
      </c>
      <c r="H925" s="10" t="s">
        <v>3830</v>
      </c>
      <c r="I925" s="10" t="s">
        <v>233</v>
      </c>
      <c r="J925" s="11">
        <v>980162267</v>
      </c>
      <c r="K925" s="11"/>
      <c r="L925" s="10" t="s">
        <v>3831</v>
      </c>
      <c r="M925" s="10" t="s">
        <v>126</v>
      </c>
      <c r="N925" s="10" t="s">
        <v>297</v>
      </c>
      <c r="O925" s="10">
        <v>2016</v>
      </c>
      <c r="P925" s="8" t="s">
        <v>1120</v>
      </c>
      <c r="Q925" s="12"/>
    </row>
    <row r="926" spans="1:17" x14ac:dyDescent="0.2">
      <c r="A926">
        <f t="shared" si="14"/>
        <v>1706004</v>
      </c>
      <c r="B926" s="7" t="s">
        <v>2900</v>
      </c>
      <c r="C926" s="8"/>
      <c r="D926" s="8"/>
      <c r="E926" s="9" t="s">
        <v>37</v>
      </c>
      <c r="F926" s="10" t="s">
        <v>16</v>
      </c>
      <c r="G926" s="10" t="s">
        <v>207</v>
      </c>
      <c r="H926" s="10" t="s">
        <v>2157</v>
      </c>
      <c r="I926" s="10" t="s">
        <v>254</v>
      </c>
      <c r="J926" s="11">
        <v>879949954</v>
      </c>
      <c r="K926" s="11"/>
      <c r="L926" s="10" t="s">
        <v>2158</v>
      </c>
      <c r="M926" s="10" t="s">
        <v>87</v>
      </c>
      <c r="N926" s="10" t="s">
        <v>498</v>
      </c>
      <c r="O926" s="10">
        <v>2015</v>
      </c>
      <c r="P926" s="8">
        <v>42920</v>
      </c>
      <c r="Q926" s="12" t="s">
        <v>1758</v>
      </c>
    </row>
    <row r="927" spans="1:17" x14ac:dyDescent="0.2">
      <c r="A927">
        <f t="shared" si="14"/>
        <v>1706005</v>
      </c>
      <c r="B927" s="7" t="s">
        <v>2901</v>
      </c>
      <c r="C927" s="8"/>
      <c r="D927" s="8"/>
      <c r="E927" s="9" t="s">
        <v>37</v>
      </c>
      <c r="F927" s="10" t="s">
        <v>16</v>
      </c>
      <c r="G927" s="10" t="s">
        <v>196</v>
      </c>
      <c r="H927" s="10" t="s">
        <v>3832</v>
      </c>
      <c r="I927" s="10" t="s">
        <v>506</v>
      </c>
      <c r="J927" s="11">
        <v>860656164</v>
      </c>
      <c r="K927" s="11"/>
      <c r="L927" s="10" t="s">
        <v>3833</v>
      </c>
      <c r="M927" s="10" t="s">
        <v>54</v>
      </c>
      <c r="N927" s="10" t="s">
        <v>72</v>
      </c>
      <c r="O927" s="10">
        <v>2012</v>
      </c>
      <c r="P927" s="8">
        <v>42931</v>
      </c>
      <c r="Q927" s="12" t="s">
        <v>1542</v>
      </c>
    </row>
    <row r="928" spans="1:17" x14ac:dyDescent="0.2">
      <c r="A928">
        <f t="shared" si="14"/>
        <v>1706006</v>
      </c>
      <c r="B928" s="7" t="s">
        <v>2902</v>
      </c>
      <c r="C928" s="8"/>
      <c r="D928" s="8"/>
      <c r="E928" s="9" t="s">
        <v>37</v>
      </c>
      <c r="F928" s="10" t="s">
        <v>16</v>
      </c>
      <c r="G928" s="10" t="s">
        <v>207</v>
      </c>
      <c r="H928" s="10" t="s">
        <v>2159</v>
      </c>
      <c r="I928" s="10" t="s">
        <v>267</v>
      </c>
      <c r="J928" s="11">
        <v>896699232</v>
      </c>
      <c r="K928" s="11"/>
      <c r="L928" s="10" t="s">
        <v>2160</v>
      </c>
      <c r="M928" s="10" t="s">
        <v>54</v>
      </c>
      <c r="N928" s="10" t="s">
        <v>72</v>
      </c>
      <c r="O928" s="10">
        <v>2012</v>
      </c>
      <c r="P928" s="8">
        <v>43151</v>
      </c>
      <c r="Q928" s="12" t="s">
        <v>251</v>
      </c>
    </row>
    <row r="929" spans="1:17" x14ac:dyDescent="0.2">
      <c r="A929">
        <f t="shared" si="14"/>
        <v>1706007</v>
      </c>
      <c r="B929" s="7" t="s">
        <v>2903</v>
      </c>
      <c r="C929" s="8"/>
      <c r="D929" s="8"/>
      <c r="E929" s="9" t="s">
        <v>37</v>
      </c>
      <c r="F929" s="10" t="s">
        <v>16</v>
      </c>
      <c r="G929" s="10" t="s">
        <v>202</v>
      </c>
      <c r="H929" s="10" t="s">
        <v>3834</v>
      </c>
      <c r="I929" s="10" t="s">
        <v>254</v>
      </c>
      <c r="J929" s="11">
        <v>819851847</v>
      </c>
      <c r="K929" s="11"/>
      <c r="L929" s="10" t="s">
        <v>3835</v>
      </c>
      <c r="M929" s="10" t="s">
        <v>47</v>
      </c>
      <c r="N929" s="10" t="s">
        <v>106</v>
      </c>
      <c r="O929" s="10">
        <v>2014</v>
      </c>
      <c r="P929" s="8">
        <v>43160</v>
      </c>
      <c r="Q929" s="12" t="s">
        <v>335</v>
      </c>
    </row>
    <row r="930" spans="1:17" x14ac:dyDescent="0.2">
      <c r="A930">
        <f t="shared" si="14"/>
        <v>1706008</v>
      </c>
      <c r="B930" s="7" t="s">
        <v>2904</v>
      </c>
      <c r="C930" s="8"/>
      <c r="D930" s="8"/>
      <c r="E930" s="9" t="s">
        <v>37</v>
      </c>
      <c r="F930" s="10" t="s">
        <v>16</v>
      </c>
      <c r="G930" s="10" t="s">
        <v>337</v>
      </c>
      <c r="H930" s="10" t="s">
        <v>3836</v>
      </c>
      <c r="I930" s="10" t="s">
        <v>263</v>
      </c>
      <c r="J930" s="11">
        <v>812983932</v>
      </c>
      <c r="K930" s="11"/>
      <c r="L930" s="10" t="s">
        <v>3837</v>
      </c>
      <c r="M930" s="10" t="s">
        <v>87</v>
      </c>
      <c r="N930" s="10">
        <v>2</v>
      </c>
      <c r="O930" s="10">
        <v>2012</v>
      </c>
      <c r="P930" s="8">
        <v>43069</v>
      </c>
      <c r="Q930" s="12" t="s">
        <v>335</v>
      </c>
    </row>
    <row r="931" spans="1:17" x14ac:dyDescent="0.2">
      <c r="A931">
        <f t="shared" si="14"/>
        <v>1706009</v>
      </c>
      <c r="B931" s="7" t="s">
        <v>2905</v>
      </c>
      <c r="C931" s="8"/>
      <c r="D931" s="8"/>
      <c r="E931" s="9" t="s">
        <v>37</v>
      </c>
      <c r="F931" s="10" t="s">
        <v>16</v>
      </c>
      <c r="G931" s="10" t="s">
        <v>225</v>
      </c>
      <c r="H931" s="10" t="s">
        <v>3838</v>
      </c>
      <c r="I931" s="10" t="s">
        <v>233</v>
      </c>
      <c r="J931" s="11">
        <v>945471127</v>
      </c>
      <c r="K931" s="11"/>
      <c r="L931" s="10" t="s">
        <v>3839</v>
      </c>
      <c r="M931" s="10" t="s">
        <v>47</v>
      </c>
      <c r="N931" s="10" t="s">
        <v>106</v>
      </c>
      <c r="O931" s="10">
        <v>2009</v>
      </c>
      <c r="P931" s="8">
        <v>43025</v>
      </c>
      <c r="Q931" s="12" t="s">
        <v>341</v>
      </c>
    </row>
    <row r="932" spans="1:17" x14ac:dyDescent="0.2">
      <c r="A932">
        <f t="shared" si="14"/>
        <v>1706010</v>
      </c>
      <c r="B932" s="7" t="s">
        <v>2906</v>
      </c>
      <c r="C932" s="8"/>
      <c r="D932" s="8"/>
      <c r="E932" s="9" t="s">
        <v>37</v>
      </c>
      <c r="F932" s="10" t="s">
        <v>16</v>
      </c>
      <c r="G932" s="10" t="s">
        <v>202</v>
      </c>
      <c r="H932" s="10" t="s">
        <v>3840</v>
      </c>
      <c r="I932" s="10" t="s">
        <v>625</v>
      </c>
      <c r="J932" s="11">
        <v>817999801</v>
      </c>
      <c r="K932" s="11">
        <v>927023995</v>
      </c>
      <c r="L932" s="10" t="s">
        <v>3841</v>
      </c>
      <c r="M932" s="10" t="s">
        <v>47</v>
      </c>
      <c r="N932" s="10" t="s">
        <v>99</v>
      </c>
      <c r="O932" s="10"/>
      <c r="P932" s="8" t="s">
        <v>1120</v>
      </c>
      <c r="Q932" s="12"/>
    </row>
    <row r="933" spans="1:17" x14ac:dyDescent="0.2">
      <c r="A933">
        <f t="shared" si="14"/>
        <v>1706011</v>
      </c>
      <c r="B933" s="7" t="s">
        <v>2907</v>
      </c>
      <c r="C933" s="8"/>
      <c r="D933" s="8"/>
      <c r="E933" s="9" t="s">
        <v>37</v>
      </c>
      <c r="F933" s="10" t="s">
        <v>16</v>
      </c>
      <c r="G933" s="10" t="s">
        <v>207</v>
      </c>
      <c r="H933" s="10" t="s">
        <v>2166</v>
      </c>
      <c r="I933" s="10"/>
      <c r="J933" s="11">
        <v>892683040</v>
      </c>
      <c r="K933" s="11"/>
      <c r="L933" s="10" t="s">
        <v>2167</v>
      </c>
      <c r="M933" s="10" t="s">
        <v>87</v>
      </c>
      <c r="N933" s="10">
        <v>3</v>
      </c>
      <c r="O933" s="10"/>
      <c r="P933" s="8"/>
      <c r="Q933" s="12"/>
    </row>
    <row r="934" spans="1:17" x14ac:dyDescent="0.2">
      <c r="A934">
        <f t="shared" si="14"/>
        <v>1706012</v>
      </c>
      <c r="B934" s="7" t="s">
        <v>2908</v>
      </c>
      <c r="C934" s="8"/>
      <c r="D934" s="8"/>
      <c r="E934" s="9" t="s">
        <v>37</v>
      </c>
      <c r="F934" s="10" t="s">
        <v>16</v>
      </c>
      <c r="G934" s="10" t="s">
        <v>337</v>
      </c>
      <c r="H934" s="10" t="s">
        <v>3842</v>
      </c>
      <c r="I934" s="10"/>
      <c r="J934" s="11">
        <v>874209503</v>
      </c>
      <c r="K934" s="11"/>
      <c r="L934" s="10" t="s">
        <v>3843</v>
      </c>
      <c r="M934" s="10" t="s">
        <v>47</v>
      </c>
      <c r="N934" s="10" t="s">
        <v>106</v>
      </c>
      <c r="O934" s="10">
        <v>2008</v>
      </c>
      <c r="P934" s="8">
        <v>42990</v>
      </c>
      <c r="Q934" s="12" t="s">
        <v>382</v>
      </c>
    </row>
    <row r="935" spans="1:17" x14ac:dyDescent="0.2">
      <c r="A935">
        <f t="shared" si="14"/>
        <v>1706013</v>
      </c>
      <c r="B935" s="7" t="s">
        <v>2909</v>
      </c>
      <c r="C935" s="8"/>
      <c r="D935" s="8"/>
      <c r="E935" s="9" t="s">
        <v>37</v>
      </c>
      <c r="F935" s="10" t="s">
        <v>16</v>
      </c>
      <c r="G935" s="10" t="s">
        <v>3155</v>
      </c>
      <c r="H935" s="10" t="s">
        <v>3844</v>
      </c>
      <c r="I935" s="10" t="s">
        <v>3565</v>
      </c>
      <c r="J935" s="11">
        <v>849018439</v>
      </c>
      <c r="K935" s="11"/>
      <c r="L935" s="10" t="s">
        <v>3845</v>
      </c>
      <c r="M935" s="10" t="s">
        <v>47</v>
      </c>
      <c r="N935" s="10" t="s">
        <v>106</v>
      </c>
      <c r="O935" s="10">
        <v>2013</v>
      </c>
      <c r="P935" s="8" t="s">
        <v>1120</v>
      </c>
      <c r="Q935" s="12"/>
    </row>
    <row r="936" spans="1:17" x14ac:dyDescent="0.2">
      <c r="A936">
        <f t="shared" si="14"/>
        <v>1706014</v>
      </c>
      <c r="B936" s="7" t="s">
        <v>2910</v>
      </c>
      <c r="C936" s="8"/>
      <c r="D936" s="8"/>
      <c r="E936" s="9" t="s">
        <v>37</v>
      </c>
      <c r="F936" s="10" t="s">
        <v>16</v>
      </c>
      <c r="G936" s="10" t="s">
        <v>337</v>
      </c>
      <c r="H936" s="10" t="s">
        <v>3846</v>
      </c>
      <c r="I936" s="10" t="s">
        <v>254</v>
      </c>
      <c r="J936" s="11">
        <v>23828969</v>
      </c>
      <c r="K936" s="11"/>
      <c r="L936" s="10" t="s">
        <v>3847</v>
      </c>
      <c r="M936" s="10" t="s">
        <v>47</v>
      </c>
      <c r="N936" s="10" t="s">
        <v>106</v>
      </c>
      <c r="O936" s="10">
        <v>2006</v>
      </c>
      <c r="P936" s="8">
        <v>43184</v>
      </c>
      <c r="Q936" s="12" t="s">
        <v>2168</v>
      </c>
    </row>
    <row r="937" spans="1:17" x14ac:dyDescent="0.2">
      <c r="A937">
        <f t="shared" si="14"/>
        <v>1706015</v>
      </c>
      <c r="B937" s="7" t="s">
        <v>2911</v>
      </c>
      <c r="C937" s="8"/>
      <c r="D937" s="8"/>
      <c r="E937" s="9" t="s">
        <v>37</v>
      </c>
      <c r="F937" s="10" t="s">
        <v>16</v>
      </c>
      <c r="G937" s="10" t="s">
        <v>207</v>
      </c>
      <c r="H937" s="10" t="s">
        <v>2169</v>
      </c>
      <c r="I937" s="10" t="s">
        <v>254</v>
      </c>
      <c r="J937" s="11">
        <v>897990629</v>
      </c>
      <c r="K937" s="11"/>
      <c r="L937" s="10" t="s">
        <v>2170</v>
      </c>
      <c r="M937" s="10" t="s">
        <v>42</v>
      </c>
      <c r="N937" s="10" t="s">
        <v>778</v>
      </c>
      <c r="O937" s="10">
        <v>2007</v>
      </c>
      <c r="P937" s="8">
        <v>43035</v>
      </c>
      <c r="Q937" s="12" t="s">
        <v>611</v>
      </c>
    </row>
    <row r="938" spans="1:17" x14ac:dyDescent="0.2">
      <c r="A938">
        <f t="shared" si="14"/>
        <v>1706016</v>
      </c>
      <c r="B938" s="7" t="s">
        <v>2912</v>
      </c>
      <c r="C938" s="8"/>
      <c r="D938" s="8"/>
      <c r="E938" s="9" t="s">
        <v>37</v>
      </c>
      <c r="F938" s="10" t="s">
        <v>16</v>
      </c>
      <c r="G938" s="10" t="s">
        <v>337</v>
      </c>
      <c r="H938" s="10" t="s">
        <v>3848</v>
      </c>
      <c r="I938" s="10" t="s">
        <v>305</v>
      </c>
      <c r="J938" s="11">
        <v>837556765</v>
      </c>
      <c r="K938" s="11"/>
      <c r="L938" s="10" t="s">
        <v>3849</v>
      </c>
      <c r="M938" s="10" t="s">
        <v>47</v>
      </c>
      <c r="N938" s="10" t="s">
        <v>106</v>
      </c>
      <c r="O938" s="10">
        <v>2012</v>
      </c>
      <c r="P938" s="8">
        <v>43206</v>
      </c>
      <c r="Q938" s="12" t="s">
        <v>341</v>
      </c>
    </row>
    <row r="939" spans="1:17" x14ac:dyDescent="0.2">
      <c r="A939">
        <f t="shared" si="14"/>
        <v>1706017</v>
      </c>
      <c r="B939" s="7" t="s">
        <v>2913</v>
      </c>
      <c r="C939" s="8"/>
      <c r="D939" s="8"/>
      <c r="E939" s="9" t="s">
        <v>37</v>
      </c>
      <c r="F939" s="10" t="s">
        <v>16</v>
      </c>
      <c r="G939" s="10" t="s">
        <v>225</v>
      </c>
      <c r="H939" s="10" t="s">
        <v>2171</v>
      </c>
      <c r="I939" s="10" t="s">
        <v>286</v>
      </c>
      <c r="J939" s="11">
        <v>997358796</v>
      </c>
      <c r="K939" s="11"/>
      <c r="L939" s="10" t="s">
        <v>2172</v>
      </c>
      <c r="M939" s="10" t="s">
        <v>109</v>
      </c>
      <c r="N939" s="10" t="s">
        <v>3740</v>
      </c>
      <c r="O939" s="10">
        <v>2012</v>
      </c>
      <c r="P939" s="8" t="s">
        <v>1120</v>
      </c>
      <c r="Q939" s="12"/>
    </row>
    <row r="940" spans="1:17" x14ac:dyDescent="0.2">
      <c r="A940">
        <f t="shared" si="14"/>
        <v>1706018</v>
      </c>
      <c r="B940" s="7" t="s">
        <v>2914</v>
      </c>
      <c r="C940" s="8"/>
      <c r="D940" s="8"/>
      <c r="E940" s="9" t="s">
        <v>37</v>
      </c>
      <c r="F940" s="10" t="s">
        <v>16</v>
      </c>
      <c r="G940" s="10" t="s">
        <v>337</v>
      </c>
      <c r="H940" s="10" t="s">
        <v>3850</v>
      </c>
      <c r="I940" s="10" t="s">
        <v>1784</v>
      </c>
      <c r="J940" s="11">
        <v>623705661</v>
      </c>
      <c r="K940" s="11"/>
      <c r="L940" s="10" t="s">
        <v>1369</v>
      </c>
      <c r="M940" s="10" t="s">
        <v>87</v>
      </c>
      <c r="N940" s="10">
        <v>2</v>
      </c>
      <c r="O940" s="10">
        <v>2013</v>
      </c>
      <c r="P940" s="8">
        <v>43289</v>
      </c>
      <c r="Q940" s="12" t="s">
        <v>350</v>
      </c>
    </row>
    <row r="941" spans="1:17" x14ac:dyDescent="0.2">
      <c r="A941">
        <f t="shared" si="14"/>
        <v>1706019</v>
      </c>
      <c r="B941" s="7" t="s">
        <v>2915</v>
      </c>
      <c r="C941" s="8"/>
      <c r="D941" s="8"/>
      <c r="E941" s="9" t="s">
        <v>37</v>
      </c>
      <c r="F941" s="10" t="s">
        <v>16</v>
      </c>
      <c r="G941" s="10" t="s">
        <v>207</v>
      </c>
      <c r="H941" s="10" t="s">
        <v>3851</v>
      </c>
      <c r="I941" s="10" t="s">
        <v>243</v>
      </c>
      <c r="J941" s="11">
        <v>909916735</v>
      </c>
      <c r="K941" s="11">
        <v>923350550</v>
      </c>
      <c r="L941" s="10" t="s">
        <v>3852</v>
      </c>
      <c r="M941" s="10" t="s">
        <v>109</v>
      </c>
      <c r="N941" s="10" t="s">
        <v>523</v>
      </c>
      <c r="O941" s="10">
        <v>2012</v>
      </c>
      <c r="P941" s="8">
        <v>43031</v>
      </c>
      <c r="Q941" s="12" t="s">
        <v>1758</v>
      </c>
    </row>
    <row r="942" spans="1:17" x14ac:dyDescent="0.2">
      <c r="A942">
        <f t="shared" si="14"/>
        <v>1706020</v>
      </c>
      <c r="B942" s="7" t="s">
        <v>2916</v>
      </c>
      <c r="C942" s="8"/>
      <c r="D942" s="8"/>
      <c r="E942" s="9" t="s">
        <v>37</v>
      </c>
      <c r="F942" s="10" t="s">
        <v>16</v>
      </c>
      <c r="G942" s="10" t="s">
        <v>196</v>
      </c>
      <c r="H942" s="10" t="s">
        <v>3853</v>
      </c>
      <c r="I942" s="10" t="s">
        <v>305</v>
      </c>
      <c r="J942" s="11">
        <v>287909040</v>
      </c>
      <c r="K942" s="11"/>
      <c r="L942" s="10" t="s">
        <v>3854</v>
      </c>
      <c r="M942" s="10" t="s">
        <v>58</v>
      </c>
      <c r="N942" s="10" t="s">
        <v>414</v>
      </c>
      <c r="O942" s="10">
        <v>2011</v>
      </c>
      <c r="P942" s="8">
        <v>43106</v>
      </c>
      <c r="Q942" s="12" t="s">
        <v>341</v>
      </c>
    </row>
    <row r="943" spans="1:17" x14ac:dyDescent="0.2">
      <c r="A943">
        <f t="shared" si="14"/>
        <v>1706021</v>
      </c>
      <c r="B943" s="7" t="s">
        <v>2917</v>
      </c>
      <c r="C943" s="8"/>
      <c r="D943" s="8"/>
      <c r="E943" s="9" t="s">
        <v>37</v>
      </c>
      <c r="F943" s="10" t="s">
        <v>16</v>
      </c>
      <c r="G943" s="10" t="s">
        <v>207</v>
      </c>
      <c r="H943" s="10" t="s">
        <v>3855</v>
      </c>
      <c r="I943" s="10" t="s">
        <v>233</v>
      </c>
      <c r="J943" s="11">
        <v>972834165</v>
      </c>
      <c r="K943" s="11"/>
      <c r="L943" s="10" t="s">
        <v>3856</v>
      </c>
      <c r="M943" s="10" t="s">
        <v>47</v>
      </c>
      <c r="N943" s="10" t="s">
        <v>106</v>
      </c>
      <c r="O943" s="10">
        <v>2009</v>
      </c>
      <c r="P943" s="8" t="s">
        <v>1120</v>
      </c>
      <c r="Q943" s="12"/>
    </row>
    <row r="944" spans="1:17" x14ac:dyDescent="0.2">
      <c r="A944">
        <f t="shared" si="14"/>
        <v>1706022</v>
      </c>
      <c r="B944" s="7" t="s">
        <v>2918</v>
      </c>
      <c r="C944" s="8"/>
      <c r="D944" s="8"/>
      <c r="E944" s="9" t="s">
        <v>37</v>
      </c>
      <c r="F944" s="10" t="s">
        <v>16</v>
      </c>
      <c r="G944" s="10" t="s">
        <v>1729</v>
      </c>
      <c r="H944" s="10" t="s">
        <v>3857</v>
      </c>
      <c r="I944" s="10" t="s">
        <v>267</v>
      </c>
      <c r="J944" s="11">
        <v>846749102</v>
      </c>
      <c r="K944" s="11"/>
      <c r="L944" s="10" t="s">
        <v>3858</v>
      </c>
      <c r="M944" s="10" t="s">
        <v>47</v>
      </c>
      <c r="N944" s="10" t="s">
        <v>106</v>
      </c>
      <c r="O944" s="10">
        <v>2011</v>
      </c>
      <c r="P944" s="8">
        <v>43243</v>
      </c>
      <c r="Q944" s="12" t="s">
        <v>301</v>
      </c>
    </row>
    <row r="945" spans="1:17" x14ac:dyDescent="0.2">
      <c r="A945">
        <f t="shared" si="14"/>
        <v>1706023</v>
      </c>
      <c r="B945" s="7" t="s">
        <v>2919</v>
      </c>
      <c r="C945" s="8"/>
      <c r="D945" s="8"/>
      <c r="E945" s="9" t="s">
        <v>37</v>
      </c>
      <c r="F945" s="10" t="s">
        <v>16</v>
      </c>
      <c r="G945" s="10" t="s">
        <v>207</v>
      </c>
      <c r="H945" s="10" t="s">
        <v>3859</v>
      </c>
      <c r="I945" s="10" t="s">
        <v>286</v>
      </c>
      <c r="J945" s="11">
        <v>875623895</v>
      </c>
      <c r="K945" s="11"/>
      <c r="L945" s="10" t="s">
        <v>3860</v>
      </c>
      <c r="M945" s="10" t="s">
        <v>47</v>
      </c>
      <c r="N945" s="10" t="s">
        <v>212</v>
      </c>
      <c r="O945" s="10">
        <v>2014</v>
      </c>
      <c r="P945" s="8">
        <v>43098</v>
      </c>
      <c r="Q945" s="12" t="s">
        <v>256</v>
      </c>
    </row>
    <row r="946" spans="1:17" x14ac:dyDescent="0.2">
      <c r="A946">
        <f t="shared" si="14"/>
        <v>1706024</v>
      </c>
      <c r="B946" s="7" t="s">
        <v>2920</v>
      </c>
      <c r="C946" s="8"/>
      <c r="D946" s="8"/>
      <c r="E946" s="9" t="s">
        <v>37</v>
      </c>
      <c r="F946" s="10" t="s">
        <v>16</v>
      </c>
      <c r="G946" s="10" t="s">
        <v>196</v>
      </c>
      <c r="H946" s="10" t="s">
        <v>3861</v>
      </c>
      <c r="I946" s="10" t="s">
        <v>233</v>
      </c>
      <c r="J946" s="11">
        <v>817524032</v>
      </c>
      <c r="K946" s="11"/>
      <c r="L946" s="10" t="s">
        <v>3862</v>
      </c>
      <c r="M946" s="10" t="s">
        <v>54</v>
      </c>
      <c r="N946" s="10" t="s">
        <v>72</v>
      </c>
      <c r="O946" s="10">
        <v>2013</v>
      </c>
      <c r="P946" s="8">
        <v>43223</v>
      </c>
      <c r="Q946" s="12" t="s">
        <v>564</v>
      </c>
    </row>
    <row r="947" spans="1:17" x14ac:dyDescent="0.2">
      <c r="A947">
        <f t="shared" si="14"/>
        <v>1706025</v>
      </c>
      <c r="B947" s="7" t="s">
        <v>2921</v>
      </c>
      <c r="C947" s="8"/>
      <c r="D947" s="8"/>
      <c r="E947" s="9" t="s">
        <v>37</v>
      </c>
      <c r="F947" s="10" t="s">
        <v>16</v>
      </c>
      <c r="G947" s="10" t="s">
        <v>337</v>
      </c>
      <c r="H947" s="10" t="s">
        <v>3863</v>
      </c>
      <c r="I947" s="10" t="s">
        <v>263</v>
      </c>
      <c r="J947" s="11">
        <v>626044615</v>
      </c>
      <c r="K947" s="11"/>
      <c r="L947" s="10" t="s">
        <v>3864</v>
      </c>
      <c r="M947" s="10" t="s">
        <v>47</v>
      </c>
      <c r="N947" s="10" t="s">
        <v>212</v>
      </c>
      <c r="O947" s="10">
        <v>2016</v>
      </c>
      <c r="P947" s="8" t="s">
        <v>1120</v>
      </c>
      <c r="Q947" s="12"/>
    </row>
    <row r="948" spans="1:17" x14ac:dyDescent="0.2">
      <c r="A948">
        <f t="shared" si="14"/>
        <v>1706026</v>
      </c>
      <c r="B948" s="7" t="s">
        <v>2922</v>
      </c>
      <c r="C948" s="8"/>
      <c r="D948" s="8"/>
      <c r="E948" s="9" t="s">
        <v>37</v>
      </c>
      <c r="F948" s="10" t="s">
        <v>16</v>
      </c>
      <c r="G948" s="10" t="s">
        <v>207</v>
      </c>
      <c r="H948" s="10" t="s">
        <v>3865</v>
      </c>
      <c r="I948" s="10" t="s">
        <v>286</v>
      </c>
      <c r="J948" s="11">
        <v>870525877</v>
      </c>
      <c r="K948" s="11"/>
      <c r="L948" s="10" t="s">
        <v>3866</v>
      </c>
      <c r="M948" s="10" t="s">
        <v>54</v>
      </c>
      <c r="N948" s="10" t="s">
        <v>3272</v>
      </c>
      <c r="O948" s="10">
        <v>2012</v>
      </c>
      <c r="P948" s="8">
        <v>42664</v>
      </c>
      <c r="Q948" s="12" t="s">
        <v>2181</v>
      </c>
    </row>
    <row r="949" spans="1:17" x14ac:dyDescent="0.2">
      <c r="A949">
        <f t="shared" si="14"/>
        <v>1706027</v>
      </c>
      <c r="B949" s="7" t="s">
        <v>2923</v>
      </c>
      <c r="C949" s="8"/>
      <c r="D949" s="8"/>
      <c r="E949" s="9" t="s">
        <v>37</v>
      </c>
      <c r="F949" s="10" t="s">
        <v>16</v>
      </c>
      <c r="G949" s="10" t="s">
        <v>207</v>
      </c>
      <c r="H949" s="10" t="s">
        <v>3867</v>
      </c>
      <c r="I949" s="10" t="s">
        <v>286</v>
      </c>
      <c r="J949" s="11">
        <v>869202082</v>
      </c>
      <c r="K949" s="11"/>
      <c r="L949" s="10" t="s">
        <v>3868</v>
      </c>
      <c r="M949" s="10" t="s">
        <v>538</v>
      </c>
      <c r="N949" s="10" t="s">
        <v>539</v>
      </c>
      <c r="O949" s="10">
        <v>2010</v>
      </c>
      <c r="P949" s="8">
        <v>43170</v>
      </c>
      <c r="Q949" s="12" t="s">
        <v>292</v>
      </c>
    </row>
    <row r="950" spans="1:17" x14ac:dyDescent="0.2">
      <c r="A950">
        <f t="shared" si="14"/>
        <v>1706028</v>
      </c>
      <c r="B950" s="7" t="s">
        <v>2924</v>
      </c>
      <c r="C950" s="8"/>
      <c r="D950" s="8"/>
      <c r="E950" s="9" t="s">
        <v>37</v>
      </c>
      <c r="F950" s="10" t="s">
        <v>16</v>
      </c>
      <c r="G950" s="10" t="s">
        <v>207</v>
      </c>
      <c r="H950" s="10" t="s">
        <v>3869</v>
      </c>
      <c r="I950" s="10"/>
      <c r="J950" s="11">
        <v>945341415</v>
      </c>
      <c r="K950" s="11"/>
      <c r="L950" s="10" t="s">
        <v>3870</v>
      </c>
      <c r="M950" s="10" t="s">
        <v>47</v>
      </c>
      <c r="N950" s="10" t="s">
        <v>3201</v>
      </c>
      <c r="O950" s="10">
        <v>1997</v>
      </c>
      <c r="P950" s="8" t="s">
        <v>1120</v>
      </c>
      <c r="Q950" s="12"/>
    </row>
    <row r="951" spans="1:17" x14ac:dyDescent="0.2">
      <c r="A951">
        <f t="shared" si="14"/>
        <v>1706029</v>
      </c>
      <c r="B951" s="7" t="s">
        <v>2925</v>
      </c>
      <c r="C951" s="8"/>
      <c r="D951" s="8"/>
      <c r="E951" s="9" t="s">
        <v>37</v>
      </c>
      <c r="F951" s="10" t="s">
        <v>16</v>
      </c>
      <c r="G951" s="10" t="s">
        <v>196</v>
      </c>
      <c r="H951" s="10" t="s">
        <v>3449</v>
      </c>
      <c r="I951" s="10" t="s">
        <v>506</v>
      </c>
      <c r="J951" s="11">
        <v>814358605</v>
      </c>
      <c r="K951" s="11">
        <v>814975516</v>
      </c>
      <c r="L951" s="10" t="s">
        <v>3450</v>
      </c>
      <c r="M951" s="10" t="s">
        <v>47</v>
      </c>
      <c r="N951" s="10" t="s">
        <v>209</v>
      </c>
      <c r="O951" s="10">
        <v>2010</v>
      </c>
      <c r="P951" s="8">
        <v>42902</v>
      </c>
      <c r="Q951" s="12" t="s">
        <v>1758</v>
      </c>
    </row>
    <row r="952" spans="1:17" x14ac:dyDescent="0.2">
      <c r="A952">
        <f t="shared" si="14"/>
        <v>1706030</v>
      </c>
      <c r="B952" s="7" t="s">
        <v>2926</v>
      </c>
      <c r="C952" s="8"/>
      <c r="D952" s="8"/>
      <c r="E952" s="9" t="s">
        <v>37</v>
      </c>
      <c r="F952" s="10" t="s">
        <v>16</v>
      </c>
      <c r="G952" s="10" t="s">
        <v>207</v>
      </c>
      <c r="H952" s="10" t="s">
        <v>3871</v>
      </c>
      <c r="I952" s="10" t="s">
        <v>233</v>
      </c>
      <c r="J952" s="11">
        <v>917399234</v>
      </c>
      <c r="K952" s="11"/>
      <c r="L952" s="10" t="s">
        <v>3872</v>
      </c>
      <c r="M952" s="10" t="s">
        <v>42</v>
      </c>
      <c r="N952" s="10" t="s">
        <v>43</v>
      </c>
      <c r="O952" s="10">
        <v>2000</v>
      </c>
      <c r="P952" s="8" t="s">
        <v>1120</v>
      </c>
      <c r="Q952" s="12"/>
    </row>
    <row r="953" spans="1:17" x14ac:dyDescent="0.2">
      <c r="A953">
        <f t="shared" si="14"/>
        <v>1706031</v>
      </c>
      <c r="B953" s="7" t="s">
        <v>2927</v>
      </c>
      <c r="C953" s="8"/>
      <c r="D953" s="8"/>
      <c r="E953" s="9" t="s">
        <v>37</v>
      </c>
      <c r="F953" s="10" t="s">
        <v>16</v>
      </c>
      <c r="G953" s="10" t="s">
        <v>202</v>
      </c>
      <c r="H953" s="10" t="s">
        <v>2182</v>
      </c>
      <c r="I953" s="10" t="s">
        <v>254</v>
      </c>
      <c r="J953" s="11">
        <v>820866336</v>
      </c>
      <c r="K953" s="11">
        <v>825413477</v>
      </c>
      <c r="L953" s="10" t="s">
        <v>2183</v>
      </c>
      <c r="M953" s="10" t="s">
        <v>47</v>
      </c>
      <c r="N953" s="10" t="s">
        <v>78</v>
      </c>
      <c r="O953" s="10">
        <v>2006</v>
      </c>
      <c r="P953" s="8">
        <v>42978</v>
      </c>
      <c r="Q953" s="12" t="s">
        <v>531</v>
      </c>
    </row>
    <row r="954" spans="1:17" x14ac:dyDescent="0.2">
      <c r="A954">
        <f t="shared" si="14"/>
        <v>1706032</v>
      </c>
      <c r="B954" s="7" t="s">
        <v>2928</v>
      </c>
      <c r="C954" s="8"/>
      <c r="D954" s="8"/>
      <c r="E954" s="9" t="s">
        <v>37</v>
      </c>
      <c r="F954" s="10" t="s">
        <v>16</v>
      </c>
      <c r="G954" s="10" t="s">
        <v>207</v>
      </c>
      <c r="H954" s="10" t="s">
        <v>3873</v>
      </c>
      <c r="I954" s="10" t="s">
        <v>263</v>
      </c>
      <c r="J954" s="11">
        <v>917282266</v>
      </c>
      <c r="K954" s="11">
        <v>814564086</v>
      </c>
      <c r="L954" s="10" t="s">
        <v>3874</v>
      </c>
      <c r="M954" s="10" t="s">
        <v>47</v>
      </c>
      <c r="N954" s="10" t="s">
        <v>106</v>
      </c>
      <c r="O954" s="10">
        <v>2014</v>
      </c>
      <c r="P954" s="8">
        <v>43056</v>
      </c>
      <c r="Q954" s="12" t="s">
        <v>341</v>
      </c>
    </row>
    <row r="955" spans="1:17" x14ac:dyDescent="0.2">
      <c r="A955">
        <f t="shared" si="14"/>
        <v>1706033</v>
      </c>
      <c r="B955" s="7" t="s">
        <v>2929</v>
      </c>
      <c r="C955" s="8"/>
      <c r="D955" s="8"/>
      <c r="E955" s="9" t="s">
        <v>37</v>
      </c>
      <c r="F955" s="10" t="s">
        <v>16</v>
      </c>
      <c r="G955" s="10" t="s">
        <v>207</v>
      </c>
      <c r="H955" s="10" t="s">
        <v>3875</v>
      </c>
      <c r="I955" s="10" t="s">
        <v>254</v>
      </c>
      <c r="J955" s="11">
        <v>832646063</v>
      </c>
      <c r="K955" s="11"/>
      <c r="L955" s="10" t="s">
        <v>3876</v>
      </c>
      <c r="M955" s="10" t="s">
        <v>58</v>
      </c>
      <c r="N955" s="10" t="s">
        <v>414</v>
      </c>
      <c r="O955" s="10">
        <v>2007</v>
      </c>
      <c r="P955" s="8" t="s">
        <v>1120</v>
      </c>
      <c r="Q955" s="12"/>
    </row>
    <row r="956" spans="1:17" x14ac:dyDescent="0.2">
      <c r="A956">
        <f t="shared" si="14"/>
        <v>1706034</v>
      </c>
      <c r="B956" s="7" t="s">
        <v>2930</v>
      </c>
      <c r="C956" s="8"/>
      <c r="D956" s="8"/>
      <c r="E956" s="9" t="s">
        <v>37</v>
      </c>
      <c r="F956" s="10" t="s">
        <v>16</v>
      </c>
      <c r="G956" s="10" t="s">
        <v>207</v>
      </c>
      <c r="H956" s="10" t="s">
        <v>3877</v>
      </c>
      <c r="I956" s="10" t="s">
        <v>243</v>
      </c>
      <c r="J956" s="11">
        <v>909533636</v>
      </c>
      <c r="K956" s="11"/>
      <c r="L956" s="10" t="s">
        <v>3878</v>
      </c>
      <c r="M956" s="10" t="s">
        <v>42</v>
      </c>
      <c r="N956" s="10" t="s">
        <v>75</v>
      </c>
      <c r="O956" s="10">
        <v>2000</v>
      </c>
      <c r="P956" s="8" t="s">
        <v>1120</v>
      </c>
      <c r="Q956" s="12"/>
    </row>
    <row r="957" spans="1:17" x14ac:dyDescent="0.2">
      <c r="A957">
        <f t="shared" si="14"/>
        <v>1706035</v>
      </c>
      <c r="B957" s="7" t="s">
        <v>2931</v>
      </c>
      <c r="C957" s="8"/>
      <c r="D957" s="8"/>
      <c r="E957" s="9" t="s">
        <v>37</v>
      </c>
      <c r="F957" s="10" t="s">
        <v>16</v>
      </c>
      <c r="G957" s="10" t="s">
        <v>207</v>
      </c>
      <c r="H957" s="10" t="s">
        <v>3879</v>
      </c>
      <c r="I957" s="10" t="s">
        <v>254</v>
      </c>
      <c r="J957" s="11">
        <v>868983846</v>
      </c>
      <c r="K957" s="11"/>
      <c r="L957" s="10" t="s">
        <v>3880</v>
      </c>
      <c r="M957" s="10" t="s">
        <v>126</v>
      </c>
      <c r="N957" s="10" t="s">
        <v>3459</v>
      </c>
      <c r="O957" s="10">
        <v>2003</v>
      </c>
      <c r="P957" s="8">
        <v>43165</v>
      </c>
      <c r="Q957" s="12" t="s">
        <v>217</v>
      </c>
    </row>
    <row r="958" spans="1:17" x14ac:dyDescent="0.2">
      <c r="A958">
        <f t="shared" si="14"/>
        <v>1706036</v>
      </c>
      <c r="B958" s="7" t="s">
        <v>2932</v>
      </c>
      <c r="C958" s="8"/>
      <c r="D958" s="8"/>
      <c r="E958" s="9" t="s">
        <v>37</v>
      </c>
      <c r="F958" s="10" t="s">
        <v>16</v>
      </c>
      <c r="G958" s="10" t="s">
        <v>202</v>
      </c>
      <c r="H958" s="10" t="s">
        <v>3821</v>
      </c>
      <c r="I958" s="10" t="s">
        <v>233</v>
      </c>
      <c r="J958" s="11">
        <v>891143876</v>
      </c>
      <c r="K958" s="11"/>
      <c r="L958" s="10" t="s">
        <v>3881</v>
      </c>
      <c r="M958" s="10" t="s">
        <v>42</v>
      </c>
      <c r="N958" s="10" t="s">
        <v>3823</v>
      </c>
      <c r="O958" s="10">
        <v>2014</v>
      </c>
      <c r="P958" s="8">
        <v>42881</v>
      </c>
      <c r="Q958" s="12" t="s">
        <v>1042</v>
      </c>
    </row>
    <row r="959" spans="1:17" x14ac:dyDescent="0.2">
      <c r="A959">
        <f t="shared" si="14"/>
        <v>1706037</v>
      </c>
      <c r="B959" s="7" t="s">
        <v>2933</v>
      </c>
      <c r="C959" s="8"/>
      <c r="D959" s="8"/>
      <c r="E959" s="9" t="s">
        <v>37</v>
      </c>
      <c r="F959" s="10" t="s">
        <v>16</v>
      </c>
      <c r="G959" s="10" t="s">
        <v>196</v>
      </c>
      <c r="H959" s="10" t="s">
        <v>3882</v>
      </c>
      <c r="I959" s="10" t="s">
        <v>506</v>
      </c>
      <c r="J959" s="11">
        <v>812423450</v>
      </c>
      <c r="K959" s="11"/>
      <c r="L959" s="10" t="s">
        <v>3883</v>
      </c>
      <c r="M959" s="10" t="s">
        <v>42</v>
      </c>
      <c r="N959" s="10" t="s">
        <v>3823</v>
      </c>
      <c r="O959" s="10">
        <v>2014</v>
      </c>
      <c r="P959" s="8">
        <v>42730</v>
      </c>
      <c r="Q959" s="12" t="s">
        <v>774</v>
      </c>
    </row>
    <row r="960" spans="1:17" x14ac:dyDescent="0.2">
      <c r="A960">
        <f t="shared" si="14"/>
        <v>1706038</v>
      </c>
      <c r="B960" s="7" t="s">
        <v>2934</v>
      </c>
      <c r="C960" s="8"/>
      <c r="D960" s="8"/>
      <c r="E960" s="9" t="s">
        <v>37</v>
      </c>
      <c r="F960" s="10" t="s">
        <v>16</v>
      </c>
      <c r="G960" s="10" t="s">
        <v>207</v>
      </c>
      <c r="H960" s="10" t="s">
        <v>2184</v>
      </c>
      <c r="I960" s="10" t="s">
        <v>254</v>
      </c>
      <c r="J960" s="11">
        <v>985653553</v>
      </c>
      <c r="K960" s="11">
        <v>856863307</v>
      </c>
      <c r="L960" s="10" t="s">
        <v>2185</v>
      </c>
      <c r="M960" s="10" t="s">
        <v>47</v>
      </c>
      <c r="N960" s="10" t="s">
        <v>51</v>
      </c>
      <c r="O960" s="10">
        <v>2007</v>
      </c>
      <c r="P960" s="8">
        <v>42922</v>
      </c>
      <c r="Q960" s="12" t="s">
        <v>2186</v>
      </c>
    </row>
    <row r="961" spans="1:17" x14ac:dyDescent="0.2">
      <c r="A961">
        <f t="shared" si="14"/>
        <v>1706039</v>
      </c>
      <c r="B961" s="7" t="s">
        <v>2935</v>
      </c>
      <c r="C961" s="8"/>
      <c r="D961" s="8"/>
      <c r="E961" s="9" t="s">
        <v>37</v>
      </c>
      <c r="F961" s="10" t="s">
        <v>16</v>
      </c>
      <c r="G961" s="10" t="s">
        <v>231</v>
      </c>
      <c r="H961" s="10" t="s">
        <v>3884</v>
      </c>
      <c r="I961" s="10" t="s">
        <v>492</v>
      </c>
      <c r="J961" s="11">
        <v>816176889</v>
      </c>
      <c r="K961" s="11"/>
      <c r="L961" s="10" t="s">
        <v>3885</v>
      </c>
      <c r="M961" s="10" t="s">
        <v>47</v>
      </c>
      <c r="N961" s="10" t="s">
        <v>3399</v>
      </c>
      <c r="O961" s="10">
        <v>2007</v>
      </c>
      <c r="P961" s="8">
        <v>42901</v>
      </c>
      <c r="Q961" s="12" t="s">
        <v>251</v>
      </c>
    </row>
    <row r="962" spans="1:17" x14ac:dyDescent="0.2">
      <c r="A962">
        <f t="shared" si="14"/>
        <v>1706040</v>
      </c>
      <c r="B962" s="7" t="s">
        <v>2936</v>
      </c>
      <c r="C962" s="8"/>
      <c r="D962" s="8"/>
      <c r="E962" s="9" t="s">
        <v>37</v>
      </c>
      <c r="F962" s="10" t="s">
        <v>16</v>
      </c>
      <c r="G962" s="10" t="s">
        <v>196</v>
      </c>
      <c r="H962" s="10" t="s">
        <v>3886</v>
      </c>
      <c r="I962" s="10"/>
      <c r="J962" s="11">
        <v>917102942</v>
      </c>
      <c r="K962" s="11"/>
      <c r="L962" s="10" t="s">
        <v>3887</v>
      </c>
      <c r="M962" s="10" t="s">
        <v>47</v>
      </c>
      <c r="N962" s="10" t="s">
        <v>51</v>
      </c>
      <c r="O962" s="10">
        <v>2010</v>
      </c>
      <c r="P962" s="8" t="s">
        <v>1120</v>
      </c>
      <c r="Q962" s="12"/>
    </row>
    <row r="963" spans="1:17" x14ac:dyDescent="0.2">
      <c r="A963">
        <f t="shared" si="14"/>
        <v>1706041</v>
      </c>
      <c r="B963" s="7" t="s">
        <v>2937</v>
      </c>
      <c r="C963" s="8"/>
      <c r="D963" s="8"/>
      <c r="E963" s="9" t="s">
        <v>37</v>
      </c>
      <c r="F963" s="10" t="s">
        <v>16</v>
      </c>
      <c r="G963" s="10" t="s">
        <v>207</v>
      </c>
      <c r="H963" s="10" t="s">
        <v>3888</v>
      </c>
      <c r="I963" s="10" t="s">
        <v>243</v>
      </c>
      <c r="J963" s="11">
        <v>958931614</v>
      </c>
      <c r="K963" s="11"/>
      <c r="L963" s="10" t="s">
        <v>3889</v>
      </c>
      <c r="M963" s="10" t="s">
        <v>126</v>
      </c>
      <c r="N963" s="10" t="s">
        <v>297</v>
      </c>
      <c r="O963" s="10">
        <v>2012</v>
      </c>
      <c r="P963" s="8" t="s">
        <v>1120</v>
      </c>
      <c r="Q963" s="12"/>
    </row>
    <row r="964" spans="1:17" x14ac:dyDescent="0.2">
      <c r="A964">
        <f t="shared" ref="A964:A1027" si="15">VALUE(B964)</f>
        <v>1706042</v>
      </c>
      <c r="B964" s="7" t="s">
        <v>2938</v>
      </c>
      <c r="C964" s="8"/>
      <c r="D964" s="8"/>
      <c r="E964" s="9" t="s">
        <v>37</v>
      </c>
      <c r="F964" s="10" t="s">
        <v>16</v>
      </c>
      <c r="G964" s="10" t="s">
        <v>225</v>
      </c>
      <c r="H964" s="10" t="s">
        <v>1779</v>
      </c>
      <c r="I964" s="10" t="s">
        <v>263</v>
      </c>
      <c r="J964" s="11">
        <v>994292293</v>
      </c>
      <c r="K964" s="11"/>
      <c r="L964" s="10" t="s">
        <v>1780</v>
      </c>
      <c r="M964" s="10" t="s">
        <v>47</v>
      </c>
      <c r="N964" s="10" t="s">
        <v>51</v>
      </c>
      <c r="O964" s="10"/>
      <c r="P964" s="8" t="s">
        <v>1120</v>
      </c>
      <c r="Q964" s="12"/>
    </row>
    <row r="965" spans="1:17" x14ac:dyDescent="0.2">
      <c r="A965">
        <f t="shared" si="15"/>
        <v>1706043</v>
      </c>
      <c r="B965" s="7" t="s">
        <v>2939</v>
      </c>
      <c r="C965" s="8"/>
      <c r="D965" s="8"/>
      <c r="E965" s="9" t="s">
        <v>37</v>
      </c>
      <c r="F965" s="10" t="s">
        <v>16</v>
      </c>
      <c r="G965" s="10" t="s">
        <v>202</v>
      </c>
      <c r="H965" s="10" t="s">
        <v>3890</v>
      </c>
      <c r="I965" s="10" t="s">
        <v>286</v>
      </c>
      <c r="J965" s="11">
        <v>649862829</v>
      </c>
      <c r="K965" s="11">
        <v>879177736</v>
      </c>
      <c r="L965" s="10" t="s">
        <v>3891</v>
      </c>
      <c r="M965" s="10" t="s">
        <v>58</v>
      </c>
      <c r="N965" s="10" t="s">
        <v>717</v>
      </c>
      <c r="O965" s="10">
        <v>2007</v>
      </c>
      <c r="P965" s="8">
        <v>42963</v>
      </c>
      <c r="Q965" s="12" t="s">
        <v>1213</v>
      </c>
    </row>
    <row r="966" spans="1:17" x14ac:dyDescent="0.2">
      <c r="A966">
        <f t="shared" si="15"/>
        <v>1706044</v>
      </c>
      <c r="B966" s="7" t="s">
        <v>2940</v>
      </c>
      <c r="C966" s="8"/>
      <c r="D966" s="8"/>
      <c r="E966" s="9" t="s">
        <v>37</v>
      </c>
      <c r="F966" s="10" t="s">
        <v>16</v>
      </c>
      <c r="G966" s="10" t="s">
        <v>207</v>
      </c>
      <c r="H966" s="10" t="s">
        <v>3892</v>
      </c>
      <c r="I966" s="10" t="s">
        <v>286</v>
      </c>
      <c r="J966" s="11">
        <v>644577154</v>
      </c>
      <c r="K966" s="11"/>
      <c r="L966" s="10" t="s">
        <v>3893</v>
      </c>
      <c r="M966" s="10" t="s">
        <v>87</v>
      </c>
      <c r="N966" s="10">
        <v>3</v>
      </c>
      <c r="O966" s="10">
        <v>2007</v>
      </c>
      <c r="P966" s="8">
        <v>43181</v>
      </c>
      <c r="Q966" s="12" t="s">
        <v>382</v>
      </c>
    </row>
    <row r="967" spans="1:17" x14ac:dyDescent="0.2">
      <c r="A967">
        <f t="shared" si="15"/>
        <v>1706045</v>
      </c>
      <c r="B967" s="7" t="s">
        <v>2941</v>
      </c>
      <c r="C967" s="8"/>
      <c r="D967" s="8"/>
      <c r="E967" s="9" t="s">
        <v>37</v>
      </c>
      <c r="F967" s="10" t="s">
        <v>16</v>
      </c>
      <c r="G967" s="10" t="s">
        <v>202</v>
      </c>
      <c r="H967" s="10" t="s">
        <v>2205</v>
      </c>
      <c r="I967" s="10"/>
      <c r="J967" s="11">
        <v>844827321</v>
      </c>
      <c r="K967" s="11"/>
      <c r="L967" s="10" t="s">
        <v>2206</v>
      </c>
      <c r="M967" s="10" t="s">
        <v>42</v>
      </c>
      <c r="N967" s="10" t="s">
        <v>84</v>
      </c>
      <c r="O967" s="10">
        <v>2010</v>
      </c>
      <c r="P967" s="8">
        <v>43071</v>
      </c>
      <c r="Q967" s="12" t="s">
        <v>564</v>
      </c>
    </row>
    <row r="968" spans="1:17" x14ac:dyDescent="0.2">
      <c r="A968">
        <f t="shared" si="15"/>
        <v>1706046</v>
      </c>
      <c r="B968" s="7" t="s">
        <v>2942</v>
      </c>
      <c r="C968" s="8"/>
      <c r="D968" s="8"/>
      <c r="E968" s="9" t="s">
        <v>37</v>
      </c>
      <c r="F968" s="10" t="s">
        <v>16</v>
      </c>
      <c r="G968" s="10" t="s">
        <v>202</v>
      </c>
      <c r="H968" s="10" t="s">
        <v>3894</v>
      </c>
      <c r="I968" s="10" t="s">
        <v>286</v>
      </c>
      <c r="J968" s="11">
        <v>894501065</v>
      </c>
      <c r="K968" s="11"/>
      <c r="L968" s="10" t="s">
        <v>3895</v>
      </c>
      <c r="M968" s="10" t="s">
        <v>47</v>
      </c>
      <c r="N968" s="10" t="s">
        <v>106</v>
      </c>
      <c r="O968" s="10">
        <v>2012</v>
      </c>
      <c r="P968" s="8">
        <v>43092</v>
      </c>
      <c r="Q968" s="12" t="s">
        <v>540</v>
      </c>
    </row>
    <row r="969" spans="1:17" x14ac:dyDescent="0.2">
      <c r="A969">
        <f t="shared" si="15"/>
        <v>1706047</v>
      </c>
      <c r="B969" s="7" t="s">
        <v>2943</v>
      </c>
      <c r="C969" s="8"/>
      <c r="D969" s="8"/>
      <c r="E969" s="9" t="s">
        <v>37</v>
      </c>
      <c r="F969" s="10" t="s">
        <v>16</v>
      </c>
      <c r="G969" s="10" t="s">
        <v>207</v>
      </c>
      <c r="H969" s="10" t="s">
        <v>3896</v>
      </c>
      <c r="I969" s="10" t="s">
        <v>286</v>
      </c>
      <c r="J969" s="11">
        <v>924454324</v>
      </c>
      <c r="K969" s="11"/>
      <c r="L969" s="10" t="s">
        <v>3897</v>
      </c>
      <c r="M969" s="10" t="s">
        <v>47</v>
      </c>
      <c r="N969" s="10" t="s">
        <v>106</v>
      </c>
      <c r="O969" s="10">
        <v>2011</v>
      </c>
      <c r="P969" s="8">
        <v>43269</v>
      </c>
      <c r="Q969" s="12" t="s">
        <v>335</v>
      </c>
    </row>
    <row r="970" spans="1:17" x14ac:dyDescent="0.2">
      <c r="A970">
        <f t="shared" si="15"/>
        <v>1706048</v>
      </c>
      <c r="B970" s="7" t="s">
        <v>2944</v>
      </c>
      <c r="C970" s="8"/>
      <c r="D970" s="8"/>
      <c r="E970" s="9" t="s">
        <v>37</v>
      </c>
      <c r="F970" s="10" t="s">
        <v>16</v>
      </c>
      <c r="G970" s="10" t="s">
        <v>207</v>
      </c>
      <c r="H970" s="10" t="s">
        <v>3898</v>
      </c>
      <c r="I970" s="10" t="s">
        <v>243</v>
      </c>
      <c r="J970" s="11">
        <v>983477960</v>
      </c>
      <c r="K970" s="11"/>
      <c r="L970" s="10" t="s">
        <v>3899</v>
      </c>
      <c r="M970" s="10" t="s">
        <v>109</v>
      </c>
      <c r="N970" s="10" t="s">
        <v>240</v>
      </c>
      <c r="O970" s="10">
        <v>2017</v>
      </c>
      <c r="P970" s="8">
        <v>43281</v>
      </c>
      <c r="Q970" s="12" t="s">
        <v>779</v>
      </c>
    </row>
    <row r="971" spans="1:17" x14ac:dyDescent="0.2">
      <c r="A971">
        <f t="shared" si="15"/>
        <v>1706049</v>
      </c>
      <c r="B971" s="7" t="s">
        <v>2945</v>
      </c>
      <c r="C971" s="8"/>
      <c r="D971" s="8"/>
      <c r="E971" s="9" t="s">
        <v>37</v>
      </c>
      <c r="F971" s="10" t="s">
        <v>16</v>
      </c>
      <c r="G971" s="10" t="s">
        <v>207</v>
      </c>
      <c r="H971" s="10" t="s">
        <v>2207</v>
      </c>
      <c r="I971" s="10" t="s">
        <v>1192</v>
      </c>
      <c r="J971" s="11">
        <v>970574625</v>
      </c>
      <c r="K971" s="11"/>
      <c r="L971" s="10" t="s">
        <v>2208</v>
      </c>
      <c r="M971" s="10" t="s">
        <v>42</v>
      </c>
      <c r="N971" s="10" t="s">
        <v>75</v>
      </c>
      <c r="O971" s="10">
        <v>2014</v>
      </c>
      <c r="P971" s="8">
        <v>43207</v>
      </c>
      <c r="Q971" s="12" t="s">
        <v>229</v>
      </c>
    </row>
    <row r="972" spans="1:17" x14ac:dyDescent="0.2">
      <c r="A972">
        <f t="shared" si="15"/>
        <v>1706050</v>
      </c>
      <c r="B972" s="7" t="s">
        <v>2946</v>
      </c>
      <c r="C972" s="8"/>
      <c r="D972" s="8"/>
      <c r="E972" s="9" t="s">
        <v>37</v>
      </c>
      <c r="F972" s="10" t="s">
        <v>16</v>
      </c>
      <c r="G972" s="10" t="s">
        <v>202</v>
      </c>
      <c r="H972" s="10" t="s">
        <v>3900</v>
      </c>
      <c r="I972" s="10"/>
      <c r="J972" s="11">
        <v>863331267</v>
      </c>
      <c r="K972" s="11"/>
      <c r="L972" s="10" t="s">
        <v>1463</v>
      </c>
      <c r="M972" s="10" t="s">
        <v>87</v>
      </c>
      <c r="N972" s="10">
        <v>3</v>
      </c>
      <c r="O972" s="10">
        <v>2014</v>
      </c>
      <c r="P972" s="8">
        <v>42975</v>
      </c>
      <c r="Q972" s="12" t="s">
        <v>779</v>
      </c>
    </row>
    <row r="973" spans="1:17" x14ac:dyDescent="0.2">
      <c r="A973">
        <f t="shared" si="15"/>
        <v>1706051</v>
      </c>
      <c r="B973" s="7" t="s">
        <v>2947</v>
      </c>
      <c r="C973" s="8"/>
      <c r="D973" s="8"/>
      <c r="E973" s="9" t="s">
        <v>37</v>
      </c>
      <c r="F973" s="10" t="s">
        <v>16</v>
      </c>
      <c r="G973" s="10" t="s">
        <v>303</v>
      </c>
      <c r="H973" s="10" t="s">
        <v>3901</v>
      </c>
      <c r="I973" s="10" t="s">
        <v>254</v>
      </c>
      <c r="J973" s="11">
        <v>854865620</v>
      </c>
      <c r="K973" s="11"/>
      <c r="L973" s="10" t="s">
        <v>3902</v>
      </c>
      <c r="M973" s="10" t="s">
        <v>58</v>
      </c>
      <c r="N973" s="10" t="s">
        <v>414</v>
      </c>
      <c r="O973" s="10">
        <v>2007</v>
      </c>
      <c r="P973" s="8">
        <v>43311</v>
      </c>
      <c r="Q973" s="12" t="s">
        <v>797</v>
      </c>
    </row>
    <row r="974" spans="1:17" x14ac:dyDescent="0.2">
      <c r="A974">
        <f t="shared" si="15"/>
        <v>1706052</v>
      </c>
      <c r="B974" s="7" t="s">
        <v>2948</v>
      </c>
      <c r="C974" s="8"/>
      <c r="D974" s="8"/>
      <c r="E974" s="9" t="s">
        <v>37</v>
      </c>
      <c r="F974" s="10" t="s">
        <v>16</v>
      </c>
      <c r="G974" s="10" t="s">
        <v>207</v>
      </c>
      <c r="H974" s="10" t="s">
        <v>3903</v>
      </c>
      <c r="I974" s="10" t="s">
        <v>1086</v>
      </c>
      <c r="J974" s="11">
        <v>619849561</v>
      </c>
      <c r="K974" s="11"/>
      <c r="L974" s="10" t="s">
        <v>3904</v>
      </c>
      <c r="M974" s="10" t="s">
        <v>47</v>
      </c>
      <c r="N974" s="10" t="s">
        <v>51</v>
      </c>
      <c r="O974" s="10">
        <v>2014</v>
      </c>
      <c r="P974" s="8" t="s">
        <v>1120</v>
      </c>
      <c r="Q974" s="12"/>
    </row>
    <row r="975" spans="1:17" x14ac:dyDescent="0.2">
      <c r="A975">
        <f t="shared" si="15"/>
        <v>1706053</v>
      </c>
      <c r="B975" s="7" t="s">
        <v>2949</v>
      </c>
      <c r="C975" s="8"/>
      <c r="D975" s="8"/>
      <c r="E975" s="9" t="s">
        <v>37</v>
      </c>
      <c r="F975" s="10" t="s">
        <v>16</v>
      </c>
      <c r="G975" s="10" t="s">
        <v>580</v>
      </c>
      <c r="H975" s="10" t="s">
        <v>1404</v>
      </c>
      <c r="I975" s="10" t="s">
        <v>305</v>
      </c>
      <c r="J975" s="11">
        <v>816461897</v>
      </c>
      <c r="K975" s="11"/>
      <c r="L975" s="10" t="s">
        <v>2209</v>
      </c>
      <c r="M975" s="10" t="s">
        <v>42</v>
      </c>
      <c r="N975" s="10" t="s">
        <v>191</v>
      </c>
      <c r="O975" s="10">
        <v>2005</v>
      </c>
      <c r="P975" s="8">
        <v>43129</v>
      </c>
      <c r="Q975" s="12" t="s">
        <v>1173</v>
      </c>
    </row>
    <row r="976" spans="1:17" x14ac:dyDescent="0.2">
      <c r="A976">
        <f t="shared" si="15"/>
        <v>1706054</v>
      </c>
      <c r="B976" s="7" t="s">
        <v>2950</v>
      </c>
      <c r="C976" s="8"/>
      <c r="D976" s="8"/>
      <c r="E976" s="9" t="s">
        <v>37</v>
      </c>
      <c r="F976" s="10" t="s">
        <v>16</v>
      </c>
      <c r="G976" s="10" t="s">
        <v>207</v>
      </c>
      <c r="H976" s="10" t="s">
        <v>3905</v>
      </c>
      <c r="I976" s="10" t="s">
        <v>305</v>
      </c>
      <c r="J976" s="11">
        <v>995031933</v>
      </c>
      <c r="K976" s="11"/>
      <c r="L976" s="10" t="s">
        <v>3906</v>
      </c>
      <c r="M976" s="10" t="s">
        <v>58</v>
      </c>
      <c r="N976" s="10" t="s">
        <v>717</v>
      </c>
      <c r="O976" s="10">
        <v>2015</v>
      </c>
      <c r="P976" s="8">
        <v>43065</v>
      </c>
      <c r="Q976" s="12" t="s">
        <v>366</v>
      </c>
    </row>
    <row r="977" spans="1:17" x14ac:dyDescent="0.2">
      <c r="A977">
        <f t="shared" si="15"/>
        <v>1706055</v>
      </c>
      <c r="B977" s="7" t="s">
        <v>2951</v>
      </c>
      <c r="C977" s="8"/>
      <c r="D977" s="8"/>
      <c r="E977" s="9" t="s">
        <v>37</v>
      </c>
      <c r="F977" s="10" t="s">
        <v>16</v>
      </c>
      <c r="G977" s="10" t="s">
        <v>207</v>
      </c>
      <c r="H977" s="10" t="s">
        <v>3907</v>
      </c>
      <c r="I977" s="10" t="s">
        <v>233</v>
      </c>
      <c r="J977" s="11">
        <v>817351409</v>
      </c>
      <c r="K977" s="11"/>
      <c r="L977" s="10" t="s">
        <v>1331</v>
      </c>
      <c r="M977" s="10" t="s">
        <v>42</v>
      </c>
      <c r="N977" s="10" t="s">
        <v>75</v>
      </c>
      <c r="O977" s="10">
        <v>2012</v>
      </c>
      <c r="P977" s="8">
        <v>42903</v>
      </c>
      <c r="Q977" s="12" t="s">
        <v>877</v>
      </c>
    </row>
    <row r="978" spans="1:17" x14ac:dyDescent="0.2">
      <c r="A978">
        <f t="shared" si="15"/>
        <v>1706056</v>
      </c>
      <c r="B978" s="7" t="s">
        <v>2952</v>
      </c>
      <c r="C978" s="8"/>
      <c r="D978" s="8"/>
      <c r="E978" s="9" t="s">
        <v>37</v>
      </c>
      <c r="F978" s="10" t="s">
        <v>16</v>
      </c>
      <c r="G978" s="10" t="s">
        <v>202</v>
      </c>
      <c r="H978" s="10" t="s">
        <v>3908</v>
      </c>
      <c r="I978" s="10" t="s">
        <v>305</v>
      </c>
      <c r="J978" s="11">
        <v>625375610</v>
      </c>
      <c r="K978" s="11"/>
      <c r="L978" s="10" t="s">
        <v>4341</v>
      </c>
      <c r="M978" s="10" t="s">
        <v>42</v>
      </c>
      <c r="N978" s="10" t="s">
        <v>43</v>
      </c>
      <c r="O978" s="10">
        <v>2005</v>
      </c>
      <c r="P978" s="8" t="s">
        <v>1120</v>
      </c>
      <c r="Q978" s="12"/>
    </row>
    <row r="979" spans="1:17" x14ac:dyDescent="0.2">
      <c r="A979">
        <f t="shared" si="15"/>
        <v>1706057</v>
      </c>
      <c r="B979" s="7" t="s">
        <v>2953</v>
      </c>
      <c r="C979" s="8"/>
      <c r="D979" s="8"/>
      <c r="E979" s="9" t="s">
        <v>37</v>
      </c>
      <c r="F979" s="10" t="s">
        <v>16</v>
      </c>
      <c r="G979" s="10" t="s">
        <v>202</v>
      </c>
      <c r="H979" s="10" t="s">
        <v>3909</v>
      </c>
      <c r="I979" s="10" t="s">
        <v>506</v>
      </c>
      <c r="J979" s="11">
        <v>890404871</v>
      </c>
      <c r="K979" s="11"/>
      <c r="L979" s="10" t="s">
        <v>1112</v>
      </c>
      <c r="M979" s="10" t="s">
        <v>47</v>
      </c>
      <c r="N979" s="10" t="s">
        <v>106</v>
      </c>
      <c r="O979" s="10">
        <v>2007</v>
      </c>
      <c r="P979" s="8">
        <v>43129</v>
      </c>
      <c r="Q979" s="12" t="s">
        <v>660</v>
      </c>
    </row>
    <row r="980" spans="1:17" x14ac:dyDescent="0.2">
      <c r="A980">
        <f t="shared" si="15"/>
        <v>1706058</v>
      </c>
      <c r="B980" s="7" t="s">
        <v>2954</v>
      </c>
      <c r="C980" s="8"/>
      <c r="D980" s="8"/>
      <c r="E980" s="9" t="s">
        <v>37</v>
      </c>
      <c r="F980" s="10" t="s">
        <v>16</v>
      </c>
      <c r="G980" s="10" t="s">
        <v>207</v>
      </c>
      <c r="H980" s="10" t="s">
        <v>3910</v>
      </c>
      <c r="I980" s="10" t="s">
        <v>222</v>
      </c>
      <c r="J980" s="11">
        <v>841315295</v>
      </c>
      <c r="K980" s="11"/>
      <c r="L980" s="10" t="s">
        <v>3911</v>
      </c>
      <c r="M980" s="10" t="s">
        <v>538</v>
      </c>
      <c r="N980" s="10" t="s">
        <v>539</v>
      </c>
      <c r="O980" s="10">
        <v>2010</v>
      </c>
      <c r="P980" s="8">
        <v>43215</v>
      </c>
      <c r="Q980" s="12" t="s">
        <v>1861</v>
      </c>
    </row>
    <row r="981" spans="1:17" x14ac:dyDescent="0.2">
      <c r="A981">
        <f t="shared" si="15"/>
        <v>1706059</v>
      </c>
      <c r="B981" s="7" t="s">
        <v>2955</v>
      </c>
      <c r="C981" s="8"/>
      <c r="D981" s="8"/>
      <c r="E981" s="9" t="s">
        <v>37</v>
      </c>
      <c r="F981" s="10" t="s">
        <v>16</v>
      </c>
      <c r="G981" s="10" t="s">
        <v>196</v>
      </c>
      <c r="H981" s="10" t="s">
        <v>2210</v>
      </c>
      <c r="I981" s="10" t="s">
        <v>506</v>
      </c>
      <c r="J981" s="11">
        <v>934419642</v>
      </c>
      <c r="K981" s="11"/>
      <c r="L981" s="10" t="s">
        <v>2211</v>
      </c>
      <c r="M981" s="10" t="s">
        <v>42</v>
      </c>
      <c r="N981" s="10" t="s">
        <v>84</v>
      </c>
      <c r="O981" s="10">
        <v>1996</v>
      </c>
      <c r="P981" s="8">
        <v>43463</v>
      </c>
      <c r="Q981" s="12" t="s">
        <v>217</v>
      </c>
    </row>
    <row r="982" spans="1:17" x14ac:dyDescent="0.2">
      <c r="A982">
        <f t="shared" si="15"/>
        <v>1706060</v>
      </c>
      <c r="B982" s="7" t="s">
        <v>2956</v>
      </c>
      <c r="C982" s="8"/>
      <c r="D982" s="8"/>
      <c r="E982" s="9" t="s">
        <v>37</v>
      </c>
      <c r="F982" s="10" t="s">
        <v>16</v>
      </c>
      <c r="G982" s="10" t="s">
        <v>207</v>
      </c>
      <c r="H982" s="10" t="s">
        <v>3178</v>
      </c>
      <c r="I982" s="10" t="s">
        <v>254</v>
      </c>
      <c r="J982" s="11">
        <v>801239650</v>
      </c>
      <c r="K982" s="11"/>
      <c r="L982" s="10" t="s">
        <v>249</v>
      </c>
      <c r="M982" s="10" t="s">
        <v>54</v>
      </c>
      <c r="N982" s="10" t="s">
        <v>72</v>
      </c>
      <c r="O982" s="10">
        <v>2013</v>
      </c>
      <c r="P982" s="8">
        <v>43261</v>
      </c>
      <c r="Q982" s="12" t="s">
        <v>531</v>
      </c>
    </row>
    <row r="983" spans="1:17" x14ac:dyDescent="0.2">
      <c r="A983">
        <f t="shared" si="15"/>
        <v>1706061</v>
      </c>
      <c r="B983" s="7" t="s">
        <v>2957</v>
      </c>
      <c r="C983" s="8"/>
      <c r="D983" s="8"/>
      <c r="E983" s="9" t="s">
        <v>37</v>
      </c>
      <c r="F983" s="10" t="s">
        <v>16</v>
      </c>
      <c r="G983" s="10" t="s">
        <v>207</v>
      </c>
      <c r="H983" s="10" t="s">
        <v>3912</v>
      </c>
      <c r="I983" s="10" t="s">
        <v>243</v>
      </c>
      <c r="J983" s="11">
        <v>935390945</v>
      </c>
      <c r="K983" s="11"/>
      <c r="L983" s="10" t="s">
        <v>3913</v>
      </c>
      <c r="M983" s="10" t="s">
        <v>93</v>
      </c>
      <c r="N983" s="10" t="s">
        <v>155</v>
      </c>
      <c r="O983" s="10">
        <v>2006</v>
      </c>
      <c r="P983" s="8">
        <v>43094</v>
      </c>
      <c r="Q983" s="12" t="s">
        <v>2212</v>
      </c>
    </row>
    <row r="984" spans="1:17" x14ac:dyDescent="0.2">
      <c r="A984">
        <f t="shared" si="15"/>
        <v>1706062</v>
      </c>
      <c r="B984" s="7" t="s">
        <v>2958</v>
      </c>
      <c r="C984" s="8"/>
      <c r="D984" s="8"/>
      <c r="E984" s="9" t="s">
        <v>37</v>
      </c>
      <c r="F984" s="10" t="s">
        <v>16</v>
      </c>
      <c r="G984" s="10" t="s">
        <v>207</v>
      </c>
      <c r="H984" s="10" t="s">
        <v>3914</v>
      </c>
      <c r="I984" s="10" t="s">
        <v>286</v>
      </c>
      <c r="J984" s="11">
        <v>838430184</v>
      </c>
      <c r="K984" s="11"/>
      <c r="L984" s="10" t="s">
        <v>3915</v>
      </c>
      <c r="M984" s="10" t="s">
        <v>47</v>
      </c>
      <c r="N984" s="10" t="s">
        <v>106</v>
      </c>
      <c r="O984" s="10">
        <v>2011</v>
      </c>
      <c r="P984" s="8">
        <v>43214</v>
      </c>
      <c r="Q984" s="12" t="s">
        <v>260</v>
      </c>
    </row>
    <row r="985" spans="1:17" x14ac:dyDescent="0.2">
      <c r="A985">
        <f t="shared" si="15"/>
        <v>1706063</v>
      </c>
      <c r="B985" s="7" t="s">
        <v>2959</v>
      </c>
      <c r="C985" s="8"/>
      <c r="D985" s="8"/>
      <c r="E985" s="9" t="s">
        <v>37</v>
      </c>
      <c r="F985" s="10" t="s">
        <v>16</v>
      </c>
      <c r="G985" s="10" t="s">
        <v>337</v>
      </c>
      <c r="H985" s="10" t="s">
        <v>3916</v>
      </c>
      <c r="I985" s="10"/>
      <c r="J985" s="11">
        <v>636936298</v>
      </c>
      <c r="K985" s="11"/>
      <c r="L985" s="10" t="s">
        <v>3917</v>
      </c>
      <c r="M985" s="10" t="s">
        <v>47</v>
      </c>
      <c r="N985" s="10" t="s">
        <v>212</v>
      </c>
      <c r="O985" s="10">
        <v>2011</v>
      </c>
      <c r="P985" s="8">
        <v>42936</v>
      </c>
      <c r="Q985" s="12" t="s">
        <v>251</v>
      </c>
    </row>
    <row r="986" spans="1:17" x14ac:dyDescent="0.2">
      <c r="A986">
        <f t="shared" si="15"/>
        <v>1706064</v>
      </c>
      <c r="B986" s="7" t="s">
        <v>2960</v>
      </c>
      <c r="C986" s="8"/>
      <c r="D986" s="8"/>
      <c r="E986" s="9" t="s">
        <v>37</v>
      </c>
      <c r="F986" s="10" t="s">
        <v>16</v>
      </c>
      <c r="G986" s="10" t="s">
        <v>202</v>
      </c>
      <c r="H986" s="10" t="s">
        <v>3918</v>
      </c>
      <c r="I986" s="10" t="s">
        <v>233</v>
      </c>
      <c r="J986" s="11">
        <v>816230480</v>
      </c>
      <c r="K986" s="11"/>
      <c r="L986" s="10" t="s">
        <v>3919</v>
      </c>
      <c r="M986" s="10" t="s">
        <v>47</v>
      </c>
      <c r="N986" s="10" t="s">
        <v>51</v>
      </c>
      <c r="O986" s="10">
        <v>2005</v>
      </c>
      <c r="P986" s="8">
        <v>43067</v>
      </c>
      <c r="Q986" s="12" t="s">
        <v>273</v>
      </c>
    </row>
    <row r="987" spans="1:17" x14ac:dyDescent="0.2">
      <c r="A987">
        <f t="shared" si="15"/>
        <v>1706065</v>
      </c>
      <c r="B987" s="7" t="s">
        <v>2961</v>
      </c>
      <c r="C987" s="8"/>
      <c r="D987" s="8"/>
      <c r="E987" s="9" t="s">
        <v>37</v>
      </c>
      <c r="F987" s="10" t="s">
        <v>16</v>
      </c>
      <c r="G987" s="10" t="s">
        <v>207</v>
      </c>
      <c r="H987" s="10" t="s">
        <v>3879</v>
      </c>
      <c r="I987" s="10" t="s">
        <v>254</v>
      </c>
      <c r="J987" s="11">
        <v>868983846</v>
      </c>
      <c r="K987" s="11"/>
      <c r="L987" s="10" t="s">
        <v>3920</v>
      </c>
      <c r="M987" s="10" t="s">
        <v>126</v>
      </c>
      <c r="N987" s="10" t="s">
        <v>3459</v>
      </c>
      <c r="O987" s="10">
        <v>2003</v>
      </c>
      <c r="P987" s="8">
        <v>43165</v>
      </c>
      <c r="Q987" s="12" t="s">
        <v>217</v>
      </c>
    </row>
    <row r="988" spans="1:17" x14ac:dyDescent="0.2">
      <c r="A988">
        <f t="shared" si="15"/>
        <v>1706066</v>
      </c>
      <c r="B988" s="7" t="s">
        <v>2962</v>
      </c>
      <c r="C988" s="8"/>
      <c r="D988" s="8"/>
      <c r="E988" s="9" t="s">
        <v>37</v>
      </c>
      <c r="F988" s="10" t="s">
        <v>16</v>
      </c>
      <c r="G988" s="10" t="s">
        <v>202</v>
      </c>
      <c r="H988" s="10" t="s">
        <v>3921</v>
      </c>
      <c r="I988" s="10" t="s">
        <v>267</v>
      </c>
      <c r="J988" s="11">
        <v>840000249</v>
      </c>
      <c r="K988" s="11"/>
      <c r="L988" s="10" t="s">
        <v>3922</v>
      </c>
      <c r="M988" s="10" t="s">
        <v>47</v>
      </c>
      <c r="N988" s="10" t="s">
        <v>84</v>
      </c>
      <c r="O988" s="10">
        <v>2013</v>
      </c>
      <c r="P988" s="8">
        <v>42984</v>
      </c>
      <c r="Q988" s="12" t="s">
        <v>229</v>
      </c>
    </row>
    <row r="989" spans="1:17" x14ac:dyDescent="0.2">
      <c r="A989">
        <f t="shared" si="15"/>
        <v>1706067</v>
      </c>
      <c r="B989" s="7" t="s">
        <v>2963</v>
      </c>
      <c r="C989" s="8"/>
      <c r="D989" s="8"/>
      <c r="E989" s="9" t="s">
        <v>37</v>
      </c>
      <c r="F989" s="10" t="s">
        <v>16</v>
      </c>
      <c r="G989" s="10" t="s">
        <v>337</v>
      </c>
      <c r="H989" s="10" t="s">
        <v>2227</v>
      </c>
      <c r="I989" s="10" t="s">
        <v>492</v>
      </c>
      <c r="J989" s="11">
        <v>845216480</v>
      </c>
      <c r="K989" s="11"/>
      <c r="L989" s="10" t="s">
        <v>2228</v>
      </c>
      <c r="M989" s="10" t="s">
        <v>58</v>
      </c>
      <c r="N989" s="10" t="s">
        <v>414</v>
      </c>
      <c r="O989" s="10">
        <v>2012</v>
      </c>
      <c r="P989" s="8">
        <v>43211</v>
      </c>
      <c r="Q989" s="12" t="s">
        <v>564</v>
      </c>
    </row>
    <row r="990" spans="1:17" x14ac:dyDescent="0.2">
      <c r="A990">
        <f t="shared" si="15"/>
        <v>1706068</v>
      </c>
      <c r="B990" s="7" t="s">
        <v>2964</v>
      </c>
      <c r="C990" s="8"/>
      <c r="D990" s="8"/>
      <c r="E990" s="9" t="s">
        <v>37</v>
      </c>
      <c r="F990" s="10" t="s">
        <v>16</v>
      </c>
      <c r="G990" s="10" t="s">
        <v>202</v>
      </c>
      <c r="H990" s="10" t="s">
        <v>3923</v>
      </c>
      <c r="I990" s="10" t="s">
        <v>263</v>
      </c>
      <c r="J990" s="11">
        <v>909023027</v>
      </c>
      <c r="K990" s="11"/>
      <c r="L990" s="10" t="s">
        <v>3924</v>
      </c>
      <c r="M990" s="10" t="s">
        <v>47</v>
      </c>
      <c r="N990" s="10" t="s">
        <v>212</v>
      </c>
      <c r="O990" s="10">
        <v>2007</v>
      </c>
      <c r="P990" s="8">
        <v>43161</v>
      </c>
      <c r="Q990" s="12">
        <v>0</v>
      </c>
    </row>
    <row r="991" spans="1:17" x14ac:dyDescent="0.2">
      <c r="A991">
        <f t="shared" si="15"/>
        <v>1706069</v>
      </c>
      <c r="B991" s="7" t="s">
        <v>2965</v>
      </c>
      <c r="C991" s="8"/>
      <c r="D991" s="8"/>
      <c r="E991" s="9" t="s">
        <v>37</v>
      </c>
      <c r="F991" s="10" t="s">
        <v>16</v>
      </c>
      <c r="G991" s="10" t="s">
        <v>207</v>
      </c>
      <c r="H991" s="10" t="s">
        <v>3925</v>
      </c>
      <c r="I991" s="10"/>
      <c r="J991" s="11">
        <v>924724027</v>
      </c>
      <c r="K991" s="11"/>
      <c r="L991" s="10" t="s">
        <v>3926</v>
      </c>
      <c r="M991" s="10" t="s">
        <v>47</v>
      </c>
      <c r="N991" s="10" t="s">
        <v>78</v>
      </c>
      <c r="O991" s="10">
        <v>2012</v>
      </c>
      <c r="P991" s="8" t="s">
        <v>1120</v>
      </c>
      <c r="Q991" s="12"/>
    </row>
    <row r="992" spans="1:17" x14ac:dyDescent="0.2">
      <c r="A992">
        <f t="shared" si="15"/>
        <v>1706070</v>
      </c>
      <c r="B992" s="7" t="s">
        <v>2966</v>
      </c>
      <c r="C992" s="8"/>
      <c r="D992" s="8"/>
      <c r="E992" s="9" t="s">
        <v>37</v>
      </c>
      <c r="F992" s="10" t="s">
        <v>16</v>
      </c>
      <c r="G992" s="10" t="s">
        <v>3155</v>
      </c>
      <c r="H992" s="10" t="s">
        <v>3927</v>
      </c>
      <c r="I992" s="10" t="s">
        <v>243</v>
      </c>
      <c r="J992" s="11">
        <v>816334218</v>
      </c>
      <c r="K992" s="11"/>
      <c r="L992" s="10" t="s">
        <v>3928</v>
      </c>
      <c r="M992" s="10" t="s">
        <v>126</v>
      </c>
      <c r="N992" s="10" t="s">
        <v>172</v>
      </c>
      <c r="O992" s="10">
        <v>2011</v>
      </c>
      <c r="P992" s="8">
        <v>43236</v>
      </c>
      <c r="Q992" s="12" t="s">
        <v>292</v>
      </c>
    </row>
    <row r="993" spans="1:17" x14ac:dyDescent="0.2">
      <c r="A993">
        <f t="shared" si="15"/>
        <v>1707001</v>
      </c>
      <c r="B993" s="7" t="s">
        <v>2967</v>
      </c>
      <c r="C993" s="8"/>
      <c r="D993" s="8"/>
      <c r="E993" s="9" t="s">
        <v>37</v>
      </c>
      <c r="F993" s="10" t="s">
        <v>16</v>
      </c>
      <c r="G993" s="10" t="s">
        <v>202</v>
      </c>
      <c r="H993" s="10" t="s">
        <v>2241</v>
      </c>
      <c r="I993" s="10" t="s">
        <v>286</v>
      </c>
      <c r="J993" s="11">
        <v>814200043</v>
      </c>
      <c r="K993" s="11"/>
      <c r="L993" s="10" t="s">
        <v>2242</v>
      </c>
      <c r="M993" s="10" t="s">
        <v>87</v>
      </c>
      <c r="N993" s="10" t="s">
        <v>498</v>
      </c>
      <c r="O993" s="10">
        <v>2008</v>
      </c>
      <c r="P993" s="8">
        <v>43056</v>
      </c>
      <c r="Q993" s="12" t="s">
        <v>797</v>
      </c>
    </row>
    <row r="994" spans="1:17" x14ac:dyDescent="0.2">
      <c r="A994">
        <f t="shared" si="15"/>
        <v>1707002</v>
      </c>
      <c r="B994" s="7" t="s">
        <v>2968</v>
      </c>
      <c r="C994" s="8"/>
      <c r="D994" s="8"/>
      <c r="E994" s="9" t="s">
        <v>37</v>
      </c>
      <c r="F994" s="10" t="s">
        <v>16</v>
      </c>
      <c r="G994" s="10" t="s">
        <v>207</v>
      </c>
      <c r="H994" s="10" t="s">
        <v>2243</v>
      </c>
      <c r="I994" s="10" t="s">
        <v>2244</v>
      </c>
      <c r="J994" s="11">
        <v>855103977</v>
      </c>
      <c r="K994" s="11"/>
      <c r="L994" s="10" t="s">
        <v>2245</v>
      </c>
      <c r="M994" s="10" t="s">
        <v>47</v>
      </c>
      <c r="N994" s="10" t="s">
        <v>209</v>
      </c>
      <c r="O994" s="10">
        <v>2004</v>
      </c>
      <c r="P994" s="8">
        <v>43095</v>
      </c>
      <c r="Q994" s="12" t="s">
        <v>217</v>
      </c>
    </row>
    <row r="995" spans="1:17" x14ac:dyDescent="0.2">
      <c r="A995">
        <f t="shared" si="15"/>
        <v>1707003</v>
      </c>
      <c r="B995" s="7" t="s">
        <v>2969</v>
      </c>
      <c r="C995" s="8"/>
      <c r="D995" s="8"/>
      <c r="E995" s="9" t="s">
        <v>37</v>
      </c>
      <c r="F995" s="10" t="s">
        <v>16</v>
      </c>
      <c r="G995" s="10" t="s">
        <v>231</v>
      </c>
      <c r="H995" s="10" t="s">
        <v>3731</v>
      </c>
      <c r="I995" s="10" t="s">
        <v>233</v>
      </c>
      <c r="J995" s="11">
        <v>841299978</v>
      </c>
      <c r="K995" s="11"/>
      <c r="L995" s="10" t="s">
        <v>3732</v>
      </c>
      <c r="M995" s="10" t="s">
        <v>58</v>
      </c>
      <c r="N995" s="10" t="s">
        <v>414</v>
      </c>
      <c r="O995" s="10">
        <v>2009</v>
      </c>
      <c r="P995" s="8">
        <v>43271</v>
      </c>
      <c r="Q995" s="12" t="s">
        <v>256</v>
      </c>
    </row>
    <row r="996" spans="1:17" x14ac:dyDescent="0.2">
      <c r="A996">
        <f t="shared" si="15"/>
        <v>1707004</v>
      </c>
      <c r="B996" s="7" t="s">
        <v>2970</v>
      </c>
      <c r="C996" s="8"/>
      <c r="D996" s="8"/>
      <c r="E996" s="9" t="s">
        <v>37</v>
      </c>
      <c r="F996" s="10" t="s">
        <v>16</v>
      </c>
      <c r="G996" s="10" t="s">
        <v>337</v>
      </c>
      <c r="H996" s="10" t="s">
        <v>2246</v>
      </c>
      <c r="I996" s="10" t="s">
        <v>506</v>
      </c>
      <c r="J996" s="11">
        <v>982737527</v>
      </c>
      <c r="K996" s="11">
        <v>27018993</v>
      </c>
      <c r="L996" s="10" t="s">
        <v>2247</v>
      </c>
      <c r="M996" s="10" t="s">
        <v>42</v>
      </c>
      <c r="N996" s="10" t="s">
        <v>884</v>
      </c>
      <c r="O996" s="10"/>
      <c r="P996" s="8" t="s">
        <v>1120</v>
      </c>
      <c r="Q996" s="12"/>
    </row>
    <row r="997" spans="1:17" x14ac:dyDescent="0.2">
      <c r="A997">
        <f t="shared" si="15"/>
        <v>1707005</v>
      </c>
      <c r="B997" s="7" t="s">
        <v>2971</v>
      </c>
      <c r="C997" s="8"/>
      <c r="D997" s="8"/>
      <c r="E997" s="9" t="s">
        <v>37</v>
      </c>
      <c r="F997" s="10" t="s">
        <v>16</v>
      </c>
      <c r="G997" s="10" t="s">
        <v>199</v>
      </c>
      <c r="H997" s="10" t="s">
        <v>3929</v>
      </c>
      <c r="I997" s="10" t="s">
        <v>222</v>
      </c>
      <c r="J997" s="11">
        <v>898826614</v>
      </c>
      <c r="K997" s="11"/>
      <c r="L997" s="10" t="s">
        <v>3930</v>
      </c>
      <c r="M997" s="10" t="s">
        <v>42</v>
      </c>
      <c r="N997" s="10" t="s">
        <v>884</v>
      </c>
      <c r="O997" s="10">
        <v>2005</v>
      </c>
      <c r="P997" s="8">
        <v>43143</v>
      </c>
      <c r="Q997" s="12" t="s">
        <v>1863</v>
      </c>
    </row>
    <row r="998" spans="1:17" x14ac:dyDescent="0.2">
      <c r="A998">
        <f t="shared" si="15"/>
        <v>1707006</v>
      </c>
      <c r="B998" s="7" t="s">
        <v>2972</v>
      </c>
      <c r="C998" s="8"/>
      <c r="D998" s="8"/>
      <c r="E998" s="9" t="s">
        <v>37</v>
      </c>
      <c r="F998" s="10" t="s">
        <v>16</v>
      </c>
      <c r="G998" s="10" t="s">
        <v>584</v>
      </c>
      <c r="H998" s="10" t="s">
        <v>2248</v>
      </c>
      <c r="I998" s="10" t="s">
        <v>2249</v>
      </c>
      <c r="J998" s="11">
        <v>894832632</v>
      </c>
      <c r="K998" s="11"/>
      <c r="L998" s="10" t="s">
        <v>2250</v>
      </c>
      <c r="M998" s="10" t="s">
        <v>42</v>
      </c>
      <c r="N998" s="10" t="s">
        <v>75</v>
      </c>
      <c r="O998" s="10">
        <v>2013</v>
      </c>
      <c r="P998" s="8">
        <v>42928</v>
      </c>
      <c r="Q998" s="12" t="s">
        <v>419</v>
      </c>
    </row>
    <row r="999" spans="1:17" x14ac:dyDescent="0.2">
      <c r="A999">
        <f t="shared" si="15"/>
        <v>1707007</v>
      </c>
      <c r="B999" t="s">
        <v>2973</v>
      </c>
      <c r="F999" t="s">
        <v>16</v>
      </c>
      <c r="G999" t="s">
        <v>207</v>
      </c>
      <c r="H999" t="s">
        <v>3931</v>
      </c>
      <c r="I999" t="s">
        <v>286</v>
      </c>
      <c r="J999">
        <v>909616995</v>
      </c>
      <c r="L999" t="s">
        <v>3932</v>
      </c>
      <c r="M999" t="s">
        <v>47</v>
      </c>
      <c r="N999" t="s">
        <v>212</v>
      </c>
      <c r="O999">
        <v>2014</v>
      </c>
      <c r="P999">
        <v>43069</v>
      </c>
      <c r="Q999" t="s">
        <v>2251</v>
      </c>
    </row>
    <row r="1000" spans="1:17" x14ac:dyDescent="0.2">
      <c r="A1000">
        <f t="shared" si="15"/>
        <v>1707008</v>
      </c>
      <c r="B1000" t="s">
        <v>2974</v>
      </c>
      <c r="F1000" t="s">
        <v>16</v>
      </c>
      <c r="G1000" t="s">
        <v>225</v>
      </c>
      <c r="H1000" t="s">
        <v>3933</v>
      </c>
      <c r="I1000" t="s">
        <v>506</v>
      </c>
      <c r="J1000">
        <v>868954672</v>
      </c>
      <c r="L1000" t="s">
        <v>3934</v>
      </c>
      <c r="M1000" t="s">
        <v>58</v>
      </c>
      <c r="N1000" t="s">
        <v>1154</v>
      </c>
      <c r="O1000">
        <v>2005</v>
      </c>
      <c r="P1000" t="s">
        <v>1120</v>
      </c>
    </row>
    <row r="1001" spans="1:17" x14ac:dyDescent="0.2">
      <c r="A1001">
        <f t="shared" si="15"/>
        <v>1707009</v>
      </c>
      <c r="B1001" t="s">
        <v>2975</v>
      </c>
      <c r="F1001" t="s">
        <v>16</v>
      </c>
      <c r="G1001" t="s">
        <v>202</v>
      </c>
      <c r="H1001" t="s">
        <v>3935</v>
      </c>
      <c r="I1001" t="s">
        <v>625</v>
      </c>
      <c r="J1001">
        <v>800608011</v>
      </c>
      <c r="K1001">
        <v>928784249</v>
      </c>
      <c r="L1001" t="s">
        <v>2252</v>
      </c>
      <c r="M1001" t="s">
        <v>47</v>
      </c>
      <c r="N1001" t="s">
        <v>106</v>
      </c>
      <c r="O1001">
        <v>2007</v>
      </c>
      <c r="P1001">
        <v>43208</v>
      </c>
      <c r="Q1001" t="s">
        <v>660</v>
      </c>
    </row>
    <row r="1002" spans="1:17" x14ac:dyDescent="0.2">
      <c r="A1002">
        <f t="shared" si="15"/>
        <v>1707010</v>
      </c>
      <c r="B1002" t="s">
        <v>2976</v>
      </c>
      <c r="F1002" t="s">
        <v>16</v>
      </c>
      <c r="G1002" t="s">
        <v>196</v>
      </c>
      <c r="H1002" t="s">
        <v>3936</v>
      </c>
      <c r="I1002" t="s">
        <v>286</v>
      </c>
      <c r="J1002">
        <v>837908586</v>
      </c>
      <c r="L1002" t="s">
        <v>3937</v>
      </c>
      <c r="M1002" t="s">
        <v>126</v>
      </c>
      <c r="N1002" t="s">
        <v>553</v>
      </c>
      <c r="O1002">
        <v>2009</v>
      </c>
      <c r="P1002" t="s">
        <v>1120</v>
      </c>
    </row>
    <row r="1003" spans="1:17" x14ac:dyDescent="0.2">
      <c r="A1003">
        <f t="shared" si="15"/>
        <v>1707011</v>
      </c>
      <c r="B1003" t="s">
        <v>2977</v>
      </c>
      <c r="F1003" t="s">
        <v>16</v>
      </c>
      <c r="G1003" t="s">
        <v>207</v>
      </c>
      <c r="H1003" t="s">
        <v>2288</v>
      </c>
      <c r="I1003" t="s">
        <v>305</v>
      </c>
      <c r="J1003">
        <v>848790562</v>
      </c>
      <c r="L1003" t="s">
        <v>2289</v>
      </c>
      <c r="M1003" t="s">
        <v>126</v>
      </c>
      <c r="N1003" t="s">
        <v>981</v>
      </c>
      <c r="O1003">
        <v>1992</v>
      </c>
      <c r="P1003">
        <v>43066</v>
      </c>
      <c r="Q1003" t="s">
        <v>217</v>
      </c>
    </row>
    <row r="1004" spans="1:17" x14ac:dyDescent="0.2">
      <c r="A1004">
        <f t="shared" si="15"/>
        <v>1707012</v>
      </c>
      <c r="B1004" t="s">
        <v>2978</v>
      </c>
      <c r="F1004" t="s">
        <v>16</v>
      </c>
      <c r="G1004" t="s">
        <v>207</v>
      </c>
      <c r="H1004" t="s">
        <v>3938</v>
      </c>
      <c r="I1004" t="s">
        <v>243</v>
      </c>
      <c r="J1004">
        <v>894902854</v>
      </c>
      <c r="L1004" t="s">
        <v>3939</v>
      </c>
      <c r="M1004" t="s">
        <v>47</v>
      </c>
      <c r="N1004" t="s">
        <v>106</v>
      </c>
      <c r="O1004">
        <v>2012</v>
      </c>
      <c r="P1004">
        <v>42995</v>
      </c>
      <c r="Q1004" t="s">
        <v>350</v>
      </c>
    </row>
    <row r="1005" spans="1:17" x14ac:dyDescent="0.2">
      <c r="A1005">
        <f t="shared" si="15"/>
        <v>1707013</v>
      </c>
      <c r="B1005" t="s">
        <v>2979</v>
      </c>
      <c r="F1005" t="s">
        <v>16</v>
      </c>
      <c r="G1005" t="s">
        <v>207</v>
      </c>
      <c r="H1005" t="s">
        <v>3940</v>
      </c>
      <c r="J1005">
        <v>899383066</v>
      </c>
      <c r="L1005" t="s">
        <v>3941</v>
      </c>
      <c r="M1005" t="s">
        <v>109</v>
      </c>
      <c r="N1005" t="s">
        <v>240</v>
      </c>
      <c r="O1005">
        <v>2013</v>
      </c>
      <c r="P1005">
        <v>43172</v>
      </c>
      <c r="Q1005" t="s">
        <v>656</v>
      </c>
    </row>
    <row r="1006" spans="1:17" x14ac:dyDescent="0.2">
      <c r="A1006">
        <f t="shared" si="15"/>
        <v>1707014</v>
      </c>
      <c r="B1006" t="s">
        <v>2980</v>
      </c>
      <c r="F1006" t="s">
        <v>16</v>
      </c>
      <c r="G1006" t="s">
        <v>580</v>
      </c>
      <c r="H1006" t="s">
        <v>3942</v>
      </c>
      <c r="I1006" t="s">
        <v>233</v>
      </c>
      <c r="J1006">
        <v>899884370</v>
      </c>
      <c r="L1006" t="s">
        <v>3943</v>
      </c>
      <c r="M1006" t="s">
        <v>47</v>
      </c>
      <c r="N1006" t="s">
        <v>51</v>
      </c>
      <c r="O1006">
        <v>2006</v>
      </c>
      <c r="P1006">
        <v>42950</v>
      </c>
      <c r="Q1006" t="s">
        <v>1377</v>
      </c>
    </row>
    <row r="1007" spans="1:17" x14ac:dyDescent="0.2">
      <c r="A1007">
        <f t="shared" si="15"/>
        <v>1707015</v>
      </c>
      <c r="B1007" t="s">
        <v>2981</v>
      </c>
      <c r="F1007" t="s">
        <v>16</v>
      </c>
      <c r="G1007" t="s">
        <v>202</v>
      </c>
      <c r="H1007" t="s">
        <v>2290</v>
      </c>
      <c r="I1007" t="s">
        <v>254</v>
      </c>
      <c r="J1007">
        <v>869887997</v>
      </c>
      <c r="K1007">
        <v>940513824</v>
      </c>
      <c r="L1007" t="s">
        <v>1968</v>
      </c>
      <c r="M1007" t="s">
        <v>47</v>
      </c>
      <c r="N1007" t="s">
        <v>209</v>
      </c>
      <c r="O1007">
        <v>2008</v>
      </c>
      <c r="P1007">
        <v>43194</v>
      </c>
      <c r="Q1007" t="s">
        <v>564</v>
      </c>
    </row>
    <row r="1008" spans="1:17" x14ac:dyDescent="0.2">
      <c r="A1008">
        <f t="shared" si="15"/>
        <v>1707016</v>
      </c>
      <c r="B1008" t="s">
        <v>2982</v>
      </c>
      <c r="F1008" t="s">
        <v>16</v>
      </c>
      <c r="G1008" t="s">
        <v>225</v>
      </c>
      <c r="H1008" t="s">
        <v>3944</v>
      </c>
      <c r="I1008" t="s">
        <v>305</v>
      </c>
      <c r="J1008">
        <v>989288864</v>
      </c>
      <c r="K1008">
        <v>818452881</v>
      </c>
      <c r="L1008" t="s">
        <v>3945</v>
      </c>
      <c r="M1008" t="s">
        <v>47</v>
      </c>
      <c r="N1008" t="s">
        <v>51</v>
      </c>
      <c r="O1008">
        <v>2007</v>
      </c>
      <c r="P1008">
        <v>42950</v>
      </c>
      <c r="Q1008" t="s">
        <v>256</v>
      </c>
    </row>
    <row r="1009" spans="1:17" x14ac:dyDescent="0.2">
      <c r="A1009">
        <f t="shared" si="15"/>
        <v>1707017</v>
      </c>
      <c r="B1009" t="s">
        <v>2983</v>
      </c>
      <c r="F1009" t="s">
        <v>16</v>
      </c>
      <c r="G1009" t="s">
        <v>202</v>
      </c>
      <c r="H1009" t="s">
        <v>2291</v>
      </c>
      <c r="I1009" t="s">
        <v>625</v>
      </c>
      <c r="J1009">
        <v>868911133</v>
      </c>
      <c r="L1009" t="s">
        <v>2292</v>
      </c>
      <c r="M1009" t="s">
        <v>42</v>
      </c>
      <c r="N1009" t="s">
        <v>84</v>
      </c>
      <c r="O1009">
        <v>2004</v>
      </c>
      <c r="P1009">
        <v>42983</v>
      </c>
      <c r="Q1009" t="s">
        <v>217</v>
      </c>
    </row>
    <row r="1010" spans="1:17" x14ac:dyDescent="0.2">
      <c r="A1010">
        <f t="shared" si="15"/>
        <v>1707018</v>
      </c>
      <c r="B1010" t="s">
        <v>2984</v>
      </c>
      <c r="F1010" t="s">
        <v>16</v>
      </c>
      <c r="G1010" t="s">
        <v>207</v>
      </c>
      <c r="H1010" t="s">
        <v>3946</v>
      </c>
      <c r="I1010" t="s">
        <v>233</v>
      </c>
      <c r="L1010" t="s">
        <v>3947</v>
      </c>
      <c r="M1010" t="s">
        <v>47</v>
      </c>
      <c r="N1010" t="s">
        <v>209</v>
      </c>
      <c r="P1010" t="s">
        <v>1120</v>
      </c>
    </row>
    <row r="1011" spans="1:17" x14ac:dyDescent="0.2">
      <c r="A1011">
        <f t="shared" si="15"/>
        <v>1707019</v>
      </c>
      <c r="B1011" t="s">
        <v>2985</v>
      </c>
      <c r="F1011" t="s">
        <v>16</v>
      </c>
      <c r="G1011" t="s">
        <v>337</v>
      </c>
      <c r="H1011" t="s">
        <v>3948</v>
      </c>
      <c r="I1011" t="s">
        <v>233</v>
      </c>
      <c r="J1011">
        <v>955904560</v>
      </c>
      <c r="K1011">
        <v>816227430</v>
      </c>
      <c r="L1011" t="s">
        <v>3949</v>
      </c>
      <c r="M1011" t="s">
        <v>47</v>
      </c>
      <c r="N1011" t="s">
        <v>48</v>
      </c>
      <c r="O1011">
        <v>2012</v>
      </c>
      <c r="P1011">
        <v>43196</v>
      </c>
      <c r="Q1011" t="s">
        <v>260</v>
      </c>
    </row>
    <row r="1012" spans="1:17" x14ac:dyDescent="0.2">
      <c r="A1012">
        <f t="shared" si="15"/>
        <v>1707020</v>
      </c>
      <c r="B1012" t="s">
        <v>2986</v>
      </c>
      <c r="F1012" t="s">
        <v>16</v>
      </c>
      <c r="G1012" t="s">
        <v>207</v>
      </c>
      <c r="H1012" t="s">
        <v>2293</v>
      </c>
      <c r="J1012">
        <v>810013741</v>
      </c>
      <c r="L1012" t="s">
        <v>2294</v>
      </c>
      <c r="M1012" t="s">
        <v>93</v>
      </c>
      <c r="N1012" t="s">
        <v>155</v>
      </c>
      <c r="O1012">
        <v>2013</v>
      </c>
      <c r="P1012">
        <v>42998</v>
      </c>
      <c r="Q1012" t="s">
        <v>419</v>
      </c>
    </row>
    <row r="1013" spans="1:17" x14ac:dyDescent="0.2">
      <c r="A1013">
        <f t="shared" si="15"/>
        <v>1707021</v>
      </c>
      <c r="B1013" t="s">
        <v>2987</v>
      </c>
      <c r="F1013" t="s">
        <v>16</v>
      </c>
      <c r="G1013" t="s">
        <v>196</v>
      </c>
      <c r="H1013" t="s">
        <v>1483</v>
      </c>
      <c r="I1013" t="s">
        <v>305</v>
      </c>
      <c r="J1013">
        <v>814399189</v>
      </c>
      <c r="L1013" t="s">
        <v>3950</v>
      </c>
      <c r="M1013" t="s">
        <v>47</v>
      </c>
      <c r="N1013" t="s">
        <v>72</v>
      </c>
      <c r="O1013">
        <v>2015</v>
      </c>
      <c r="P1013">
        <v>43064</v>
      </c>
      <c r="Q1013" t="s">
        <v>499</v>
      </c>
    </row>
    <row r="1014" spans="1:17" x14ac:dyDescent="0.2">
      <c r="A1014">
        <f t="shared" si="15"/>
        <v>1707022</v>
      </c>
      <c r="B1014" t="s">
        <v>2988</v>
      </c>
      <c r="F1014" t="s">
        <v>16</v>
      </c>
      <c r="G1014" t="s">
        <v>196</v>
      </c>
      <c r="H1014" t="s">
        <v>3951</v>
      </c>
      <c r="I1014" t="s">
        <v>267</v>
      </c>
      <c r="J1014">
        <v>844699639</v>
      </c>
      <c r="L1014" t="s">
        <v>3952</v>
      </c>
      <c r="M1014" t="s">
        <v>58</v>
      </c>
      <c r="N1014" t="s">
        <v>414</v>
      </c>
      <c r="O1014">
        <v>2010</v>
      </c>
      <c r="P1014">
        <v>43026</v>
      </c>
      <c r="Q1014" t="s">
        <v>419</v>
      </c>
    </row>
    <row r="1015" spans="1:17" x14ac:dyDescent="0.2">
      <c r="A1015">
        <f t="shared" si="15"/>
        <v>1707023</v>
      </c>
      <c r="B1015" t="s">
        <v>2989</v>
      </c>
      <c r="F1015" t="s">
        <v>159</v>
      </c>
      <c r="G1015" t="s">
        <v>207</v>
      </c>
      <c r="H1015" t="s">
        <v>2295</v>
      </c>
      <c r="I1015" t="s">
        <v>233</v>
      </c>
      <c r="J1015">
        <v>814265638</v>
      </c>
      <c r="L1015" t="s">
        <v>2296</v>
      </c>
      <c r="M1015" t="s">
        <v>126</v>
      </c>
      <c r="N1015" t="s">
        <v>553</v>
      </c>
      <c r="O1015">
        <v>2007</v>
      </c>
      <c r="P1015">
        <v>42966</v>
      </c>
      <c r="Q1015" t="s">
        <v>909</v>
      </c>
    </row>
    <row r="1016" spans="1:17" x14ac:dyDescent="0.2">
      <c r="A1016">
        <f t="shared" si="15"/>
        <v>1707024</v>
      </c>
      <c r="B1016" t="s">
        <v>2990</v>
      </c>
      <c r="F1016" t="s">
        <v>16</v>
      </c>
      <c r="G1016" t="s">
        <v>202</v>
      </c>
      <c r="H1016" t="s">
        <v>3953</v>
      </c>
      <c r="I1016" t="s">
        <v>233</v>
      </c>
      <c r="J1016">
        <v>996963943</v>
      </c>
      <c r="L1016" t="s">
        <v>203</v>
      </c>
      <c r="M1016" t="s">
        <v>204</v>
      </c>
      <c r="N1016" t="s">
        <v>3954</v>
      </c>
      <c r="O1016">
        <v>2009</v>
      </c>
      <c r="P1016" t="s">
        <v>1120</v>
      </c>
    </row>
    <row r="1017" spans="1:17" x14ac:dyDescent="0.2">
      <c r="A1017">
        <f t="shared" si="15"/>
        <v>1707025</v>
      </c>
      <c r="B1017" t="s">
        <v>2991</v>
      </c>
      <c r="F1017" t="s">
        <v>16</v>
      </c>
      <c r="G1017" t="s">
        <v>207</v>
      </c>
      <c r="H1017" t="s">
        <v>3955</v>
      </c>
      <c r="I1017" t="s">
        <v>506</v>
      </c>
      <c r="J1017">
        <v>970934998</v>
      </c>
      <c r="L1017" t="s">
        <v>3956</v>
      </c>
      <c r="M1017" t="s">
        <v>47</v>
      </c>
      <c r="N1017" t="s">
        <v>106</v>
      </c>
      <c r="O1017">
        <v>2007</v>
      </c>
      <c r="P1017">
        <v>43027</v>
      </c>
      <c r="Q1017" t="s">
        <v>229</v>
      </c>
    </row>
    <row r="1018" spans="1:17" x14ac:dyDescent="0.2">
      <c r="A1018">
        <f t="shared" si="15"/>
        <v>1707026</v>
      </c>
      <c r="B1018" t="s">
        <v>2992</v>
      </c>
      <c r="F1018" t="s">
        <v>16</v>
      </c>
      <c r="G1018" t="s">
        <v>220</v>
      </c>
      <c r="H1018" t="s">
        <v>3957</v>
      </c>
      <c r="I1018" t="s">
        <v>506</v>
      </c>
      <c r="J1018">
        <v>629822426</v>
      </c>
      <c r="L1018" t="s">
        <v>1495</v>
      </c>
      <c r="M1018" t="s">
        <v>47</v>
      </c>
      <c r="N1018" t="s">
        <v>51</v>
      </c>
      <c r="O1018">
        <v>2013</v>
      </c>
      <c r="P1018">
        <v>43069</v>
      </c>
      <c r="Q1018" t="s">
        <v>335</v>
      </c>
    </row>
    <row r="1019" spans="1:17" x14ac:dyDescent="0.2">
      <c r="A1019">
        <f t="shared" si="15"/>
        <v>1707027</v>
      </c>
      <c r="B1019" t="s">
        <v>2993</v>
      </c>
      <c r="F1019" t="s">
        <v>159</v>
      </c>
      <c r="G1019" t="s">
        <v>1729</v>
      </c>
      <c r="H1019" t="s">
        <v>3958</v>
      </c>
      <c r="I1019" t="s">
        <v>254</v>
      </c>
      <c r="J1019">
        <v>818293907</v>
      </c>
      <c r="L1019" t="s">
        <v>3959</v>
      </c>
      <c r="M1019" t="s">
        <v>54</v>
      </c>
      <c r="N1019" t="s">
        <v>837</v>
      </c>
      <c r="O1019">
        <v>2009</v>
      </c>
      <c r="P1019" t="s">
        <v>1120</v>
      </c>
    </row>
    <row r="1020" spans="1:17" x14ac:dyDescent="0.2">
      <c r="A1020">
        <f t="shared" si="15"/>
        <v>1707028</v>
      </c>
      <c r="B1020" t="s">
        <v>2994</v>
      </c>
      <c r="F1020" t="s">
        <v>16</v>
      </c>
      <c r="G1020" t="s">
        <v>207</v>
      </c>
      <c r="H1020" t="s">
        <v>3474</v>
      </c>
      <c r="I1020" t="s">
        <v>254</v>
      </c>
      <c r="J1020">
        <v>617173807</v>
      </c>
      <c r="L1020" t="s">
        <v>3475</v>
      </c>
      <c r="M1020" t="s">
        <v>109</v>
      </c>
      <c r="N1020" t="s">
        <v>240</v>
      </c>
      <c r="O1020">
        <v>2016</v>
      </c>
      <c r="P1020" t="s">
        <v>3960</v>
      </c>
    </row>
    <row r="1021" spans="1:17" x14ac:dyDescent="0.2">
      <c r="A1021">
        <f t="shared" si="15"/>
        <v>1707029</v>
      </c>
      <c r="B1021" t="s">
        <v>2995</v>
      </c>
      <c r="F1021" t="s">
        <v>16</v>
      </c>
      <c r="G1021" t="s">
        <v>207</v>
      </c>
      <c r="H1021" t="s">
        <v>3474</v>
      </c>
      <c r="I1021" t="s">
        <v>254</v>
      </c>
      <c r="J1021">
        <v>617173807</v>
      </c>
      <c r="L1021" t="s">
        <v>3475</v>
      </c>
      <c r="M1021" t="s">
        <v>109</v>
      </c>
      <c r="N1021" t="s">
        <v>240</v>
      </c>
      <c r="O1021">
        <v>2016</v>
      </c>
      <c r="P1021" t="s">
        <v>1120</v>
      </c>
    </row>
    <row r="1022" spans="1:17" x14ac:dyDescent="0.2">
      <c r="A1022">
        <f t="shared" si="15"/>
        <v>1707030</v>
      </c>
      <c r="B1022" t="s">
        <v>2996</v>
      </c>
      <c r="F1022" t="s">
        <v>16</v>
      </c>
      <c r="G1022" t="s">
        <v>207</v>
      </c>
      <c r="H1022" t="s">
        <v>2297</v>
      </c>
      <c r="J1022">
        <v>625801825</v>
      </c>
      <c r="L1022" t="s">
        <v>2298</v>
      </c>
      <c r="M1022" t="s">
        <v>58</v>
      </c>
      <c r="N1022" t="s">
        <v>414</v>
      </c>
      <c r="O1022">
        <v>2011</v>
      </c>
      <c r="P1022" t="s">
        <v>1120</v>
      </c>
    </row>
    <row r="1023" spans="1:17" x14ac:dyDescent="0.2">
      <c r="A1023">
        <f t="shared" si="15"/>
        <v>1707031</v>
      </c>
      <c r="B1023" t="s">
        <v>2997</v>
      </c>
      <c r="F1023" t="s">
        <v>16</v>
      </c>
      <c r="G1023" t="s">
        <v>231</v>
      </c>
      <c r="H1023" t="s">
        <v>2299</v>
      </c>
      <c r="I1023" t="s">
        <v>233</v>
      </c>
      <c r="J1023">
        <v>870748986</v>
      </c>
      <c r="L1023" t="s">
        <v>2300</v>
      </c>
      <c r="M1023" t="s">
        <v>47</v>
      </c>
      <c r="N1023" t="s">
        <v>48</v>
      </c>
      <c r="O1023">
        <v>2005</v>
      </c>
      <c r="P1023">
        <v>43243</v>
      </c>
      <c r="Q1023" t="s">
        <v>909</v>
      </c>
    </row>
    <row r="1024" spans="1:17" x14ac:dyDescent="0.2">
      <c r="A1024">
        <f t="shared" si="15"/>
        <v>1707032</v>
      </c>
      <c r="B1024" t="s">
        <v>2998</v>
      </c>
      <c r="F1024" t="s">
        <v>16</v>
      </c>
      <c r="G1024" t="s">
        <v>202</v>
      </c>
      <c r="H1024" t="s">
        <v>3961</v>
      </c>
      <c r="I1024" t="s">
        <v>263</v>
      </c>
      <c r="J1024">
        <v>945564928</v>
      </c>
      <c r="L1024" t="s">
        <v>3962</v>
      </c>
      <c r="M1024" t="s">
        <v>47</v>
      </c>
      <c r="N1024" t="s">
        <v>51</v>
      </c>
      <c r="O1024">
        <v>2013</v>
      </c>
      <c r="P1024">
        <v>42976</v>
      </c>
      <c r="Q1024" t="s">
        <v>341</v>
      </c>
    </row>
    <row r="1025" spans="1:17" x14ac:dyDescent="0.2">
      <c r="A1025">
        <f t="shared" si="15"/>
        <v>1707033</v>
      </c>
      <c r="B1025" t="s">
        <v>2999</v>
      </c>
      <c r="F1025" t="s">
        <v>16</v>
      </c>
      <c r="G1025" t="s">
        <v>196</v>
      </c>
      <c r="H1025" t="s">
        <v>3963</v>
      </c>
      <c r="I1025" t="s">
        <v>286</v>
      </c>
      <c r="J1025">
        <v>948255644</v>
      </c>
      <c r="L1025" t="s">
        <v>3964</v>
      </c>
      <c r="M1025" t="s">
        <v>93</v>
      </c>
      <c r="N1025" t="s">
        <v>155</v>
      </c>
      <c r="O1025">
        <v>2015</v>
      </c>
      <c r="P1025">
        <v>42941</v>
      </c>
      <c r="Q1025" t="s">
        <v>366</v>
      </c>
    </row>
    <row r="1026" spans="1:17" x14ac:dyDescent="0.2">
      <c r="A1026">
        <f t="shared" si="15"/>
        <v>1707034</v>
      </c>
      <c r="B1026" t="s">
        <v>3000</v>
      </c>
      <c r="F1026" t="s">
        <v>16</v>
      </c>
      <c r="G1026" t="s">
        <v>207</v>
      </c>
      <c r="H1026" t="s">
        <v>3965</v>
      </c>
      <c r="J1026">
        <v>953356613</v>
      </c>
      <c r="L1026" t="s">
        <v>3966</v>
      </c>
      <c r="M1026" t="s">
        <v>58</v>
      </c>
      <c r="N1026" t="s">
        <v>414</v>
      </c>
      <c r="O1026">
        <v>2007</v>
      </c>
      <c r="P1026" t="s">
        <v>1120</v>
      </c>
    </row>
    <row r="1027" spans="1:17" x14ac:dyDescent="0.2">
      <c r="A1027">
        <f t="shared" si="15"/>
        <v>1707035</v>
      </c>
      <c r="B1027" t="s">
        <v>3001</v>
      </c>
      <c r="F1027" t="s">
        <v>16</v>
      </c>
      <c r="G1027" t="s">
        <v>207</v>
      </c>
      <c r="H1027" t="s">
        <v>3967</v>
      </c>
      <c r="J1027">
        <v>922548414</v>
      </c>
      <c r="L1027" t="s">
        <v>3968</v>
      </c>
      <c r="M1027" t="s">
        <v>42</v>
      </c>
      <c r="N1027" t="s">
        <v>884</v>
      </c>
      <c r="P1027" t="s">
        <v>1120</v>
      </c>
    </row>
    <row r="1028" spans="1:17" x14ac:dyDescent="0.2">
      <c r="A1028">
        <f t="shared" ref="A1028:A1091" si="16">VALUE(B1028)</f>
        <v>1707036</v>
      </c>
      <c r="B1028" t="s">
        <v>3002</v>
      </c>
      <c r="F1028" t="s">
        <v>159</v>
      </c>
      <c r="G1028" t="s">
        <v>337</v>
      </c>
      <c r="H1028" t="s">
        <v>3969</v>
      </c>
      <c r="I1028" t="s">
        <v>263</v>
      </c>
      <c r="J1028">
        <v>23895220</v>
      </c>
      <c r="L1028" t="s">
        <v>3970</v>
      </c>
      <c r="M1028" t="s">
        <v>58</v>
      </c>
      <c r="N1028" t="s">
        <v>414</v>
      </c>
      <c r="O1028">
        <v>2011</v>
      </c>
      <c r="P1028" t="s">
        <v>1120</v>
      </c>
    </row>
    <row r="1029" spans="1:17" x14ac:dyDescent="0.2">
      <c r="A1029">
        <f t="shared" si="16"/>
        <v>1707037</v>
      </c>
      <c r="B1029" t="s">
        <v>3003</v>
      </c>
      <c r="F1029" t="s">
        <v>16</v>
      </c>
      <c r="G1029" t="s">
        <v>196</v>
      </c>
      <c r="H1029" t="s">
        <v>3971</v>
      </c>
      <c r="I1029" t="s">
        <v>625</v>
      </c>
      <c r="J1029">
        <v>925896899</v>
      </c>
      <c r="L1029" t="s">
        <v>3972</v>
      </c>
      <c r="M1029" t="s">
        <v>42</v>
      </c>
      <c r="N1029" t="s">
        <v>494</v>
      </c>
      <c r="O1029">
        <v>2012</v>
      </c>
      <c r="P1029">
        <v>43094</v>
      </c>
      <c r="Q1029" t="s">
        <v>664</v>
      </c>
    </row>
    <row r="1030" spans="1:17" x14ac:dyDescent="0.2">
      <c r="A1030">
        <f t="shared" si="16"/>
        <v>1707038</v>
      </c>
      <c r="B1030" t="s">
        <v>3004</v>
      </c>
      <c r="F1030" t="s">
        <v>16</v>
      </c>
      <c r="G1030" t="s">
        <v>207</v>
      </c>
      <c r="H1030" t="s">
        <v>3973</v>
      </c>
      <c r="I1030" t="s">
        <v>625</v>
      </c>
      <c r="J1030">
        <v>909252904</v>
      </c>
      <c r="L1030" t="s">
        <v>3974</v>
      </c>
      <c r="M1030" t="s">
        <v>58</v>
      </c>
      <c r="N1030" t="s">
        <v>717</v>
      </c>
      <c r="O1030">
        <v>2011</v>
      </c>
      <c r="P1030">
        <v>42945</v>
      </c>
      <c r="Q1030" t="s">
        <v>260</v>
      </c>
    </row>
    <row r="1031" spans="1:17" x14ac:dyDescent="0.2">
      <c r="A1031">
        <f t="shared" si="16"/>
        <v>1707039</v>
      </c>
      <c r="B1031" t="s">
        <v>3005</v>
      </c>
      <c r="F1031" t="s">
        <v>16</v>
      </c>
      <c r="G1031" t="s">
        <v>202</v>
      </c>
      <c r="H1031" t="s">
        <v>3975</v>
      </c>
      <c r="I1031" t="s">
        <v>254</v>
      </c>
      <c r="J1031">
        <v>804595989</v>
      </c>
      <c r="L1031" t="s">
        <v>3976</v>
      </c>
      <c r="M1031" t="s">
        <v>42</v>
      </c>
      <c r="N1031" t="s">
        <v>75</v>
      </c>
      <c r="O1031">
        <v>2008</v>
      </c>
      <c r="P1031">
        <v>43046</v>
      </c>
      <c r="Q1031" t="s">
        <v>531</v>
      </c>
    </row>
    <row r="1032" spans="1:17" x14ac:dyDescent="0.2">
      <c r="A1032">
        <f t="shared" si="16"/>
        <v>1707040</v>
      </c>
      <c r="B1032" t="s">
        <v>3006</v>
      </c>
      <c r="F1032" t="s">
        <v>16</v>
      </c>
      <c r="G1032" t="s">
        <v>199</v>
      </c>
      <c r="H1032" t="s">
        <v>3977</v>
      </c>
      <c r="I1032" t="s">
        <v>286</v>
      </c>
      <c r="J1032">
        <v>818185996</v>
      </c>
      <c r="L1032" t="s">
        <v>3978</v>
      </c>
      <c r="M1032" t="s">
        <v>54</v>
      </c>
      <c r="N1032" t="s">
        <v>873</v>
      </c>
      <c r="O1032">
        <v>2010</v>
      </c>
      <c r="P1032">
        <v>43224</v>
      </c>
      <c r="Q1032" t="s">
        <v>405</v>
      </c>
    </row>
    <row r="1033" spans="1:17" x14ac:dyDescent="0.2">
      <c r="A1033">
        <f t="shared" si="16"/>
        <v>1707041</v>
      </c>
      <c r="B1033" t="s">
        <v>3007</v>
      </c>
      <c r="F1033" t="s">
        <v>16</v>
      </c>
      <c r="G1033" t="s">
        <v>207</v>
      </c>
      <c r="H1033" t="s">
        <v>3979</v>
      </c>
      <c r="L1033" t="s">
        <v>3980</v>
      </c>
      <c r="M1033" t="s">
        <v>47</v>
      </c>
      <c r="N1033" t="s">
        <v>51</v>
      </c>
      <c r="O1033">
        <v>2013</v>
      </c>
      <c r="P1033">
        <v>43083</v>
      </c>
      <c r="Q1033" t="s">
        <v>251</v>
      </c>
    </row>
    <row r="1034" spans="1:17" x14ac:dyDescent="0.2">
      <c r="A1034">
        <f t="shared" si="16"/>
        <v>1707042</v>
      </c>
      <c r="B1034" t="s">
        <v>3008</v>
      </c>
      <c r="F1034" t="s">
        <v>16</v>
      </c>
      <c r="G1034" t="s">
        <v>207</v>
      </c>
      <c r="H1034" t="s">
        <v>3981</v>
      </c>
      <c r="I1034" t="s">
        <v>243</v>
      </c>
      <c r="J1034">
        <v>853826015</v>
      </c>
      <c r="K1034">
        <v>879318734</v>
      </c>
      <c r="L1034" t="s">
        <v>3982</v>
      </c>
      <c r="M1034" t="s">
        <v>58</v>
      </c>
      <c r="N1034" t="s">
        <v>717</v>
      </c>
      <c r="O1034">
        <v>2009</v>
      </c>
      <c r="P1034">
        <v>43213</v>
      </c>
      <c r="Q1034" t="s">
        <v>909</v>
      </c>
    </row>
    <row r="1035" spans="1:17" x14ac:dyDescent="0.2">
      <c r="A1035">
        <f t="shared" si="16"/>
        <v>1707043</v>
      </c>
      <c r="B1035" t="s">
        <v>3009</v>
      </c>
      <c r="F1035" t="s">
        <v>159</v>
      </c>
      <c r="G1035" t="s">
        <v>580</v>
      </c>
      <c r="H1035" t="s">
        <v>3271</v>
      </c>
      <c r="I1035" t="s">
        <v>492</v>
      </c>
      <c r="J1035">
        <v>945468009</v>
      </c>
      <c r="L1035" t="s">
        <v>1749</v>
      </c>
      <c r="M1035" t="s">
        <v>54</v>
      </c>
      <c r="N1035" t="s">
        <v>837</v>
      </c>
      <c r="O1035">
        <v>2014</v>
      </c>
      <c r="P1035">
        <v>43045</v>
      </c>
      <c r="Q1035" t="s">
        <v>350</v>
      </c>
    </row>
    <row r="1036" spans="1:17" x14ac:dyDescent="0.2">
      <c r="A1036">
        <f t="shared" si="16"/>
        <v>1707044</v>
      </c>
      <c r="B1036" t="s">
        <v>3010</v>
      </c>
      <c r="F1036" t="s">
        <v>16</v>
      </c>
      <c r="G1036" t="s">
        <v>580</v>
      </c>
      <c r="H1036" t="s">
        <v>2320</v>
      </c>
      <c r="J1036">
        <v>623960937</v>
      </c>
      <c r="K1036">
        <v>658242271</v>
      </c>
      <c r="L1036" t="s">
        <v>2321</v>
      </c>
      <c r="M1036" t="s">
        <v>54</v>
      </c>
      <c r="N1036" t="s">
        <v>1124</v>
      </c>
      <c r="O1036">
        <v>2014</v>
      </c>
      <c r="P1036">
        <v>42982</v>
      </c>
      <c r="Q1036" t="s">
        <v>1377</v>
      </c>
    </row>
    <row r="1037" spans="1:17" x14ac:dyDescent="0.2">
      <c r="A1037">
        <f t="shared" si="16"/>
        <v>1707045</v>
      </c>
      <c r="B1037" t="s">
        <v>3011</v>
      </c>
      <c r="F1037" t="s">
        <v>16</v>
      </c>
      <c r="G1037" t="s">
        <v>225</v>
      </c>
      <c r="H1037" t="s">
        <v>2322</v>
      </c>
      <c r="I1037" t="s">
        <v>227</v>
      </c>
      <c r="J1037">
        <v>862898434</v>
      </c>
      <c r="L1037" t="s">
        <v>2323</v>
      </c>
      <c r="M1037" t="s">
        <v>47</v>
      </c>
      <c r="N1037" t="s">
        <v>209</v>
      </c>
      <c r="O1037">
        <v>2013</v>
      </c>
      <c r="P1037">
        <v>43007</v>
      </c>
      <c r="Q1037" t="s">
        <v>382</v>
      </c>
    </row>
    <row r="1038" spans="1:17" x14ac:dyDescent="0.2">
      <c r="A1038">
        <f t="shared" si="16"/>
        <v>1707046</v>
      </c>
      <c r="B1038" t="s">
        <v>3012</v>
      </c>
      <c r="F1038" t="s">
        <v>16</v>
      </c>
      <c r="G1038" t="s">
        <v>303</v>
      </c>
      <c r="H1038" t="s">
        <v>3983</v>
      </c>
      <c r="I1038" t="s">
        <v>233</v>
      </c>
      <c r="J1038">
        <v>818682157</v>
      </c>
      <c r="L1038" t="s">
        <v>3984</v>
      </c>
      <c r="M1038" t="s">
        <v>47</v>
      </c>
      <c r="N1038" t="s">
        <v>106</v>
      </c>
      <c r="O1038">
        <v>2006</v>
      </c>
      <c r="P1038">
        <v>43378</v>
      </c>
      <c r="Q1038" t="s">
        <v>331</v>
      </c>
    </row>
    <row r="1039" spans="1:17" x14ac:dyDescent="0.2">
      <c r="A1039">
        <f t="shared" si="16"/>
        <v>1707047</v>
      </c>
      <c r="B1039" t="s">
        <v>3013</v>
      </c>
      <c r="F1039" t="s">
        <v>16</v>
      </c>
      <c r="G1039" t="s">
        <v>225</v>
      </c>
      <c r="H1039" t="s">
        <v>2324</v>
      </c>
      <c r="I1039" t="s">
        <v>305</v>
      </c>
      <c r="J1039">
        <v>860336213</v>
      </c>
      <c r="L1039" t="s">
        <v>2325</v>
      </c>
      <c r="M1039" t="s">
        <v>538</v>
      </c>
      <c r="N1039" t="s">
        <v>539</v>
      </c>
      <c r="O1039">
        <v>2010</v>
      </c>
      <c r="P1039">
        <v>42940</v>
      </c>
      <c r="Q1039" t="s">
        <v>1069</v>
      </c>
    </row>
    <row r="1040" spans="1:17" x14ac:dyDescent="0.2">
      <c r="A1040">
        <f t="shared" si="16"/>
        <v>1707048</v>
      </c>
      <c r="B1040" t="s">
        <v>3014</v>
      </c>
      <c r="F1040" t="s">
        <v>16</v>
      </c>
      <c r="G1040" t="s">
        <v>207</v>
      </c>
      <c r="H1040" t="s">
        <v>3985</v>
      </c>
      <c r="I1040" t="s">
        <v>286</v>
      </c>
      <c r="J1040">
        <v>844332888</v>
      </c>
      <c r="K1040">
        <v>87036404</v>
      </c>
      <c r="L1040" t="s">
        <v>3986</v>
      </c>
      <c r="M1040" t="s">
        <v>47</v>
      </c>
      <c r="N1040" t="s">
        <v>3614</v>
      </c>
      <c r="O1040">
        <v>2017</v>
      </c>
      <c r="P1040">
        <v>43188</v>
      </c>
      <c r="Q1040" t="s">
        <v>656</v>
      </c>
    </row>
    <row r="1041" spans="1:17" x14ac:dyDescent="0.2">
      <c r="A1041">
        <f t="shared" si="16"/>
        <v>1707049</v>
      </c>
      <c r="B1041" t="s">
        <v>3015</v>
      </c>
      <c r="F1041" t="s">
        <v>16</v>
      </c>
      <c r="G1041" t="s">
        <v>196</v>
      </c>
      <c r="H1041" t="s">
        <v>3987</v>
      </c>
      <c r="I1041" t="s">
        <v>254</v>
      </c>
      <c r="J1041">
        <v>891181300</v>
      </c>
      <c r="L1041" t="s">
        <v>3988</v>
      </c>
      <c r="M1041" t="s">
        <v>126</v>
      </c>
      <c r="N1041" t="s">
        <v>553</v>
      </c>
      <c r="O1041">
        <v>2009</v>
      </c>
      <c r="P1041">
        <v>43255</v>
      </c>
      <c r="Q1041" t="s">
        <v>909</v>
      </c>
    </row>
    <row r="1042" spans="1:17" x14ac:dyDescent="0.2">
      <c r="A1042">
        <f t="shared" si="16"/>
        <v>1707050</v>
      </c>
      <c r="B1042" t="s">
        <v>3016</v>
      </c>
      <c r="F1042" t="s">
        <v>16</v>
      </c>
      <c r="G1042" t="s">
        <v>303</v>
      </c>
      <c r="H1042" t="s">
        <v>3989</v>
      </c>
      <c r="I1042" t="s">
        <v>979</v>
      </c>
      <c r="J1042">
        <v>839611827</v>
      </c>
      <c r="L1042" t="s">
        <v>1612</v>
      </c>
      <c r="M1042" t="s">
        <v>47</v>
      </c>
      <c r="N1042" t="s">
        <v>209</v>
      </c>
      <c r="P1042" t="s">
        <v>1120</v>
      </c>
    </row>
    <row r="1043" spans="1:17" x14ac:dyDescent="0.2">
      <c r="A1043">
        <f t="shared" si="16"/>
        <v>1707051</v>
      </c>
      <c r="B1043" t="s">
        <v>3017</v>
      </c>
      <c r="F1043" t="s">
        <v>16</v>
      </c>
      <c r="G1043" t="s">
        <v>207</v>
      </c>
      <c r="H1043" t="s">
        <v>3990</v>
      </c>
      <c r="I1043" t="s">
        <v>222</v>
      </c>
      <c r="J1043">
        <v>818544183</v>
      </c>
      <c r="L1043" t="s">
        <v>3991</v>
      </c>
      <c r="M1043" t="s">
        <v>282</v>
      </c>
      <c r="N1043" t="s">
        <v>283</v>
      </c>
      <c r="O1043">
        <v>2012</v>
      </c>
      <c r="P1043" t="s">
        <v>1120</v>
      </c>
    </row>
    <row r="1044" spans="1:17" x14ac:dyDescent="0.2">
      <c r="A1044">
        <f t="shared" si="16"/>
        <v>1707052</v>
      </c>
      <c r="B1044" t="s">
        <v>3018</v>
      </c>
      <c r="F1044" t="s">
        <v>16</v>
      </c>
      <c r="G1044" t="s">
        <v>225</v>
      </c>
      <c r="H1044" t="s">
        <v>3992</v>
      </c>
      <c r="I1044" t="s">
        <v>286</v>
      </c>
      <c r="J1044">
        <v>970971598</v>
      </c>
      <c r="L1044" t="s">
        <v>3993</v>
      </c>
      <c r="M1044" t="s">
        <v>282</v>
      </c>
      <c r="N1044" t="s">
        <v>283</v>
      </c>
      <c r="O1044">
        <v>2012</v>
      </c>
      <c r="P1044">
        <v>43187</v>
      </c>
      <c r="Q1044" t="s">
        <v>531</v>
      </c>
    </row>
    <row r="1045" spans="1:17" x14ac:dyDescent="0.2">
      <c r="A1045">
        <f t="shared" si="16"/>
        <v>1707053</v>
      </c>
      <c r="B1045" t="s">
        <v>2319</v>
      </c>
      <c r="F1045" t="s">
        <v>16</v>
      </c>
      <c r="G1045" t="s">
        <v>207</v>
      </c>
      <c r="H1045" t="s">
        <v>2326</v>
      </c>
      <c r="I1045" t="s">
        <v>263</v>
      </c>
      <c r="J1045">
        <v>949265757</v>
      </c>
      <c r="L1045" t="s">
        <v>2327</v>
      </c>
      <c r="M1045" t="s">
        <v>47</v>
      </c>
      <c r="N1045" t="s">
        <v>106</v>
      </c>
      <c r="O1045">
        <v>2009</v>
      </c>
      <c r="P1045">
        <v>43071</v>
      </c>
      <c r="Q1045" t="s">
        <v>611</v>
      </c>
    </row>
    <row r="1046" spans="1:17" x14ac:dyDescent="0.2">
      <c r="A1046">
        <f t="shared" si="16"/>
        <v>1707054</v>
      </c>
      <c r="B1046" t="s">
        <v>3019</v>
      </c>
      <c r="F1046" t="s">
        <v>16</v>
      </c>
      <c r="G1046" t="s">
        <v>196</v>
      </c>
      <c r="H1046" t="s">
        <v>3994</v>
      </c>
      <c r="I1046" t="s">
        <v>286</v>
      </c>
      <c r="J1046">
        <v>856633886</v>
      </c>
      <c r="L1046" t="s">
        <v>3995</v>
      </c>
      <c r="M1046" t="s">
        <v>42</v>
      </c>
      <c r="N1046" t="s">
        <v>75</v>
      </c>
      <c r="O1046">
        <v>2014</v>
      </c>
      <c r="P1046">
        <v>43017</v>
      </c>
      <c r="Q1046" t="s">
        <v>564</v>
      </c>
    </row>
    <row r="1047" spans="1:17" x14ac:dyDescent="0.2">
      <c r="A1047">
        <f t="shared" si="16"/>
        <v>1707055</v>
      </c>
      <c r="B1047" t="s">
        <v>3020</v>
      </c>
      <c r="F1047" t="s">
        <v>16</v>
      </c>
      <c r="G1047" t="s">
        <v>196</v>
      </c>
      <c r="H1047" t="s">
        <v>1159</v>
      </c>
      <c r="I1047" t="s">
        <v>243</v>
      </c>
      <c r="J1047">
        <v>972918737</v>
      </c>
      <c r="L1047" t="s">
        <v>1160</v>
      </c>
      <c r="M1047" t="s">
        <v>126</v>
      </c>
      <c r="N1047" t="s">
        <v>297</v>
      </c>
      <c r="O1047">
        <v>2011</v>
      </c>
      <c r="P1047">
        <v>42739</v>
      </c>
      <c r="Q1047" t="s">
        <v>256</v>
      </c>
    </row>
    <row r="1048" spans="1:17" x14ac:dyDescent="0.2">
      <c r="A1048">
        <f t="shared" si="16"/>
        <v>1707056</v>
      </c>
      <c r="B1048" t="s">
        <v>3021</v>
      </c>
      <c r="F1048" t="s">
        <v>16</v>
      </c>
      <c r="G1048" t="s">
        <v>303</v>
      </c>
      <c r="H1048" t="s">
        <v>3996</v>
      </c>
      <c r="I1048" t="s">
        <v>233</v>
      </c>
      <c r="J1048">
        <v>865684925</v>
      </c>
      <c r="L1048" t="s">
        <v>3997</v>
      </c>
      <c r="M1048" t="s">
        <v>47</v>
      </c>
      <c r="N1048" t="s">
        <v>630</v>
      </c>
      <c r="P1048" t="s">
        <v>1120</v>
      </c>
    </row>
    <row r="1049" spans="1:17" x14ac:dyDescent="0.2">
      <c r="A1049">
        <f t="shared" si="16"/>
        <v>1707057</v>
      </c>
      <c r="B1049" t="s">
        <v>3022</v>
      </c>
      <c r="F1049" t="s">
        <v>16</v>
      </c>
      <c r="G1049" t="s">
        <v>207</v>
      </c>
      <c r="H1049" t="s">
        <v>3534</v>
      </c>
      <c r="I1049" t="s">
        <v>305</v>
      </c>
      <c r="J1049">
        <v>858204747</v>
      </c>
      <c r="L1049" t="s">
        <v>3535</v>
      </c>
      <c r="M1049" t="s">
        <v>42</v>
      </c>
      <c r="N1049" t="s">
        <v>494</v>
      </c>
      <c r="O1049">
        <v>2012</v>
      </c>
      <c r="P1049" t="s">
        <v>1120</v>
      </c>
    </row>
    <row r="1050" spans="1:17" x14ac:dyDescent="0.2">
      <c r="A1050">
        <f t="shared" si="16"/>
        <v>1707058</v>
      </c>
      <c r="B1050" t="s">
        <v>3023</v>
      </c>
      <c r="F1050" t="s">
        <v>16</v>
      </c>
      <c r="G1050" t="s">
        <v>207</v>
      </c>
      <c r="H1050" t="s">
        <v>3998</v>
      </c>
      <c r="J1050">
        <v>939642549</v>
      </c>
      <c r="L1050" t="s">
        <v>3999</v>
      </c>
      <c r="M1050" t="s">
        <v>54</v>
      </c>
    </row>
    <row r="1051" spans="1:17" x14ac:dyDescent="0.2">
      <c r="A1051">
        <f t="shared" si="16"/>
        <v>1707059</v>
      </c>
      <c r="B1051" t="s">
        <v>3024</v>
      </c>
      <c r="F1051" t="s">
        <v>16</v>
      </c>
      <c r="G1051" t="s">
        <v>207</v>
      </c>
      <c r="H1051" t="s">
        <v>4000</v>
      </c>
      <c r="I1051" t="s">
        <v>625</v>
      </c>
      <c r="J1051">
        <v>929198638</v>
      </c>
      <c r="L1051" t="s">
        <v>4001</v>
      </c>
      <c r="M1051" t="s">
        <v>47</v>
      </c>
      <c r="N1051" t="s">
        <v>106</v>
      </c>
      <c r="O1051">
        <v>2012</v>
      </c>
      <c r="P1051" t="s">
        <v>1120</v>
      </c>
    </row>
    <row r="1052" spans="1:17" x14ac:dyDescent="0.2">
      <c r="A1052">
        <f t="shared" si="16"/>
        <v>1707060</v>
      </c>
      <c r="B1052" t="s">
        <v>3025</v>
      </c>
      <c r="F1052" t="s">
        <v>16</v>
      </c>
      <c r="G1052" t="s">
        <v>1729</v>
      </c>
      <c r="H1052" t="s">
        <v>4002</v>
      </c>
      <c r="I1052" t="s">
        <v>227</v>
      </c>
      <c r="J1052">
        <v>897942542</v>
      </c>
      <c r="K1052">
        <v>820032949</v>
      </c>
      <c r="L1052" t="s">
        <v>4003</v>
      </c>
      <c r="M1052" t="s">
        <v>54</v>
      </c>
      <c r="N1052" t="s">
        <v>873</v>
      </c>
      <c r="O1052">
        <v>2002</v>
      </c>
      <c r="P1052">
        <v>43284</v>
      </c>
      <c r="Q1052" t="s">
        <v>217</v>
      </c>
    </row>
    <row r="1053" spans="1:17" x14ac:dyDescent="0.2">
      <c r="A1053">
        <f t="shared" si="16"/>
        <v>1707061</v>
      </c>
      <c r="B1053" t="s">
        <v>3026</v>
      </c>
      <c r="F1053" t="s">
        <v>16</v>
      </c>
      <c r="G1053" t="s">
        <v>207</v>
      </c>
      <c r="H1053" t="s">
        <v>4004</v>
      </c>
      <c r="I1053" t="s">
        <v>222</v>
      </c>
      <c r="J1053">
        <v>922808281</v>
      </c>
      <c r="L1053" t="s">
        <v>4005</v>
      </c>
      <c r="M1053" t="s">
        <v>47</v>
      </c>
      <c r="N1053" t="s">
        <v>51</v>
      </c>
      <c r="O1053">
        <v>2012</v>
      </c>
      <c r="P1053">
        <v>43210</v>
      </c>
      <c r="Q1053" t="s">
        <v>1069</v>
      </c>
    </row>
    <row r="1054" spans="1:17" x14ac:dyDescent="0.2">
      <c r="A1054">
        <f t="shared" si="16"/>
        <v>1707062</v>
      </c>
      <c r="B1054" t="s">
        <v>3027</v>
      </c>
      <c r="F1054" t="s">
        <v>16</v>
      </c>
      <c r="G1054" t="s">
        <v>225</v>
      </c>
      <c r="H1054" t="s">
        <v>4006</v>
      </c>
      <c r="I1054" t="s">
        <v>243</v>
      </c>
      <c r="J1054">
        <v>983326977</v>
      </c>
      <c r="K1054">
        <v>971835233</v>
      </c>
      <c r="L1054" t="s">
        <v>4007</v>
      </c>
      <c r="M1054" t="s">
        <v>54</v>
      </c>
      <c r="N1054" t="s">
        <v>4008</v>
      </c>
      <c r="O1054">
        <v>2012</v>
      </c>
      <c r="P1054">
        <v>43056</v>
      </c>
      <c r="Q1054" t="s">
        <v>660</v>
      </c>
    </row>
    <row r="1055" spans="1:17" x14ac:dyDescent="0.2">
      <c r="A1055">
        <f t="shared" si="16"/>
        <v>1707063</v>
      </c>
      <c r="B1055" t="s">
        <v>3028</v>
      </c>
      <c r="F1055" t="s">
        <v>16</v>
      </c>
      <c r="G1055" t="s">
        <v>202</v>
      </c>
      <c r="H1055" t="s">
        <v>2006</v>
      </c>
      <c r="J1055">
        <v>944930087</v>
      </c>
      <c r="L1055" t="s">
        <v>4009</v>
      </c>
      <c r="M1055" t="s">
        <v>58</v>
      </c>
      <c r="N1055" t="s">
        <v>414</v>
      </c>
      <c r="O1055">
        <v>2008</v>
      </c>
      <c r="P1055">
        <v>42898</v>
      </c>
      <c r="Q1055" t="s">
        <v>1411</v>
      </c>
    </row>
    <row r="1056" spans="1:17" x14ac:dyDescent="0.2">
      <c r="A1056">
        <f t="shared" si="16"/>
        <v>1707064</v>
      </c>
      <c r="B1056" t="s">
        <v>3029</v>
      </c>
      <c r="F1056" t="s">
        <v>16</v>
      </c>
      <c r="G1056" t="s">
        <v>3155</v>
      </c>
      <c r="H1056" t="s">
        <v>2336</v>
      </c>
      <c r="I1056" t="s">
        <v>286</v>
      </c>
      <c r="J1056">
        <v>892189397</v>
      </c>
      <c r="L1056" t="s">
        <v>2337</v>
      </c>
      <c r="M1056" t="s">
        <v>47</v>
      </c>
      <c r="N1056" t="s">
        <v>106</v>
      </c>
      <c r="O1056">
        <v>2007</v>
      </c>
      <c r="P1056">
        <v>43198</v>
      </c>
      <c r="Q1056" t="s">
        <v>217</v>
      </c>
    </row>
    <row r="1057" spans="1:17" x14ac:dyDescent="0.2">
      <c r="A1057">
        <f t="shared" si="16"/>
        <v>1707065</v>
      </c>
      <c r="B1057" t="s">
        <v>3030</v>
      </c>
      <c r="F1057" t="s">
        <v>16</v>
      </c>
      <c r="G1057" t="s">
        <v>1729</v>
      </c>
      <c r="H1057" t="s">
        <v>4010</v>
      </c>
      <c r="I1057" t="s">
        <v>233</v>
      </c>
      <c r="J1057">
        <v>891099370</v>
      </c>
      <c r="L1057" t="s">
        <v>4011</v>
      </c>
      <c r="M1057" t="s">
        <v>54</v>
      </c>
      <c r="N1057" t="s">
        <v>3281</v>
      </c>
      <c r="O1057">
        <v>1996</v>
      </c>
      <c r="P1057">
        <v>43194</v>
      </c>
      <c r="Q1057" t="s">
        <v>2338</v>
      </c>
    </row>
    <row r="1058" spans="1:17" x14ac:dyDescent="0.2">
      <c r="A1058">
        <f t="shared" si="16"/>
        <v>1707066</v>
      </c>
      <c r="B1058" t="s">
        <v>3031</v>
      </c>
      <c r="F1058" t="s">
        <v>16</v>
      </c>
      <c r="G1058" t="s">
        <v>231</v>
      </c>
      <c r="H1058" t="s">
        <v>4012</v>
      </c>
      <c r="I1058" t="s">
        <v>1192</v>
      </c>
      <c r="J1058">
        <v>813459165</v>
      </c>
      <c r="L1058" t="s">
        <v>4013</v>
      </c>
      <c r="M1058" t="s">
        <v>47</v>
      </c>
      <c r="N1058" t="s">
        <v>106</v>
      </c>
      <c r="O1058">
        <v>2013</v>
      </c>
      <c r="P1058">
        <v>43079</v>
      </c>
      <c r="Q1058" t="s">
        <v>260</v>
      </c>
    </row>
    <row r="1059" spans="1:17" x14ac:dyDescent="0.2">
      <c r="A1059">
        <f t="shared" si="16"/>
        <v>1707067</v>
      </c>
      <c r="B1059" t="s">
        <v>3032</v>
      </c>
      <c r="F1059" t="s">
        <v>16</v>
      </c>
      <c r="G1059" t="s">
        <v>225</v>
      </c>
      <c r="H1059" t="s">
        <v>2339</v>
      </c>
      <c r="I1059" t="s">
        <v>254</v>
      </c>
      <c r="J1059">
        <v>882471882</v>
      </c>
      <c r="L1059" t="s">
        <v>2340</v>
      </c>
      <c r="M1059" t="s">
        <v>109</v>
      </c>
      <c r="N1059" t="s">
        <v>240</v>
      </c>
      <c r="O1059">
        <v>2012</v>
      </c>
      <c r="P1059">
        <v>43007</v>
      </c>
      <c r="Q1059" t="s">
        <v>564</v>
      </c>
    </row>
    <row r="1060" spans="1:17" x14ac:dyDescent="0.2">
      <c r="A1060">
        <f t="shared" si="16"/>
        <v>1707068</v>
      </c>
      <c r="B1060" t="s">
        <v>3033</v>
      </c>
      <c r="F1060" t="s">
        <v>16</v>
      </c>
      <c r="G1060" t="s">
        <v>207</v>
      </c>
      <c r="H1060" t="s">
        <v>4014</v>
      </c>
      <c r="I1060" t="s">
        <v>254</v>
      </c>
      <c r="J1060">
        <v>637817029</v>
      </c>
      <c r="L1060" t="s">
        <v>4015</v>
      </c>
      <c r="M1060" t="s">
        <v>42</v>
      </c>
      <c r="N1060" t="s">
        <v>75</v>
      </c>
      <c r="O1060">
        <v>2012</v>
      </c>
      <c r="P1060">
        <v>43014</v>
      </c>
      <c r="Q1060" t="s">
        <v>382</v>
      </c>
    </row>
    <row r="1061" spans="1:17" x14ac:dyDescent="0.2">
      <c r="A1061">
        <f t="shared" si="16"/>
        <v>1707069</v>
      </c>
      <c r="B1061" t="s">
        <v>3034</v>
      </c>
      <c r="F1061" t="s">
        <v>16</v>
      </c>
      <c r="G1061" t="s">
        <v>337</v>
      </c>
      <c r="H1061" t="s">
        <v>4016</v>
      </c>
      <c r="I1061" t="s">
        <v>286</v>
      </c>
      <c r="J1061">
        <v>819104133</v>
      </c>
      <c r="L1061" t="s">
        <v>4017</v>
      </c>
      <c r="M1061" t="s">
        <v>47</v>
      </c>
      <c r="N1061" t="s">
        <v>51</v>
      </c>
      <c r="O1061">
        <v>2010</v>
      </c>
      <c r="P1061" t="s">
        <v>1120</v>
      </c>
    </row>
    <row r="1062" spans="1:17" x14ac:dyDescent="0.2">
      <c r="A1062">
        <f t="shared" si="16"/>
        <v>1707070</v>
      </c>
      <c r="B1062" t="s">
        <v>3035</v>
      </c>
      <c r="F1062" t="s">
        <v>16</v>
      </c>
      <c r="G1062" t="s">
        <v>207</v>
      </c>
      <c r="H1062" t="s">
        <v>2341</v>
      </c>
      <c r="J1062">
        <v>904281550</v>
      </c>
      <c r="L1062" t="s">
        <v>2342</v>
      </c>
      <c r="M1062" t="s">
        <v>58</v>
      </c>
      <c r="P1062" t="s">
        <v>1120</v>
      </c>
    </row>
    <row r="1063" spans="1:17" x14ac:dyDescent="0.2">
      <c r="A1063">
        <f t="shared" si="16"/>
        <v>1707071</v>
      </c>
      <c r="B1063" t="s">
        <v>3036</v>
      </c>
      <c r="F1063" t="s">
        <v>16</v>
      </c>
      <c r="G1063" t="s">
        <v>196</v>
      </c>
      <c r="H1063" t="s">
        <v>4018</v>
      </c>
      <c r="J1063">
        <v>869913993</v>
      </c>
      <c r="L1063" t="s">
        <v>4019</v>
      </c>
      <c r="M1063" t="s">
        <v>42</v>
      </c>
      <c r="N1063" t="s">
        <v>84</v>
      </c>
      <c r="O1063">
        <v>2009</v>
      </c>
      <c r="P1063">
        <v>43048</v>
      </c>
      <c r="Q1063" t="s">
        <v>251</v>
      </c>
    </row>
    <row r="1064" spans="1:17" x14ac:dyDescent="0.2">
      <c r="A1064">
        <f t="shared" si="16"/>
        <v>1708001</v>
      </c>
      <c r="B1064" t="s">
        <v>3037</v>
      </c>
      <c r="F1064" t="s">
        <v>16</v>
      </c>
      <c r="G1064" t="s">
        <v>207</v>
      </c>
      <c r="H1064" t="s">
        <v>4020</v>
      </c>
      <c r="I1064" t="s">
        <v>457</v>
      </c>
      <c r="J1064">
        <v>823934625</v>
      </c>
      <c r="K1064">
        <v>628526942</v>
      </c>
      <c r="L1064" t="s">
        <v>4021</v>
      </c>
      <c r="M1064" t="s">
        <v>54</v>
      </c>
      <c r="N1064" t="s">
        <v>3281</v>
      </c>
      <c r="O1064">
        <v>2005</v>
      </c>
      <c r="P1064">
        <v>43067</v>
      </c>
      <c r="Q1064" t="s">
        <v>217</v>
      </c>
    </row>
    <row r="1065" spans="1:17" x14ac:dyDescent="0.2">
      <c r="A1065">
        <f t="shared" si="16"/>
        <v>1708002</v>
      </c>
      <c r="B1065" t="s">
        <v>3038</v>
      </c>
      <c r="F1065" t="s">
        <v>16</v>
      </c>
      <c r="G1065" t="s">
        <v>207</v>
      </c>
      <c r="H1065" t="s">
        <v>2346</v>
      </c>
      <c r="I1065" t="s">
        <v>263</v>
      </c>
      <c r="J1065">
        <v>614593962</v>
      </c>
      <c r="L1065" t="s">
        <v>2347</v>
      </c>
      <c r="M1065" t="s">
        <v>47</v>
      </c>
      <c r="N1065" t="s">
        <v>51</v>
      </c>
      <c r="O1065">
        <v>2009</v>
      </c>
      <c r="P1065">
        <v>43035</v>
      </c>
      <c r="Q1065" t="s">
        <v>382</v>
      </c>
    </row>
    <row r="1066" spans="1:17" x14ac:dyDescent="0.2">
      <c r="A1066">
        <f t="shared" si="16"/>
        <v>1708003</v>
      </c>
      <c r="B1066" t="s">
        <v>3039</v>
      </c>
      <c r="F1066" t="s">
        <v>159</v>
      </c>
      <c r="G1066" t="s">
        <v>207</v>
      </c>
      <c r="H1066" t="s">
        <v>4022</v>
      </c>
      <c r="I1066" t="s">
        <v>263</v>
      </c>
      <c r="J1066">
        <v>899823449</v>
      </c>
      <c r="L1066" t="s">
        <v>1620</v>
      </c>
      <c r="M1066" t="s">
        <v>87</v>
      </c>
      <c r="N1066">
        <v>2</v>
      </c>
      <c r="O1066">
        <v>2013</v>
      </c>
      <c r="P1066">
        <v>42843</v>
      </c>
      <c r="Q1066" t="s">
        <v>1069</v>
      </c>
    </row>
    <row r="1067" spans="1:17" x14ac:dyDescent="0.2">
      <c r="A1067">
        <f t="shared" si="16"/>
        <v>1708004</v>
      </c>
      <c r="B1067" t="s">
        <v>3040</v>
      </c>
      <c r="F1067" t="s">
        <v>16</v>
      </c>
      <c r="G1067" t="s">
        <v>1729</v>
      </c>
      <c r="H1067" t="s">
        <v>4023</v>
      </c>
      <c r="I1067" t="s">
        <v>254</v>
      </c>
      <c r="J1067">
        <v>894796046</v>
      </c>
      <c r="L1067" t="s">
        <v>4024</v>
      </c>
      <c r="M1067" t="s">
        <v>42</v>
      </c>
      <c r="N1067" t="s">
        <v>75</v>
      </c>
      <c r="O1067">
        <v>2010</v>
      </c>
      <c r="P1067">
        <v>42975</v>
      </c>
      <c r="Q1067" t="s">
        <v>229</v>
      </c>
    </row>
    <row r="1068" spans="1:17" x14ac:dyDescent="0.2">
      <c r="A1068">
        <f t="shared" si="16"/>
        <v>1708005</v>
      </c>
      <c r="B1068" t="s">
        <v>3041</v>
      </c>
      <c r="F1068" t="s">
        <v>16</v>
      </c>
      <c r="G1068" t="s">
        <v>196</v>
      </c>
      <c r="H1068" t="s">
        <v>4025</v>
      </c>
      <c r="I1068" t="s">
        <v>243</v>
      </c>
      <c r="J1068">
        <v>990125792</v>
      </c>
      <c r="L1068" t="s">
        <v>4026</v>
      </c>
      <c r="M1068" t="s">
        <v>54</v>
      </c>
      <c r="N1068" t="s">
        <v>72</v>
      </c>
      <c r="O1068">
        <v>2014</v>
      </c>
      <c r="P1068">
        <v>43335</v>
      </c>
      <c r="Q1068" t="s">
        <v>540</v>
      </c>
    </row>
    <row r="1069" spans="1:17" x14ac:dyDescent="0.2">
      <c r="A1069">
        <f t="shared" si="16"/>
        <v>1708006</v>
      </c>
      <c r="B1069" t="s">
        <v>3042</v>
      </c>
      <c r="F1069" t="s">
        <v>16</v>
      </c>
      <c r="G1069" t="s">
        <v>207</v>
      </c>
      <c r="H1069" t="s">
        <v>4027</v>
      </c>
      <c r="I1069" t="s">
        <v>286</v>
      </c>
      <c r="J1069">
        <v>925476334</v>
      </c>
      <c r="L1069" t="s">
        <v>4028</v>
      </c>
      <c r="M1069" t="s">
        <v>109</v>
      </c>
      <c r="N1069" t="s">
        <v>240</v>
      </c>
      <c r="O1069">
        <v>2013</v>
      </c>
      <c r="P1069">
        <v>43196</v>
      </c>
      <c r="Q1069" t="s">
        <v>909</v>
      </c>
    </row>
    <row r="1070" spans="1:17" x14ac:dyDescent="0.2">
      <c r="A1070">
        <f t="shared" si="16"/>
        <v>1708007</v>
      </c>
      <c r="B1070" t="s">
        <v>3043</v>
      </c>
      <c r="F1070" t="s">
        <v>16</v>
      </c>
      <c r="G1070" t="s">
        <v>1729</v>
      </c>
      <c r="H1070" t="s">
        <v>4029</v>
      </c>
      <c r="I1070" t="s">
        <v>254</v>
      </c>
      <c r="J1070">
        <v>993964410</v>
      </c>
      <c r="L1070" t="s">
        <v>4030</v>
      </c>
      <c r="M1070" t="s">
        <v>58</v>
      </c>
      <c r="N1070" t="s">
        <v>414</v>
      </c>
      <c r="O1070">
        <v>2014</v>
      </c>
      <c r="P1070">
        <v>43250</v>
      </c>
      <c r="Q1070" t="s">
        <v>1069</v>
      </c>
    </row>
    <row r="1071" spans="1:17" x14ac:dyDescent="0.2">
      <c r="A1071">
        <f t="shared" si="16"/>
        <v>1708008</v>
      </c>
      <c r="B1071" t="s">
        <v>3044</v>
      </c>
      <c r="F1071" t="s">
        <v>16</v>
      </c>
      <c r="G1071" t="s">
        <v>303</v>
      </c>
      <c r="H1071" t="s">
        <v>2355</v>
      </c>
      <c r="I1071" t="s">
        <v>625</v>
      </c>
      <c r="J1071">
        <v>624459175</v>
      </c>
      <c r="L1071" t="s">
        <v>2356</v>
      </c>
      <c r="M1071" t="s">
        <v>54</v>
      </c>
      <c r="N1071" t="s">
        <v>72</v>
      </c>
      <c r="O1071">
        <v>2012</v>
      </c>
      <c r="P1071">
        <v>42811</v>
      </c>
      <c r="Q1071" t="s">
        <v>256</v>
      </c>
    </row>
    <row r="1072" spans="1:17" x14ac:dyDescent="0.2">
      <c r="A1072">
        <f t="shared" si="16"/>
        <v>1708009</v>
      </c>
      <c r="B1072" t="s">
        <v>3045</v>
      </c>
      <c r="F1072" t="s">
        <v>16</v>
      </c>
      <c r="G1072" t="s">
        <v>337</v>
      </c>
      <c r="H1072" t="s">
        <v>4031</v>
      </c>
      <c r="I1072" t="s">
        <v>1192</v>
      </c>
      <c r="J1072">
        <v>996544244</v>
      </c>
      <c r="K1072">
        <v>813772882</v>
      </c>
      <c r="L1072" t="s">
        <v>4032</v>
      </c>
      <c r="M1072" t="s">
        <v>47</v>
      </c>
      <c r="N1072" t="s">
        <v>51</v>
      </c>
      <c r="O1072">
        <v>2007</v>
      </c>
      <c r="P1072">
        <v>43018</v>
      </c>
      <c r="Q1072" t="s">
        <v>660</v>
      </c>
    </row>
    <row r="1073" spans="1:17" x14ac:dyDescent="0.2">
      <c r="A1073">
        <f t="shared" si="16"/>
        <v>1708010</v>
      </c>
      <c r="B1073" t="s">
        <v>3046</v>
      </c>
      <c r="F1073" t="s">
        <v>16</v>
      </c>
      <c r="G1073" t="s">
        <v>207</v>
      </c>
      <c r="H1073" t="s">
        <v>4033</v>
      </c>
      <c r="I1073" t="s">
        <v>1028</v>
      </c>
      <c r="J1073">
        <v>934423377</v>
      </c>
      <c r="L1073" t="s">
        <v>4342</v>
      </c>
      <c r="M1073" t="s">
        <v>42</v>
      </c>
      <c r="N1073" t="s">
        <v>43</v>
      </c>
      <c r="O1073">
        <v>2012</v>
      </c>
      <c r="P1073">
        <v>43243</v>
      </c>
      <c r="Q1073" t="s">
        <v>774</v>
      </c>
    </row>
    <row r="1074" spans="1:17" x14ac:dyDescent="0.2">
      <c r="A1074">
        <f t="shared" si="16"/>
        <v>1708011</v>
      </c>
      <c r="B1074" t="s">
        <v>3047</v>
      </c>
      <c r="F1074" t="s">
        <v>16</v>
      </c>
      <c r="G1074" t="s">
        <v>207</v>
      </c>
      <c r="H1074" t="s">
        <v>4034</v>
      </c>
      <c r="I1074" t="s">
        <v>305</v>
      </c>
      <c r="J1074">
        <v>859191729</v>
      </c>
      <c r="L1074" t="s">
        <v>4035</v>
      </c>
      <c r="M1074" t="s">
        <v>47</v>
      </c>
      <c r="N1074" t="s">
        <v>51</v>
      </c>
      <c r="O1074">
        <v>2012</v>
      </c>
      <c r="P1074">
        <v>43186</v>
      </c>
      <c r="Q1074" t="s">
        <v>350</v>
      </c>
    </row>
    <row r="1075" spans="1:17" x14ac:dyDescent="0.2">
      <c r="A1075">
        <f t="shared" si="16"/>
        <v>1708012</v>
      </c>
      <c r="B1075" t="s">
        <v>3048</v>
      </c>
      <c r="F1075" t="s">
        <v>16</v>
      </c>
      <c r="G1075" t="s">
        <v>202</v>
      </c>
      <c r="H1075" t="s">
        <v>4036</v>
      </c>
      <c r="J1075">
        <v>929597695</v>
      </c>
      <c r="K1075">
        <v>906656512</v>
      </c>
      <c r="L1075" t="s">
        <v>4037</v>
      </c>
      <c r="M1075" t="s">
        <v>47</v>
      </c>
      <c r="N1075" t="s">
        <v>106</v>
      </c>
      <c r="O1075">
        <v>2013</v>
      </c>
      <c r="P1075">
        <v>43086</v>
      </c>
      <c r="Q1075" t="s">
        <v>1013</v>
      </c>
    </row>
    <row r="1076" spans="1:17" x14ac:dyDescent="0.2">
      <c r="A1076">
        <f t="shared" si="16"/>
        <v>1708013</v>
      </c>
      <c r="B1076" t="s">
        <v>3049</v>
      </c>
      <c r="F1076" t="s">
        <v>16</v>
      </c>
      <c r="G1076" t="s">
        <v>207</v>
      </c>
      <c r="H1076" t="s">
        <v>4038</v>
      </c>
      <c r="I1076" t="s">
        <v>243</v>
      </c>
      <c r="J1076">
        <v>858000334</v>
      </c>
      <c r="L1076" t="s">
        <v>4039</v>
      </c>
      <c r="M1076" t="s">
        <v>47</v>
      </c>
      <c r="N1076" t="s">
        <v>106</v>
      </c>
      <c r="O1076">
        <v>2013</v>
      </c>
      <c r="P1076">
        <v>42907</v>
      </c>
      <c r="Q1076" t="s">
        <v>260</v>
      </c>
    </row>
    <row r="1077" spans="1:17" x14ac:dyDescent="0.2">
      <c r="A1077">
        <f t="shared" si="16"/>
        <v>1708014</v>
      </c>
      <c r="B1077" t="s">
        <v>3050</v>
      </c>
      <c r="F1077" t="s">
        <v>16</v>
      </c>
      <c r="G1077" t="s">
        <v>202</v>
      </c>
      <c r="H1077" t="s">
        <v>2391</v>
      </c>
      <c r="I1077" t="s">
        <v>254</v>
      </c>
      <c r="J1077">
        <v>817153348</v>
      </c>
      <c r="L1077" t="s">
        <v>2392</v>
      </c>
      <c r="M1077" t="s">
        <v>42</v>
      </c>
      <c r="N1077" t="s">
        <v>84</v>
      </c>
      <c r="O1077">
        <v>2013</v>
      </c>
      <c r="P1077">
        <v>42956</v>
      </c>
      <c r="Q1077" t="s">
        <v>779</v>
      </c>
    </row>
    <row r="1078" spans="1:17" x14ac:dyDescent="0.2">
      <c r="A1078">
        <f t="shared" si="16"/>
        <v>1708015</v>
      </c>
      <c r="B1078" t="s">
        <v>3051</v>
      </c>
      <c r="F1078" t="s">
        <v>16</v>
      </c>
      <c r="G1078" t="s">
        <v>337</v>
      </c>
      <c r="H1078" t="s">
        <v>4040</v>
      </c>
      <c r="I1078" t="s">
        <v>305</v>
      </c>
      <c r="J1078">
        <v>970925456</v>
      </c>
      <c r="L1078" t="s">
        <v>4041</v>
      </c>
      <c r="M1078" t="s">
        <v>93</v>
      </c>
      <c r="N1078" t="s">
        <v>94</v>
      </c>
      <c r="O1078">
        <v>2012</v>
      </c>
      <c r="P1078">
        <v>43055</v>
      </c>
      <c r="Q1078" t="s">
        <v>256</v>
      </c>
    </row>
    <row r="1079" spans="1:17" x14ac:dyDescent="0.2">
      <c r="A1079">
        <f t="shared" si="16"/>
        <v>1708016</v>
      </c>
      <c r="B1079" t="s">
        <v>3052</v>
      </c>
      <c r="F1079" t="s">
        <v>16</v>
      </c>
      <c r="G1079" t="s">
        <v>207</v>
      </c>
      <c r="H1079" t="s">
        <v>4042</v>
      </c>
      <c r="I1079" t="s">
        <v>254</v>
      </c>
      <c r="J1079">
        <v>994365454</v>
      </c>
      <c r="K1079">
        <v>958500104</v>
      </c>
      <c r="L1079" t="s">
        <v>4043</v>
      </c>
      <c r="M1079" t="s">
        <v>126</v>
      </c>
      <c r="N1079" t="s">
        <v>297</v>
      </c>
      <c r="O1079">
        <v>2013</v>
      </c>
      <c r="P1079" t="s">
        <v>1120</v>
      </c>
    </row>
    <row r="1080" spans="1:17" x14ac:dyDescent="0.2">
      <c r="A1080">
        <f t="shared" si="16"/>
        <v>1708017</v>
      </c>
      <c r="B1080" t="s">
        <v>3053</v>
      </c>
      <c r="F1080" t="s">
        <v>16</v>
      </c>
      <c r="G1080" t="s">
        <v>207</v>
      </c>
      <c r="H1080" t="s">
        <v>4044</v>
      </c>
      <c r="I1080" t="s">
        <v>286</v>
      </c>
      <c r="J1080">
        <v>847307951</v>
      </c>
      <c r="L1080" t="s">
        <v>4045</v>
      </c>
      <c r="M1080" t="s">
        <v>58</v>
      </c>
      <c r="N1080" t="s">
        <v>717</v>
      </c>
      <c r="O1080">
        <v>2016</v>
      </c>
      <c r="P1080">
        <v>43072</v>
      </c>
      <c r="Q1080" t="s">
        <v>1758</v>
      </c>
    </row>
    <row r="1081" spans="1:17" x14ac:dyDescent="0.2">
      <c r="A1081">
        <f t="shared" si="16"/>
        <v>1708018</v>
      </c>
      <c r="B1081" t="s">
        <v>3054</v>
      </c>
      <c r="F1081" t="s">
        <v>16</v>
      </c>
      <c r="G1081" t="s">
        <v>220</v>
      </c>
      <c r="H1081" t="s">
        <v>4046</v>
      </c>
      <c r="I1081" t="s">
        <v>492</v>
      </c>
      <c r="J1081">
        <v>876668224</v>
      </c>
      <c r="L1081" t="s">
        <v>4047</v>
      </c>
      <c r="M1081" t="s">
        <v>93</v>
      </c>
      <c r="N1081" t="s">
        <v>161</v>
      </c>
      <c r="O1081">
        <v>2011</v>
      </c>
      <c r="P1081" t="s">
        <v>1120</v>
      </c>
    </row>
    <row r="1082" spans="1:17" x14ac:dyDescent="0.2">
      <c r="A1082">
        <f t="shared" si="16"/>
        <v>1708019</v>
      </c>
      <c r="B1082" t="s">
        <v>3055</v>
      </c>
      <c r="F1082" t="s">
        <v>16</v>
      </c>
      <c r="G1082" t="s">
        <v>207</v>
      </c>
      <c r="H1082" t="s">
        <v>2393</v>
      </c>
      <c r="I1082" t="s">
        <v>263</v>
      </c>
      <c r="J1082">
        <v>982897434</v>
      </c>
      <c r="L1082" t="s">
        <v>2394</v>
      </c>
      <c r="M1082" t="s">
        <v>109</v>
      </c>
      <c r="N1082" t="s">
        <v>523</v>
      </c>
      <c r="O1082">
        <v>2012</v>
      </c>
      <c r="P1082">
        <v>42993</v>
      </c>
      <c r="Q1082" t="s">
        <v>389</v>
      </c>
    </row>
    <row r="1083" spans="1:17" x14ac:dyDescent="0.2">
      <c r="A1083">
        <f t="shared" si="16"/>
        <v>1708020</v>
      </c>
      <c r="B1083" t="s">
        <v>3056</v>
      </c>
      <c r="F1083" t="s">
        <v>16</v>
      </c>
      <c r="G1083" t="s">
        <v>207</v>
      </c>
      <c r="H1083" t="s">
        <v>4048</v>
      </c>
      <c r="I1083" t="s">
        <v>506</v>
      </c>
      <c r="J1083">
        <v>900176424</v>
      </c>
      <c r="L1083" t="s">
        <v>4049</v>
      </c>
      <c r="M1083" t="s">
        <v>47</v>
      </c>
      <c r="N1083" t="s">
        <v>121</v>
      </c>
      <c r="O1083">
        <v>2009</v>
      </c>
      <c r="P1083">
        <v>42958</v>
      </c>
      <c r="Q1083" t="s">
        <v>1128</v>
      </c>
    </row>
    <row r="1084" spans="1:17" x14ac:dyDescent="0.2">
      <c r="A1084">
        <f t="shared" si="16"/>
        <v>1708021</v>
      </c>
      <c r="B1084" t="s">
        <v>3057</v>
      </c>
      <c r="F1084" t="s">
        <v>16</v>
      </c>
      <c r="G1084" t="s">
        <v>207</v>
      </c>
      <c r="H1084" t="s">
        <v>4050</v>
      </c>
      <c r="J1084">
        <v>822918199</v>
      </c>
      <c r="L1084" t="s">
        <v>4051</v>
      </c>
      <c r="M1084" t="s">
        <v>42</v>
      </c>
      <c r="N1084" t="s">
        <v>884</v>
      </c>
      <c r="O1084">
        <v>2008</v>
      </c>
      <c r="P1084" t="s">
        <v>1120</v>
      </c>
    </row>
    <row r="1085" spans="1:17" x14ac:dyDescent="0.2">
      <c r="A1085">
        <f t="shared" si="16"/>
        <v>1708022</v>
      </c>
      <c r="B1085" t="s">
        <v>3058</v>
      </c>
      <c r="F1085" t="s">
        <v>16</v>
      </c>
      <c r="G1085" t="s">
        <v>3155</v>
      </c>
      <c r="H1085" t="s">
        <v>4052</v>
      </c>
      <c r="I1085" t="s">
        <v>492</v>
      </c>
      <c r="J1085">
        <v>865571218</v>
      </c>
      <c r="L1085" t="s">
        <v>4053</v>
      </c>
      <c r="M1085" t="s">
        <v>47</v>
      </c>
      <c r="N1085" t="s">
        <v>121</v>
      </c>
      <c r="O1085">
        <v>2009</v>
      </c>
      <c r="P1085" t="s">
        <v>4054</v>
      </c>
      <c r="Q1085">
        <v>0</v>
      </c>
    </row>
    <row r="1086" spans="1:17" x14ac:dyDescent="0.2">
      <c r="A1086">
        <f t="shared" si="16"/>
        <v>1708023</v>
      </c>
      <c r="B1086" t="s">
        <v>3059</v>
      </c>
      <c r="F1086" t="s">
        <v>16</v>
      </c>
      <c r="G1086" t="s">
        <v>196</v>
      </c>
      <c r="H1086" t="s">
        <v>4055</v>
      </c>
      <c r="I1086" t="s">
        <v>452</v>
      </c>
      <c r="J1086">
        <v>988303338</v>
      </c>
      <c r="L1086" t="s">
        <v>4056</v>
      </c>
      <c r="M1086" t="s">
        <v>42</v>
      </c>
      <c r="N1086" t="s">
        <v>84</v>
      </c>
      <c r="O1086">
        <v>2007</v>
      </c>
      <c r="P1086">
        <v>43127</v>
      </c>
      <c r="Q1086" t="s">
        <v>251</v>
      </c>
    </row>
    <row r="1087" spans="1:17" x14ac:dyDescent="0.2">
      <c r="A1087">
        <f t="shared" si="16"/>
        <v>1708024</v>
      </c>
      <c r="B1087" t="s">
        <v>3060</v>
      </c>
      <c r="F1087" t="s">
        <v>16</v>
      </c>
      <c r="G1087" t="s">
        <v>225</v>
      </c>
      <c r="H1087" t="s">
        <v>4057</v>
      </c>
      <c r="I1087" t="s">
        <v>625</v>
      </c>
      <c r="J1087">
        <v>819209366</v>
      </c>
      <c r="L1087" t="s">
        <v>4058</v>
      </c>
      <c r="M1087" t="s">
        <v>58</v>
      </c>
      <c r="N1087" t="s">
        <v>1154</v>
      </c>
      <c r="O1087">
        <v>2012</v>
      </c>
      <c r="P1087">
        <v>43035</v>
      </c>
      <c r="Q1087" t="s">
        <v>454</v>
      </c>
    </row>
    <row r="1088" spans="1:17" x14ac:dyDescent="0.2">
      <c r="A1088">
        <f t="shared" si="16"/>
        <v>1708025</v>
      </c>
      <c r="B1088" t="s">
        <v>3061</v>
      </c>
      <c r="F1088" t="s">
        <v>16</v>
      </c>
      <c r="G1088" t="s">
        <v>225</v>
      </c>
      <c r="H1088" t="s">
        <v>791</v>
      </c>
      <c r="J1088">
        <v>922567041</v>
      </c>
      <c r="L1088" t="s">
        <v>793</v>
      </c>
      <c r="M1088" t="s">
        <v>42</v>
      </c>
      <c r="N1088" t="s">
        <v>43</v>
      </c>
      <c r="O1088">
        <v>2004</v>
      </c>
      <c r="P1088">
        <v>43184</v>
      </c>
      <c r="Q1088" t="s">
        <v>229</v>
      </c>
    </row>
    <row r="1089" spans="1:17" x14ac:dyDescent="0.2">
      <c r="A1089">
        <f t="shared" si="16"/>
        <v>1708026</v>
      </c>
      <c r="B1089" t="s">
        <v>3062</v>
      </c>
      <c r="F1089" t="s">
        <v>16</v>
      </c>
      <c r="G1089" t="s">
        <v>337</v>
      </c>
      <c r="H1089" t="s">
        <v>4059</v>
      </c>
      <c r="I1089" t="s">
        <v>492</v>
      </c>
      <c r="J1089">
        <v>958719984</v>
      </c>
      <c r="L1089" t="s">
        <v>4060</v>
      </c>
      <c r="M1089" t="s">
        <v>54</v>
      </c>
      <c r="N1089" t="s">
        <v>134</v>
      </c>
      <c r="O1089">
        <v>2013</v>
      </c>
      <c r="P1089">
        <v>43150</v>
      </c>
      <c r="Q1089" t="s">
        <v>292</v>
      </c>
    </row>
    <row r="1090" spans="1:17" x14ac:dyDescent="0.2">
      <c r="A1090">
        <f t="shared" si="16"/>
        <v>1708027</v>
      </c>
      <c r="B1090" t="s">
        <v>3063</v>
      </c>
      <c r="F1090" t="s">
        <v>16</v>
      </c>
      <c r="G1090" t="s">
        <v>303</v>
      </c>
      <c r="H1090" t="s">
        <v>4061</v>
      </c>
      <c r="I1090" t="s">
        <v>254</v>
      </c>
      <c r="J1090">
        <v>942034772</v>
      </c>
      <c r="L1090" t="s">
        <v>4062</v>
      </c>
      <c r="M1090" t="s">
        <v>126</v>
      </c>
      <c r="N1090" t="s">
        <v>3321</v>
      </c>
      <c r="O1090">
        <v>2996</v>
      </c>
      <c r="P1090">
        <v>43100</v>
      </c>
      <c r="Q1090" t="s">
        <v>2395</v>
      </c>
    </row>
    <row r="1091" spans="1:17" x14ac:dyDescent="0.2">
      <c r="A1091">
        <f t="shared" si="16"/>
        <v>1708028</v>
      </c>
      <c r="B1091" t="s">
        <v>3064</v>
      </c>
      <c r="F1091" t="s">
        <v>16</v>
      </c>
      <c r="G1091" t="s">
        <v>202</v>
      </c>
      <c r="H1091" t="s">
        <v>4063</v>
      </c>
      <c r="J1091">
        <v>863331267</v>
      </c>
      <c r="K1091">
        <v>863433983</v>
      </c>
      <c r="L1091" t="s">
        <v>1463</v>
      </c>
      <c r="M1091" t="s">
        <v>87</v>
      </c>
      <c r="N1091">
        <v>3</v>
      </c>
      <c r="O1091">
        <v>2014</v>
      </c>
      <c r="P1091">
        <v>42975</v>
      </c>
      <c r="Q1091" t="s">
        <v>779</v>
      </c>
    </row>
    <row r="1092" spans="1:17" x14ac:dyDescent="0.2">
      <c r="A1092">
        <f t="shared" ref="A1092:A1155" si="17">VALUE(B1092)</f>
        <v>1708029</v>
      </c>
      <c r="B1092" t="s">
        <v>3065</v>
      </c>
      <c r="F1092" t="s">
        <v>16</v>
      </c>
      <c r="G1092" t="s">
        <v>202</v>
      </c>
      <c r="H1092" t="s">
        <v>4064</v>
      </c>
      <c r="I1092" t="s">
        <v>254</v>
      </c>
      <c r="J1092">
        <v>894864541</v>
      </c>
      <c r="K1092">
        <v>819865602</v>
      </c>
      <c r="L1092" t="s">
        <v>4065</v>
      </c>
      <c r="M1092" t="s">
        <v>42</v>
      </c>
      <c r="N1092" t="s">
        <v>778</v>
      </c>
      <c r="O1092">
        <v>2012</v>
      </c>
      <c r="P1092">
        <v>43064</v>
      </c>
      <c r="Q1092" t="s">
        <v>489</v>
      </c>
    </row>
    <row r="1093" spans="1:17" x14ac:dyDescent="0.2">
      <c r="A1093">
        <f t="shared" si="17"/>
        <v>1708030</v>
      </c>
      <c r="B1093" t="s">
        <v>3066</v>
      </c>
      <c r="F1093" t="s">
        <v>16</v>
      </c>
      <c r="G1093" t="s">
        <v>303</v>
      </c>
      <c r="H1093" t="s">
        <v>4066</v>
      </c>
      <c r="I1093" t="s">
        <v>263</v>
      </c>
      <c r="J1093">
        <v>802377888</v>
      </c>
      <c r="L1093" t="s">
        <v>4067</v>
      </c>
      <c r="M1093" t="s">
        <v>47</v>
      </c>
      <c r="N1093" t="s">
        <v>106</v>
      </c>
      <c r="O1093">
        <v>2008</v>
      </c>
      <c r="P1093" t="s">
        <v>1120</v>
      </c>
    </row>
    <row r="1094" spans="1:17" x14ac:dyDescent="0.2">
      <c r="A1094">
        <f t="shared" si="17"/>
        <v>1708031</v>
      </c>
      <c r="B1094" t="s">
        <v>3067</v>
      </c>
      <c r="F1094" t="s">
        <v>16</v>
      </c>
      <c r="G1094" t="s">
        <v>1729</v>
      </c>
      <c r="H1094" t="s">
        <v>4068</v>
      </c>
      <c r="J1094">
        <v>923848604</v>
      </c>
      <c r="L1094" t="s">
        <v>4069</v>
      </c>
      <c r="M1094" t="s">
        <v>42</v>
      </c>
      <c r="N1094" t="s">
        <v>884</v>
      </c>
      <c r="O1094">
        <v>2004</v>
      </c>
      <c r="P1094" t="s">
        <v>217</v>
      </c>
    </row>
    <row r="1095" spans="1:17" x14ac:dyDescent="0.2">
      <c r="A1095">
        <f t="shared" si="17"/>
        <v>1708032</v>
      </c>
      <c r="B1095" t="s">
        <v>3068</v>
      </c>
      <c r="F1095" t="s">
        <v>16</v>
      </c>
      <c r="G1095" t="s">
        <v>202</v>
      </c>
      <c r="H1095" t="s">
        <v>4070</v>
      </c>
      <c r="I1095" t="s">
        <v>243</v>
      </c>
      <c r="J1095">
        <v>874317958</v>
      </c>
      <c r="L1095" t="s">
        <v>4071</v>
      </c>
      <c r="M1095" t="s">
        <v>47</v>
      </c>
      <c r="N1095" t="s">
        <v>106</v>
      </c>
      <c r="O1095">
        <v>2006</v>
      </c>
      <c r="P1095">
        <v>43297</v>
      </c>
      <c r="Q1095" t="s">
        <v>531</v>
      </c>
    </row>
    <row r="1096" spans="1:17" x14ac:dyDescent="0.2">
      <c r="A1096">
        <f t="shared" si="17"/>
        <v>1708033</v>
      </c>
      <c r="B1096" t="s">
        <v>3069</v>
      </c>
      <c r="F1096" t="s">
        <v>16</v>
      </c>
      <c r="G1096" t="s">
        <v>207</v>
      </c>
      <c r="H1096" t="s">
        <v>2396</v>
      </c>
      <c r="I1096" t="s">
        <v>233</v>
      </c>
      <c r="J1096">
        <v>853435531</v>
      </c>
      <c r="L1096" t="s">
        <v>2397</v>
      </c>
      <c r="M1096" t="s">
        <v>47</v>
      </c>
      <c r="N1096" t="s">
        <v>51</v>
      </c>
      <c r="O1096">
        <v>2015</v>
      </c>
      <c r="P1096">
        <v>42974</v>
      </c>
      <c r="Q1096" t="s">
        <v>564</v>
      </c>
    </row>
    <row r="1097" spans="1:17" x14ac:dyDescent="0.2">
      <c r="A1097">
        <f t="shared" si="17"/>
        <v>1708034</v>
      </c>
      <c r="B1097" t="s">
        <v>3070</v>
      </c>
      <c r="F1097" t="s">
        <v>16</v>
      </c>
      <c r="G1097" t="s">
        <v>207</v>
      </c>
      <c r="H1097" t="s">
        <v>4072</v>
      </c>
      <c r="I1097" t="s">
        <v>254</v>
      </c>
      <c r="J1097">
        <v>890619660</v>
      </c>
      <c r="L1097" t="s">
        <v>4073</v>
      </c>
      <c r="M1097" t="s">
        <v>47</v>
      </c>
      <c r="N1097" t="s">
        <v>106</v>
      </c>
      <c r="O1097">
        <v>2012</v>
      </c>
      <c r="P1097">
        <v>43285</v>
      </c>
      <c r="Q1097" t="s">
        <v>540</v>
      </c>
    </row>
    <row r="1098" spans="1:17" x14ac:dyDescent="0.2">
      <c r="A1098">
        <f t="shared" si="17"/>
        <v>1708035</v>
      </c>
      <c r="B1098" t="s">
        <v>3071</v>
      </c>
      <c r="F1098" t="s">
        <v>16</v>
      </c>
      <c r="G1098" t="s">
        <v>337</v>
      </c>
      <c r="H1098" t="s">
        <v>4074</v>
      </c>
      <c r="I1098" t="s">
        <v>286</v>
      </c>
      <c r="J1098">
        <v>906025864</v>
      </c>
      <c r="L1098" t="s">
        <v>4075</v>
      </c>
      <c r="M1098" t="s">
        <v>42</v>
      </c>
      <c r="N1098" t="s">
        <v>884</v>
      </c>
      <c r="O1098">
        <v>2008</v>
      </c>
      <c r="P1098">
        <v>42967</v>
      </c>
      <c r="Q1098" t="s">
        <v>1741</v>
      </c>
    </row>
    <row r="1099" spans="1:17" x14ac:dyDescent="0.2">
      <c r="A1099">
        <f t="shared" si="17"/>
        <v>1708036</v>
      </c>
      <c r="B1099" t="s">
        <v>3072</v>
      </c>
      <c r="F1099" t="s">
        <v>16</v>
      </c>
      <c r="G1099" t="s">
        <v>337</v>
      </c>
      <c r="H1099" t="s">
        <v>4076</v>
      </c>
      <c r="I1099" t="s">
        <v>305</v>
      </c>
      <c r="J1099">
        <v>909911380</v>
      </c>
      <c r="L1099" t="s">
        <v>4077</v>
      </c>
      <c r="M1099" t="s">
        <v>87</v>
      </c>
      <c r="N1099">
        <v>2</v>
      </c>
      <c r="P1099" t="s">
        <v>1120</v>
      </c>
    </row>
    <row r="1100" spans="1:17" x14ac:dyDescent="0.2">
      <c r="A1100">
        <f t="shared" si="17"/>
        <v>1708037</v>
      </c>
      <c r="B1100" t="s">
        <v>3073</v>
      </c>
      <c r="F1100" t="s">
        <v>219</v>
      </c>
      <c r="G1100" t="s">
        <v>584</v>
      </c>
      <c r="H1100" t="s">
        <v>4078</v>
      </c>
      <c r="I1100" t="s">
        <v>267</v>
      </c>
      <c r="J1100">
        <v>934257927</v>
      </c>
      <c r="L1100" t="s">
        <v>4079</v>
      </c>
      <c r="M1100" t="s">
        <v>47</v>
      </c>
      <c r="N1100" t="s">
        <v>78</v>
      </c>
      <c r="O1100">
        <v>2014</v>
      </c>
      <c r="P1100">
        <v>43297</v>
      </c>
      <c r="Q1100" t="s">
        <v>2398</v>
      </c>
    </row>
    <row r="1101" spans="1:17" x14ac:dyDescent="0.2">
      <c r="A1101">
        <f t="shared" si="17"/>
        <v>1708038</v>
      </c>
      <c r="B1101" t="s">
        <v>3074</v>
      </c>
      <c r="F1101" t="s">
        <v>16</v>
      </c>
      <c r="G1101" t="s">
        <v>337</v>
      </c>
      <c r="H1101" t="s">
        <v>4080</v>
      </c>
      <c r="I1101" t="s">
        <v>254</v>
      </c>
      <c r="J1101">
        <v>818901398</v>
      </c>
      <c r="L1101" t="s">
        <v>4081</v>
      </c>
      <c r="M1101" t="s">
        <v>282</v>
      </c>
      <c r="N1101" t="s">
        <v>283</v>
      </c>
      <c r="O1101">
        <v>2012</v>
      </c>
      <c r="P1101">
        <v>42977</v>
      </c>
      <c r="Q1101" t="s">
        <v>477</v>
      </c>
    </row>
    <row r="1102" spans="1:17" x14ac:dyDescent="0.2">
      <c r="A1102">
        <f t="shared" si="17"/>
        <v>1708039</v>
      </c>
      <c r="B1102" t="s">
        <v>3075</v>
      </c>
      <c r="F1102" t="s">
        <v>16</v>
      </c>
      <c r="G1102" t="s">
        <v>207</v>
      </c>
      <c r="H1102" t="s">
        <v>4082</v>
      </c>
      <c r="I1102" t="s">
        <v>243</v>
      </c>
      <c r="J1102">
        <v>892157361</v>
      </c>
      <c r="K1102">
        <v>896820840</v>
      </c>
      <c r="L1102" t="s">
        <v>4083</v>
      </c>
      <c r="M1102" t="s">
        <v>58</v>
      </c>
      <c r="N1102" t="s">
        <v>717</v>
      </c>
      <c r="O1102">
        <v>2012</v>
      </c>
      <c r="P1102">
        <v>42874</v>
      </c>
      <c r="Q1102" t="s">
        <v>1411</v>
      </c>
    </row>
    <row r="1103" spans="1:17" x14ac:dyDescent="0.2">
      <c r="A1103">
        <f t="shared" si="17"/>
        <v>1708040</v>
      </c>
      <c r="B1103" t="s">
        <v>3076</v>
      </c>
      <c r="F1103" t="s">
        <v>16</v>
      </c>
      <c r="G1103" t="s">
        <v>202</v>
      </c>
      <c r="H1103" t="s">
        <v>4084</v>
      </c>
      <c r="I1103" t="s">
        <v>243</v>
      </c>
      <c r="J1103">
        <v>846006828</v>
      </c>
      <c r="L1103" t="s">
        <v>4085</v>
      </c>
      <c r="M1103" t="s">
        <v>42</v>
      </c>
      <c r="N1103" t="s">
        <v>75</v>
      </c>
      <c r="O1103">
        <v>2010</v>
      </c>
      <c r="P1103">
        <v>43118</v>
      </c>
      <c r="Q1103" t="s">
        <v>256</v>
      </c>
    </row>
    <row r="1104" spans="1:17" x14ac:dyDescent="0.2">
      <c r="A1104">
        <f t="shared" si="17"/>
        <v>1708041</v>
      </c>
      <c r="B1104" t="s">
        <v>3077</v>
      </c>
      <c r="F1104" t="s">
        <v>16</v>
      </c>
      <c r="G1104" t="s">
        <v>337</v>
      </c>
      <c r="H1104" t="s">
        <v>4086</v>
      </c>
      <c r="I1104" t="s">
        <v>243</v>
      </c>
      <c r="J1104">
        <v>843555244</v>
      </c>
      <c r="L1104" t="s">
        <v>4087</v>
      </c>
      <c r="M1104" t="s">
        <v>47</v>
      </c>
      <c r="N1104" t="s">
        <v>106</v>
      </c>
      <c r="O1104">
        <v>2012</v>
      </c>
      <c r="P1104" t="s">
        <v>1120</v>
      </c>
    </row>
    <row r="1105" spans="1:17" x14ac:dyDescent="0.2">
      <c r="A1105">
        <f t="shared" si="17"/>
        <v>1708042</v>
      </c>
      <c r="B1105" t="s">
        <v>3078</v>
      </c>
      <c r="F1105" t="s">
        <v>16</v>
      </c>
      <c r="G1105" t="s">
        <v>202</v>
      </c>
      <c r="H1105" t="s">
        <v>4088</v>
      </c>
      <c r="I1105" t="s">
        <v>2131</v>
      </c>
      <c r="J1105">
        <v>631488789</v>
      </c>
      <c r="L1105" t="s">
        <v>4089</v>
      </c>
      <c r="M1105" t="s">
        <v>47</v>
      </c>
      <c r="N1105" t="s">
        <v>106</v>
      </c>
      <c r="O1105">
        <v>2012</v>
      </c>
      <c r="P1105" t="s">
        <v>1120</v>
      </c>
    </row>
    <row r="1106" spans="1:17" x14ac:dyDescent="0.2">
      <c r="A1106">
        <f t="shared" si="17"/>
        <v>1708043</v>
      </c>
      <c r="B1106" t="s">
        <v>3079</v>
      </c>
      <c r="F1106" t="s">
        <v>16</v>
      </c>
      <c r="G1106" t="s">
        <v>196</v>
      </c>
      <c r="H1106" t="s">
        <v>4090</v>
      </c>
      <c r="I1106" t="s">
        <v>243</v>
      </c>
      <c r="J1106">
        <v>958176089</v>
      </c>
      <c r="L1106" t="s">
        <v>4091</v>
      </c>
      <c r="M1106" t="s">
        <v>42</v>
      </c>
      <c r="N1106" t="s">
        <v>43</v>
      </c>
      <c r="O1106">
        <v>2009</v>
      </c>
      <c r="P1106">
        <v>42924</v>
      </c>
      <c r="Q1106" t="s">
        <v>909</v>
      </c>
    </row>
    <row r="1107" spans="1:17" x14ac:dyDescent="0.2">
      <c r="A1107">
        <f t="shared" si="17"/>
        <v>1708044</v>
      </c>
      <c r="B1107" t="s">
        <v>3080</v>
      </c>
      <c r="F1107" t="s">
        <v>16</v>
      </c>
      <c r="G1107" t="s">
        <v>207</v>
      </c>
      <c r="H1107" t="s">
        <v>3940</v>
      </c>
      <c r="J1107">
        <v>899383066</v>
      </c>
      <c r="L1107" t="s">
        <v>4092</v>
      </c>
      <c r="M1107" t="s">
        <v>109</v>
      </c>
      <c r="N1107" t="s">
        <v>240</v>
      </c>
      <c r="O1107">
        <v>2013</v>
      </c>
      <c r="P1107">
        <v>43172</v>
      </c>
      <c r="Q1107" t="s">
        <v>656</v>
      </c>
    </row>
    <row r="1108" spans="1:17" x14ac:dyDescent="0.2">
      <c r="A1108">
        <f t="shared" si="17"/>
        <v>1708045</v>
      </c>
      <c r="B1108" t="s">
        <v>3081</v>
      </c>
      <c r="F1108" t="s">
        <v>16</v>
      </c>
      <c r="G1108" t="s">
        <v>225</v>
      </c>
      <c r="H1108" t="s">
        <v>4093</v>
      </c>
      <c r="I1108" t="s">
        <v>243</v>
      </c>
      <c r="J1108">
        <v>859173411</v>
      </c>
      <c r="L1108" t="s">
        <v>4094</v>
      </c>
      <c r="M1108" t="s">
        <v>47</v>
      </c>
      <c r="N1108" t="s">
        <v>106</v>
      </c>
      <c r="O1108">
        <v>2010</v>
      </c>
      <c r="P1108">
        <v>43002</v>
      </c>
      <c r="Q1108" t="s">
        <v>2399</v>
      </c>
    </row>
    <row r="1109" spans="1:17" x14ac:dyDescent="0.2">
      <c r="A1109">
        <f t="shared" si="17"/>
        <v>1708046</v>
      </c>
      <c r="B1109" t="s">
        <v>3082</v>
      </c>
      <c r="F1109" t="s">
        <v>16</v>
      </c>
      <c r="G1109" t="s">
        <v>196</v>
      </c>
      <c r="H1109" t="s">
        <v>4095</v>
      </c>
      <c r="I1109" t="s">
        <v>263</v>
      </c>
      <c r="J1109">
        <v>905721615</v>
      </c>
      <c r="L1109" t="s">
        <v>4096</v>
      </c>
      <c r="M1109" t="s">
        <v>42</v>
      </c>
      <c r="N1109" t="s">
        <v>884</v>
      </c>
      <c r="O1109">
        <v>2001</v>
      </c>
      <c r="P1109">
        <v>43139</v>
      </c>
      <c r="Q1109" t="s">
        <v>217</v>
      </c>
    </row>
    <row r="1110" spans="1:17" x14ac:dyDescent="0.2">
      <c r="A1110">
        <f t="shared" si="17"/>
        <v>1708047</v>
      </c>
      <c r="B1110" t="s">
        <v>3083</v>
      </c>
      <c r="F1110" t="s">
        <v>16</v>
      </c>
      <c r="G1110" t="s">
        <v>207</v>
      </c>
      <c r="H1110" t="s">
        <v>4097</v>
      </c>
      <c r="I1110" t="s">
        <v>233</v>
      </c>
      <c r="J1110">
        <v>868935324</v>
      </c>
      <c r="L1110" t="s">
        <v>4343</v>
      </c>
      <c r="M1110" t="s">
        <v>42</v>
      </c>
      <c r="N1110" t="s">
        <v>75</v>
      </c>
      <c r="O1110">
        <v>2010</v>
      </c>
      <c r="P1110">
        <v>42930</v>
      </c>
      <c r="Q1110" t="s">
        <v>909</v>
      </c>
    </row>
    <row r="1111" spans="1:17" x14ac:dyDescent="0.2">
      <c r="A1111">
        <f t="shared" si="17"/>
        <v>1708048</v>
      </c>
      <c r="B1111" t="s">
        <v>3084</v>
      </c>
      <c r="F1111" t="s">
        <v>16</v>
      </c>
      <c r="G1111" t="s">
        <v>207</v>
      </c>
      <c r="H1111" t="s">
        <v>4098</v>
      </c>
      <c r="I1111" t="s">
        <v>286</v>
      </c>
      <c r="J1111">
        <v>620496017</v>
      </c>
      <c r="L1111" t="s">
        <v>4099</v>
      </c>
      <c r="M1111" t="s">
        <v>47</v>
      </c>
      <c r="N1111" t="s">
        <v>106</v>
      </c>
      <c r="O1111">
        <v>2012</v>
      </c>
      <c r="P1111">
        <v>43266</v>
      </c>
      <c r="Q1111" t="s">
        <v>419</v>
      </c>
    </row>
    <row r="1112" spans="1:17" x14ac:dyDescent="0.2">
      <c r="A1112">
        <f t="shared" si="17"/>
        <v>1708049</v>
      </c>
      <c r="B1112" t="s">
        <v>3085</v>
      </c>
      <c r="F1112" t="s">
        <v>16</v>
      </c>
      <c r="G1112" t="s">
        <v>202</v>
      </c>
      <c r="H1112" t="s">
        <v>4100</v>
      </c>
      <c r="I1112" t="s">
        <v>305</v>
      </c>
      <c r="J1112">
        <v>810462905</v>
      </c>
      <c r="L1112" t="s">
        <v>4101</v>
      </c>
      <c r="M1112" t="s">
        <v>47</v>
      </c>
      <c r="N1112" t="s">
        <v>106</v>
      </c>
      <c r="O1112">
        <v>2013</v>
      </c>
      <c r="P1112">
        <v>43184</v>
      </c>
      <c r="Q1112" t="s">
        <v>499</v>
      </c>
    </row>
    <row r="1113" spans="1:17" x14ac:dyDescent="0.2">
      <c r="A1113">
        <f t="shared" si="17"/>
        <v>1708050</v>
      </c>
      <c r="B1113" t="s">
        <v>3086</v>
      </c>
      <c r="F1113" t="s">
        <v>16</v>
      </c>
      <c r="G1113" t="s">
        <v>337</v>
      </c>
      <c r="H1113" t="s">
        <v>2400</v>
      </c>
      <c r="I1113" t="s">
        <v>506</v>
      </c>
      <c r="J1113">
        <v>969199166</v>
      </c>
      <c r="K1113">
        <v>969191955</v>
      </c>
      <c r="L1113" t="s">
        <v>2401</v>
      </c>
      <c r="M1113" t="s">
        <v>42</v>
      </c>
      <c r="N1113" t="s">
        <v>75</v>
      </c>
      <c r="O1113">
        <v>2013</v>
      </c>
      <c r="P1113">
        <v>43144</v>
      </c>
      <c r="Q1113" t="s">
        <v>260</v>
      </c>
    </row>
    <row r="1114" spans="1:17" x14ac:dyDescent="0.2">
      <c r="A1114">
        <f t="shared" si="17"/>
        <v>1708051</v>
      </c>
      <c r="B1114" t="s">
        <v>3087</v>
      </c>
      <c r="F1114" t="s">
        <v>16</v>
      </c>
      <c r="G1114" t="s">
        <v>207</v>
      </c>
      <c r="H1114" t="s">
        <v>4102</v>
      </c>
      <c r="J1114">
        <v>880894183</v>
      </c>
      <c r="L1114" t="s">
        <v>4103</v>
      </c>
      <c r="M1114" t="s">
        <v>58</v>
      </c>
      <c r="N1114" t="s">
        <v>414</v>
      </c>
      <c r="O1114">
        <v>2013</v>
      </c>
      <c r="P1114" t="s">
        <v>1120</v>
      </c>
    </row>
    <row r="1115" spans="1:17" x14ac:dyDescent="0.2">
      <c r="A1115">
        <f t="shared" si="17"/>
        <v>1708052</v>
      </c>
      <c r="B1115" t="s">
        <v>3088</v>
      </c>
      <c r="F1115" t="s">
        <v>16</v>
      </c>
      <c r="G1115" t="s">
        <v>303</v>
      </c>
      <c r="H1115" t="s">
        <v>4104</v>
      </c>
      <c r="I1115" t="s">
        <v>271</v>
      </c>
      <c r="J1115">
        <v>866295285</v>
      </c>
      <c r="L1115" t="s">
        <v>4105</v>
      </c>
      <c r="M1115" t="s">
        <v>47</v>
      </c>
      <c r="N1115" t="s">
        <v>209</v>
      </c>
      <c r="O1115">
        <v>2012</v>
      </c>
      <c r="P1115">
        <v>43127</v>
      </c>
      <c r="Q1115" t="s">
        <v>1406</v>
      </c>
    </row>
    <row r="1116" spans="1:17" x14ac:dyDescent="0.2">
      <c r="A1116">
        <f t="shared" si="17"/>
        <v>1708053</v>
      </c>
      <c r="B1116" t="s">
        <v>3089</v>
      </c>
      <c r="F1116" t="s">
        <v>16</v>
      </c>
      <c r="G1116" t="s">
        <v>337</v>
      </c>
      <c r="H1116" t="s">
        <v>4106</v>
      </c>
      <c r="I1116" t="s">
        <v>433</v>
      </c>
      <c r="J1116">
        <v>971071064</v>
      </c>
      <c r="L1116" t="s">
        <v>4107</v>
      </c>
      <c r="M1116" t="s">
        <v>47</v>
      </c>
      <c r="N1116" t="s">
        <v>48</v>
      </c>
      <c r="O1116">
        <v>2011</v>
      </c>
      <c r="P1116">
        <v>43223</v>
      </c>
      <c r="Q1116" t="s">
        <v>877</v>
      </c>
    </row>
    <row r="1117" spans="1:17" x14ac:dyDescent="0.2">
      <c r="A1117">
        <f t="shared" si="17"/>
        <v>1708054</v>
      </c>
      <c r="B1117" t="s">
        <v>3090</v>
      </c>
      <c r="F1117" t="s">
        <v>16</v>
      </c>
      <c r="G1117" t="s">
        <v>207</v>
      </c>
      <c r="H1117" t="s">
        <v>4108</v>
      </c>
      <c r="I1117" t="s">
        <v>233</v>
      </c>
      <c r="J1117">
        <v>859010499</v>
      </c>
      <c r="K1117">
        <v>615789529</v>
      </c>
      <c r="L1117" t="s">
        <v>4109</v>
      </c>
      <c r="M1117" t="s">
        <v>47</v>
      </c>
      <c r="N1117" t="s">
        <v>106</v>
      </c>
      <c r="O1117">
        <v>2005</v>
      </c>
      <c r="P1117">
        <v>43056</v>
      </c>
      <c r="Q1117" t="s">
        <v>331</v>
      </c>
    </row>
    <row r="1118" spans="1:17" x14ac:dyDescent="0.2">
      <c r="A1118">
        <f t="shared" si="17"/>
        <v>1708055</v>
      </c>
      <c r="B1118" t="s">
        <v>3091</v>
      </c>
      <c r="F1118" t="s">
        <v>16</v>
      </c>
      <c r="G1118" t="s">
        <v>337</v>
      </c>
      <c r="H1118" t="s">
        <v>4110</v>
      </c>
      <c r="I1118" t="s">
        <v>979</v>
      </c>
      <c r="J1118">
        <v>889135187</v>
      </c>
      <c r="L1118" t="s">
        <v>4111</v>
      </c>
      <c r="M1118" t="s">
        <v>42</v>
      </c>
      <c r="N1118" t="s">
        <v>75</v>
      </c>
      <c r="O1118">
        <v>2011</v>
      </c>
      <c r="P1118" t="s">
        <v>1120</v>
      </c>
    </row>
    <row r="1119" spans="1:17" x14ac:dyDescent="0.2">
      <c r="A1119">
        <f t="shared" si="17"/>
        <v>1708056</v>
      </c>
      <c r="B1119" t="s">
        <v>3092</v>
      </c>
      <c r="F1119" t="s">
        <v>16</v>
      </c>
      <c r="G1119" t="s">
        <v>337</v>
      </c>
      <c r="H1119" t="s">
        <v>4110</v>
      </c>
      <c r="I1119" t="s">
        <v>979</v>
      </c>
      <c r="J1119">
        <v>889135187</v>
      </c>
      <c r="L1119" t="s">
        <v>4111</v>
      </c>
      <c r="M1119" t="s">
        <v>42</v>
      </c>
      <c r="N1119" t="s">
        <v>75</v>
      </c>
      <c r="O1119">
        <v>2011</v>
      </c>
      <c r="P1119" t="s">
        <v>1120</v>
      </c>
    </row>
    <row r="1120" spans="1:17" x14ac:dyDescent="0.2">
      <c r="A1120">
        <f t="shared" si="17"/>
        <v>1708057</v>
      </c>
      <c r="B1120" t="s">
        <v>3093</v>
      </c>
      <c r="F1120" t="s">
        <v>16</v>
      </c>
      <c r="G1120" t="s">
        <v>207</v>
      </c>
      <c r="H1120" t="s">
        <v>4112</v>
      </c>
      <c r="J1120">
        <v>986312435</v>
      </c>
      <c r="K1120">
        <v>638828514</v>
      </c>
      <c r="L1120" t="s">
        <v>4113</v>
      </c>
      <c r="M1120" t="s">
        <v>47</v>
      </c>
      <c r="N1120" t="s">
        <v>51</v>
      </c>
      <c r="O1120">
        <v>2006</v>
      </c>
      <c r="P1120" t="s">
        <v>1120</v>
      </c>
    </row>
    <row r="1121" spans="1:17" x14ac:dyDescent="0.2">
      <c r="A1121">
        <f t="shared" si="17"/>
        <v>1708058</v>
      </c>
      <c r="B1121" t="s">
        <v>3094</v>
      </c>
      <c r="F1121" t="s">
        <v>16</v>
      </c>
      <c r="G1121" t="s">
        <v>202</v>
      </c>
      <c r="H1121" t="s">
        <v>4114</v>
      </c>
      <c r="I1121" t="s">
        <v>305</v>
      </c>
      <c r="J1121">
        <v>829952264</v>
      </c>
      <c r="K1121">
        <v>886662993</v>
      </c>
      <c r="L1121" t="s">
        <v>4115</v>
      </c>
      <c r="M1121" t="s">
        <v>54</v>
      </c>
      <c r="N1121" t="s">
        <v>72</v>
      </c>
      <c r="O1121">
        <v>2013</v>
      </c>
      <c r="P1121">
        <v>43004</v>
      </c>
      <c r="Q1121" t="s">
        <v>640</v>
      </c>
    </row>
    <row r="1122" spans="1:17" x14ac:dyDescent="0.2">
      <c r="A1122">
        <f t="shared" si="17"/>
        <v>1708059</v>
      </c>
      <c r="B1122" t="s">
        <v>3095</v>
      </c>
      <c r="F1122" t="s">
        <v>16</v>
      </c>
      <c r="G1122" t="s">
        <v>202</v>
      </c>
      <c r="H1122" t="s">
        <v>4116</v>
      </c>
      <c r="I1122" t="s">
        <v>222</v>
      </c>
      <c r="J1122">
        <v>816853407</v>
      </c>
      <c r="K1122">
        <v>819843243</v>
      </c>
      <c r="L1122" t="s">
        <v>4117</v>
      </c>
      <c r="M1122" t="s">
        <v>282</v>
      </c>
      <c r="N1122" t="s">
        <v>283</v>
      </c>
      <c r="O1122">
        <v>2015</v>
      </c>
      <c r="P1122">
        <v>43094</v>
      </c>
      <c r="Q1122" t="s">
        <v>260</v>
      </c>
    </row>
    <row r="1123" spans="1:17" x14ac:dyDescent="0.2">
      <c r="A1123">
        <f t="shared" si="17"/>
        <v>1708060</v>
      </c>
      <c r="B1123" t="s">
        <v>3096</v>
      </c>
      <c r="F1123" t="s">
        <v>16</v>
      </c>
      <c r="G1123" t="s">
        <v>225</v>
      </c>
      <c r="H1123" t="s">
        <v>4118</v>
      </c>
      <c r="I1123" t="s">
        <v>263</v>
      </c>
      <c r="J1123">
        <v>811317711</v>
      </c>
      <c r="K1123">
        <v>942956159</v>
      </c>
      <c r="L1123" t="s">
        <v>4119</v>
      </c>
      <c r="M1123" t="s">
        <v>42</v>
      </c>
      <c r="N1123" t="s">
        <v>84</v>
      </c>
      <c r="O1123">
        <v>2010</v>
      </c>
      <c r="P1123">
        <v>43207</v>
      </c>
      <c r="Q1123" t="s">
        <v>229</v>
      </c>
    </row>
    <row r="1124" spans="1:17" x14ac:dyDescent="0.2">
      <c r="A1124">
        <f t="shared" si="17"/>
        <v>1708061</v>
      </c>
      <c r="B1124" t="s">
        <v>3097</v>
      </c>
      <c r="F1124" t="s">
        <v>16</v>
      </c>
      <c r="G1124" t="s">
        <v>207</v>
      </c>
      <c r="H1124" t="s">
        <v>4120</v>
      </c>
      <c r="I1124" t="s">
        <v>263</v>
      </c>
      <c r="J1124">
        <v>920719202</v>
      </c>
      <c r="L1124" t="s">
        <v>4121</v>
      </c>
      <c r="M1124" t="s">
        <v>42</v>
      </c>
      <c r="N1124" t="s">
        <v>43</v>
      </c>
      <c r="O1124">
        <v>2011</v>
      </c>
      <c r="P1124">
        <v>43149</v>
      </c>
      <c r="Q1124" t="s">
        <v>251</v>
      </c>
    </row>
    <row r="1125" spans="1:17" x14ac:dyDescent="0.2">
      <c r="A1125">
        <f t="shared" si="17"/>
        <v>1708062</v>
      </c>
      <c r="B1125" t="s">
        <v>3098</v>
      </c>
      <c r="F1125" t="s">
        <v>16</v>
      </c>
      <c r="G1125" t="s">
        <v>196</v>
      </c>
      <c r="H1125" t="s">
        <v>4122</v>
      </c>
      <c r="I1125" t="s">
        <v>215</v>
      </c>
      <c r="J1125">
        <v>614641747</v>
      </c>
      <c r="L1125" t="s">
        <v>4123</v>
      </c>
      <c r="M1125" t="s">
        <v>47</v>
      </c>
      <c r="N1125" t="s">
        <v>106</v>
      </c>
      <c r="O1125">
        <v>2012</v>
      </c>
      <c r="P1125" t="s">
        <v>1120</v>
      </c>
    </row>
    <row r="1126" spans="1:17" x14ac:dyDescent="0.2">
      <c r="A1126">
        <f t="shared" si="17"/>
        <v>1708063</v>
      </c>
      <c r="B1126" t="s">
        <v>3099</v>
      </c>
      <c r="F1126" t="s">
        <v>16</v>
      </c>
      <c r="G1126" t="s">
        <v>231</v>
      </c>
      <c r="H1126" t="s">
        <v>2402</v>
      </c>
      <c r="I1126" t="s">
        <v>233</v>
      </c>
      <c r="J1126">
        <v>809679916</v>
      </c>
      <c r="K1126">
        <v>867189553</v>
      </c>
      <c r="L1126" t="s">
        <v>2403</v>
      </c>
      <c r="M1126" t="s">
        <v>109</v>
      </c>
      <c r="N1126" t="s">
        <v>240</v>
      </c>
      <c r="O1126">
        <v>2013</v>
      </c>
      <c r="P1126" t="s">
        <v>1120</v>
      </c>
    </row>
    <row r="1127" spans="1:17" x14ac:dyDescent="0.2">
      <c r="A1127">
        <f t="shared" si="17"/>
        <v>1708064</v>
      </c>
      <c r="B1127" t="s">
        <v>3100</v>
      </c>
      <c r="F1127" t="s">
        <v>16</v>
      </c>
      <c r="G1127" t="s">
        <v>196</v>
      </c>
      <c r="H1127" t="s">
        <v>4124</v>
      </c>
      <c r="I1127" t="s">
        <v>263</v>
      </c>
      <c r="J1127">
        <v>896915655</v>
      </c>
      <c r="L1127" t="s">
        <v>4125</v>
      </c>
      <c r="M1127" t="s">
        <v>42</v>
      </c>
      <c r="N1127" t="s">
        <v>75</v>
      </c>
      <c r="O1127">
        <v>2010</v>
      </c>
      <c r="P1127">
        <v>43007</v>
      </c>
      <c r="Q1127" t="s">
        <v>256</v>
      </c>
    </row>
    <row r="1128" spans="1:17" x14ac:dyDescent="0.2">
      <c r="A1128">
        <f t="shared" si="17"/>
        <v>1708065</v>
      </c>
      <c r="B1128" t="s">
        <v>3101</v>
      </c>
      <c r="F1128" t="s">
        <v>16</v>
      </c>
      <c r="G1128" t="s">
        <v>202</v>
      </c>
      <c r="H1128" t="s">
        <v>4126</v>
      </c>
      <c r="I1128" t="s">
        <v>267</v>
      </c>
      <c r="J1128">
        <v>818414220</v>
      </c>
      <c r="L1128" t="s">
        <v>4127</v>
      </c>
      <c r="M1128" t="s">
        <v>47</v>
      </c>
      <c r="N1128" t="s">
        <v>3586</v>
      </c>
      <c r="O1128">
        <v>2011</v>
      </c>
      <c r="P1128">
        <v>43077</v>
      </c>
      <c r="Q1128" t="s">
        <v>1893</v>
      </c>
    </row>
    <row r="1129" spans="1:17" x14ac:dyDescent="0.2">
      <c r="A1129">
        <f t="shared" si="17"/>
        <v>1708066</v>
      </c>
      <c r="B1129" t="s">
        <v>3102</v>
      </c>
      <c r="F1129" t="s">
        <v>16</v>
      </c>
      <c r="G1129" t="s">
        <v>196</v>
      </c>
      <c r="H1129" t="s">
        <v>4128</v>
      </c>
      <c r="I1129" t="s">
        <v>506</v>
      </c>
      <c r="J1129">
        <v>881051238</v>
      </c>
      <c r="K1129">
        <v>867750608</v>
      </c>
      <c r="L1129" t="s">
        <v>4129</v>
      </c>
      <c r="M1129" t="s">
        <v>126</v>
      </c>
      <c r="N1129" t="s">
        <v>297</v>
      </c>
      <c r="O1129">
        <v>2015</v>
      </c>
      <c r="P1129">
        <v>42884</v>
      </c>
      <c r="Q1129" t="s">
        <v>540</v>
      </c>
    </row>
    <row r="1130" spans="1:17" x14ac:dyDescent="0.2">
      <c r="A1130">
        <f t="shared" si="17"/>
        <v>1708067</v>
      </c>
      <c r="B1130" t="s">
        <v>3103</v>
      </c>
      <c r="F1130" t="s">
        <v>159</v>
      </c>
      <c r="G1130" t="s">
        <v>40</v>
      </c>
      <c r="J1130">
        <v>993043714</v>
      </c>
      <c r="L1130" t="s">
        <v>4130</v>
      </c>
      <c r="M1130" t="s">
        <v>47</v>
      </c>
      <c r="N1130" t="s">
        <v>106</v>
      </c>
    </row>
    <row r="1131" spans="1:17" x14ac:dyDescent="0.2">
      <c r="A1131">
        <f t="shared" si="17"/>
        <v>1708068</v>
      </c>
      <c r="B1131" t="s">
        <v>3104</v>
      </c>
      <c r="F1131" t="s">
        <v>16</v>
      </c>
      <c r="G1131" t="s">
        <v>207</v>
      </c>
      <c r="H1131" t="s">
        <v>4131</v>
      </c>
      <c r="I1131" t="s">
        <v>215</v>
      </c>
      <c r="J1131">
        <v>894542767</v>
      </c>
      <c r="L1131" t="s">
        <v>4132</v>
      </c>
      <c r="M1131" t="s">
        <v>47</v>
      </c>
      <c r="N1131" t="s">
        <v>106</v>
      </c>
      <c r="O1131">
        <v>2011</v>
      </c>
      <c r="P1131" t="s">
        <v>1120</v>
      </c>
    </row>
    <row r="1132" spans="1:17" x14ac:dyDescent="0.2">
      <c r="A1132">
        <f t="shared" si="17"/>
        <v>1708069</v>
      </c>
      <c r="B1132" t="s">
        <v>3105</v>
      </c>
      <c r="F1132" t="s">
        <v>16</v>
      </c>
      <c r="G1132" t="s">
        <v>1729</v>
      </c>
      <c r="H1132" t="s">
        <v>4133</v>
      </c>
      <c r="J1132">
        <v>958855887</v>
      </c>
      <c r="L1132" t="s">
        <v>4134</v>
      </c>
      <c r="M1132" t="s">
        <v>42</v>
      </c>
      <c r="N1132" t="s">
        <v>75</v>
      </c>
      <c r="O1132">
        <v>2011</v>
      </c>
      <c r="P1132">
        <v>43012</v>
      </c>
      <c r="Q1132" t="s">
        <v>229</v>
      </c>
    </row>
    <row r="1133" spans="1:17" x14ac:dyDescent="0.2">
      <c r="A1133">
        <f t="shared" si="17"/>
        <v>1708070</v>
      </c>
      <c r="B1133" t="s">
        <v>3106</v>
      </c>
      <c r="F1133" t="s">
        <v>16</v>
      </c>
      <c r="G1133" t="s">
        <v>580</v>
      </c>
      <c r="H1133" t="s">
        <v>4135</v>
      </c>
      <c r="I1133" t="s">
        <v>233</v>
      </c>
      <c r="J1133">
        <v>624821247</v>
      </c>
      <c r="L1133" t="s">
        <v>4136</v>
      </c>
      <c r="M1133" t="s">
        <v>58</v>
      </c>
      <c r="N1133" t="s">
        <v>717</v>
      </c>
      <c r="O1133">
        <v>2008</v>
      </c>
      <c r="P1133">
        <v>43145</v>
      </c>
      <c r="Q1133" t="s">
        <v>236</v>
      </c>
    </row>
    <row r="1134" spans="1:17" x14ac:dyDescent="0.2">
      <c r="A1134">
        <f t="shared" si="17"/>
        <v>1708071</v>
      </c>
      <c r="B1134" t="s">
        <v>3107</v>
      </c>
      <c r="F1134" t="s">
        <v>16</v>
      </c>
      <c r="G1134" t="s">
        <v>202</v>
      </c>
      <c r="H1134" t="s">
        <v>4137</v>
      </c>
      <c r="I1134" t="s">
        <v>254</v>
      </c>
      <c r="J1134">
        <v>958897976</v>
      </c>
      <c r="L1134" t="s">
        <v>4138</v>
      </c>
      <c r="M1134" t="s">
        <v>42</v>
      </c>
      <c r="N1134" t="s">
        <v>43</v>
      </c>
      <c r="O1134">
        <v>2016</v>
      </c>
      <c r="P1134">
        <v>43223</v>
      </c>
      <c r="Q1134" t="s">
        <v>374</v>
      </c>
    </row>
    <row r="1135" spans="1:17" x14ac:dyDescent="0.2">
      <c r="A1135">
        <f t="shared" si="17"/>
        <v>1708072</v>
      </c>
      <c r="B1135" t="s">
        <v>2426</v>
      </c>
      <c r="F1135" t="s">
        <v>16</v>
      </c>
      <c r="G1135" t="s">
        <v>202</v>
      </c>
      <c r="H1135" t="s">
        <v>2429</v>
      </c>
      <c r="J1135">
        <v>847721043</v>
      </c>
      <c r="K1135">
        <v>910037730</v>
      </c>
      <c r="L1135" t="s">
        <v>2430</v>
      </c>
      <c r="M1135" t="s">
        <v>47</v>
      </c>
      <c r="N1135" t="s">
        <v>51</v>
      </c>
      <c r="O1135">
        <v>2011</v>
      </c>
      <c r="P1135">
        <v>43160</v>
      </c>
      <c r="Q1135" t="s">
        <v>335</v>
      </c>
    </row>
    <row r="1136" spans="1:17" x14ac:dyDescent="0.2">
      <c r="A1136">
        <f t="shared" si="17"/>
        <v>1708073</v>
      </c>
      <c r="B1136" t="s">
        <v>3108</v>
      </c>
      <c r="F1136" t="s">
        <v>16</v>
      </c>
      <c r="G1136" t="s">
        <v>337</v>
      </c>
      <c r="H1136" t="s">
        <v>4139</v>
      </c>
      <c r="I1136" t="s">
        <v>286</v>
      </c>
      <c r="J1136" t="s">
        <v>4140</v>
      </c>
      <c r="L1136" t="s">
        <v>4141</v>
      </c>
      <c r="M1136" t="s">
        <v>47</v>
      </c>
      <c r="N1136" t="s">
        <v>78</v>
      </c>
      <c r="O1136">
        <v>2009</v>
      </c>
      <c r="P1136">
        <v>43051</v>
      </c>
      <c r="Q1136" t="s">
        <v>1143</v>
      </c>
    </row>
    <row r="1137" spans="1:17" x14ac:dyDescent="0.2">
      <c r="A1137">
        <f t="shared" si="17"/>
        <v>1708074</v>
      </c>
      <c r="B1137" t="s">
        <v>3109</v>
      </c>
      <c r="F1137" t="s">
        <v>16</v>
      </c>
      <c r="G1137" t="s">
        <v>337</v>
      </c>
      <c r="H1137" t="s">
        <v>4142</v>
      </c>
      <c r="I1137" t="s">
        <v>305</v>
      </c>
      <c r="J1137">
        <v>878232471</v>
      </c>
      <c r="L1137" t="s">
        <v>4143</v>
      </c>
      <c r="M1137" t="s">
        <v>54</v>
      </c>
      <c r="N1137" t="s">
        <v>72</v>
      </c>
      <c r="O1137">
        <v>2012</v>
      </c>
      <c r="P1137">
        <v>43066</v>
      </c>
      <c r="Q1137" t="s">
        <v>564</v>
      </c>
    </row>
    <row r="1138" spans="1:17" x14ac:dyDescent="0.2">
      <c r="A1138">
        <f t="shared" si="17"/>
        <v>1708075</v>
      </c>
      <c r="B1138" t="s">
        <v>3110</v>
      </c>
      <c r="F1138" t="s">
        <v>16</v>
      </c>
      <c r="G1138" t="s">
        <v>207</v>
      </c>
      <c r="H1138" t="s">
        <v>4144</v>
      </c>
      <c r="I1138" t="s">
        <v>492</v>
      </c>
      <c r="J1138">
        <v>896879023</v>
      </c>
      <c r="K1138">
        <v>852488622</v>
      </c>
      <c r="L1138" t="s">
        <v>4145</v>
      </c>
      <c r="M1138" t="s">
        <v>47</v>
      </c>
      <c r="N1138" t="s">
        <v>106</v>
      </c>
      <c r="O1138">
        <v>2012</v>
      </c>
      <c r="P1138">
        <v>43323</v>
      </c>
      <c r="Q1138" t="s">
        <v>564</v>
      </c>
    </row>
    <row r="1139" spans="1:17" x14ac:dyDescent="0.2">
      <c r="A1139">
        <f t="shared" si="17"/>
        <v>1709001</v>
      </c>
      <c r="B1139" t="s">
        <v>3111</v>
      </c>
      <c r="F1139" t="s">
        <v>16</v>
      </c>
      <c r="G1139" t="s">
        <v>231</v>
      </c>
      <c r="H1139" t="s">
        <v>4146</v>
      </c>
      <c r="I1139" t="s">
        <v>286</v>
      </c>
      <c r="J1139">
        <v>863036976</v>
      </c>
      <c r="L1139" t="s">
        <v>4147</v>
      </c>
      <c r="M1139" t="s">
        <v>126</v>
      </c>
      <c r="N1139" t="s">
        <v>172</v>
      </c>
      <c r="O1139">
        <v>2011</v>
      </c>
      <c r="P1139">
        <v>43077</v>
      </c>
      <c r="Q1139" t="s">
        <v>251</v>
      </c>
    </row>
    <row r="1140" spans="1:17" x14ac:dyDescent="0.2">
      <c r="A1140">
        <f t="shared" si="17"/>
        <v>1709002</v>
      </c>
      <c r="B1140" t="s">
        <v>3112</v>
      </c>
      <c r="F1140" t="s">
        <v>16</v>
      </c>
      <c r="G1140" t="s">
        <v>207</v>
      </c>
      <c r="H1140" t="s">
        <v>4148</v>
      </c>
      <c r="J1140">
        <v>879771511</v>
      </c>
      <c r="L1140" t="s">
        <v>4149</v>
      </c>
      <c r="M1140" t="s">
        <v>47</v>
      </c>
      <c r="N1140" t="s">
        <v>106</v>
      </c>
      <c r="O1140">
        <v>2009</v>
      </c>
      <c r="P1140">
        <v>43101</v>
      </c>
      <c r="Q1140" t="s">
        <v>1863</v>
      </c>
    </row>
    <row r="1141" spans="1:17" x14ac:dyDescent="0.2">
      <c r="A1141">
        <f t="shared" si="17"/>
        <v>1709003</v>
      </c>
      <c r="B1141" t="s">
        <v>3113</v>
      </c>
      <c r="F1141" t="s">
        <v>16</v>
      </c>
      <c r="G1141" t="s">
        <v>207</v>
      </c>
      <c r="H1141" t="s">
        <v>4150</v>
      </c>
      <c r="J1141">
        <v>861615665</v>
      </c>
      <c r="L1141" t="s">
        <v>4151</v>
      </c>
      <c r="M1141" t="s">
        <v>54</v>
      </c>
      <c r="N1141" t="s">
        <v>4152</v>
      </c>
    </row>
    <row r="1142" spans="1:17" x14ac:dyDescent="0.2">
      <c r="A1142">
        <f t="shared" si="17"/>
        <v>1709004</v>
      </c>
      <c r="B1142" t="s">
        <v>3114</v>
      </c>
      <c r="F1142" t="s">
        <v>16</v>
      </c>
      <c r="G1142" t="s">
        <v>207</v>
      </c>
      <c r="H1142" t="s">
        <v>4153</v>
      </c>
      <c r="I1142" t="s">
        <v>457</v>
      </c>
      <c r="J1142">
        <v>909735254</v>
      </c>
      <c r="L1142" t="s">
        <v>4154</v>
      </c>
      <c r="M1142" t="s">
        <v>47</v>
      </c>
      <c r="N1142" t="s">
        <v>51</v>
      </c>
      <c r="O1142">
        <v>2013</v>
      </c>
      <c r="P1142">
        <v>43139</v>
      </c>
      <c r="Q1142" t="s">
        <v>531</v>
      </c>
    </row>
    <row r="1143" spans="1:17" x14ac:dyDescent="0.2">
      <c r="A1143">
        <f t="shared" si="17"/>
        <v>1709005</v>
      </c>
      <c r="B1143" t="s">
        <v>3115</v>
      </c>
      <c r="F1143" t="s">
        <v>16</v>
      </c>
      <c r="G1143" t="s">
        <v>207</v>
      </c>
      <c r="H1143" t="s">
        <v>4153</v>
      </c>
      <c r="I1143" t="s">
        <v>457</v>
      </c>
      <c r="J1143">
        <v>909735254</v>
      </c>
      <c r="L1143" t="s">
        <v>4154</v>
      </c>
      <c r="M1143" t="s">
        <v>47</v>
      </c>
      <c r="N1143" t="s">
        <v>51</v>
      </c>
      <c r="O1143">
        <v>2013</v>
      </c>
      <c r="P1143">
        <v>43139</v>
      </c>
      <c r="Q1143" t="s">
        <v>531</v>
      </c>
    </row>
    <row r="1144" spans="1:17" x14ac:dyDescent="0.2">
      <c r="A1144">
        <f t="shared" si="17"/>
        <v>1709006</v>
      </c>
      <c r="B1144" t="s">
        <v>2427</v>
      </c>
      <c r="F1144" t="s">
        <v>16</v>
      </c>
      <c r="G1144" t="s">
        <v>337</v>
      </c>
      <c r="H1144" t="s">
        <v>2431</v>
      </c>
      <c r="I1144" t="s">
        <v>233</v>
      </c>
      <c r="J1144">
        <v>996151885</v>
      </c>
      <c r="K1144">
        <v>850205572</v>
      </c>
      <c r="L1144" t="s">
        <v>2432</v>
      </c>
      <c r="M1144" t="s">
        <v>42</v>
      </c>
      <c r="N1144" t="s">
        <v>84</v>
      </c>
      <c r="O1144">
        <v>2008</v>
      </c>
      <c r="P1144">
        <v>43294</v>
      </c>
      <c r="Q1144" t="s">
        <v>335</v>
      </c>
    </row>
    <row r="1145" spans="1:17" x14ac:dyDescent="0.2">
      <c r="A1145">
        <f t="shared" si="17"/>
        <v>1709007</v>
      </c>
      <c r="B1145" t="s">
        <v>3116</v>
      </c>
      <c r="F1145" t="s">
        <v>16</v>
      </c>
      <c r="G1145" t="s">
        <v>225</v>
      </c>
      <c r="H1145" t="s">
        <v>4155</v>
      </c>
      <c r="I1145" t="s">
        <v>263</v>
      </c>
      <c r="J1145">
        <v>923649995</v>
      </c>
      <c r="L1145" t="s">
        <v>4156</v>
      </c>
      <c r="M1145" t="s">
        <v>47</v>
      </c>
      <c r="N1145" t="s">
        <v>51</v>
      </c>
      <c r="O1145">
        <v>2011</v>
      </c>
      <c r="P1145">
        <v>43054</v>
      </c>
      <c r="Q1145" t="s">
        <v>256</v>
      </c>
    </row>
    <row r="1146" spans="1:17" x14ac:dyDescent="0.2">
      <c r="A1146">
        <f t="shared" si="17"/>
        <v>1709008</v>
      </c>
      <c r="B1146" t="s">
        <v>3117</v>
      </c>
      <c r="F1146" t="s">
        <v>16</v>
      </c>
      <c r="G1146" t="s">
        <v>207</v>
      </c>
      <c r="H1146" t="s">
        <v>4157</v>
      </c>
      <c r="I1146" t="s">
        <v>4158</v>
      </c>
      <c r="J1146">
        <v>645245444</v>
      </c>
      <c r="L1146" t="s">
        <v>4159</v>
      </c>
      <c r="M1146" t="s">
        <v>47</v>
      </c>
      <c r="N1146" t="s">
        <v>81</v>
      </c>
      <c r="O1146">
        <v>2013</v>
      </c>
    </row>
    <row r="1147" spans="1:17" x14ac:dyDescent="0.2">
      <c r="A1147">
        <f t="shared" si="17"/>
        <v>1709009</v>
      </c>
      <c r="B1147" t="s">
        <v>3118</v>
      </c>
      <c r="F1147" t="s">
        <v>16</v>
      </c>
      <c r="G1147" t="s">
        <v>220</v>
      </c>
      <c r="H1147" t="s">
        <v>4046</v>
      </c>
      <c r="I1147" t="s">
        <v>492</v>
      </c>
      <c r="J1147">
        <v>876668224</v>
      </c>
      <c r="L1147" t="s">
        <v>4047</v>
      </c>
      <c r="M1147" t="s">
        <v>93</v>
      </c>
      <c r="N1147" t="s">
        <v>161</v>
      </c>
      <c r="O1147">
        <v>2011</v>
      </c>
    </row>
    <row r="1148" spans="1:17" x14ac:dyDescent="0.2">
      <c r="A1148">
        <f t="shared" si="17"/>
        <v>1709010</v>
      </c>
      <c r="B1148" t="s">
        <v>3119</v>
      </c>
      <c r="F1148" t="s">
        <v>16</v>
      </c>
      <c r="G1148" t="s">
        <v>3158</v>
      </c>
      <c r="H1148" t="s">
        <v>4160</v>
      </c>
      <c r="I1148" t="s">
        <v>263</v>
      </c>
      <c r="J1148">
        <v>852126873</v>
      </c>
      <c r="L1148" t="s">
        <v>883</v>
      </c>
      <c r="M1148" t="s">
        <v>4161</v>
      </c>
      <c r="N1148" t="s">
        <v>884</v>
      </c>
      <c r="O1148">
        <v>2014</v>
      </c>
      <c r="P1148">
        <v>42983</v>
      </c>
      <c r="Q1148" t="s">
        <v>1869</v>
      </c>
    </row>
    <row r="1149" spans="1:17" x14ac:dyDescent="0.2">
      <c r="A1149">
        <f t="shared" si="17"/>
        <v>1709011</v>
      </c>
      <c r="B1149" t="s">
        <v>3120</v>
      </c>
      <c r="F1149" t="s">
        <v>16</v>
      </c>
      <c r="G1149" t="s">
        <v>207</v>
      </c>
      <c r="H1149" t="s">
        <v>3790</v>
      </c>
      <c r="J1149">
        <v>875584791</v>
      </c>
      <c r="L1149" t="s">
        <v>3792</v>
      </c>
      <c r="M1149" t="s">
        <v>47</v>
      </c>
      <c r="N1149" t="s">
        <v>209</v>
      </c>
      <c r="O1149">
        <v>2006</v>
      </c>
    </row>
    <row r="1150" spans="1:17" x14ac:dyDescent="0.2">
      <c r="A1150">
        <f t="shared" si="17"/>
        <v>1709012</v>
      </c>
      <c r="B1150" t="s">
        <v>3121</v>
      </c>
      <c r="F1150" t="s">
        <v>159</v>
      </c>
      <c r="G1150" t="s">
        <v>225</v>
      </c>
      <c r="H1150" t="s">
        <v>4162</v>
      </c>
      <c r="I1150" t="s">
        <v>506</v>
      </c>
      <c r="J1150">
        <v>873488203</v>
      </c>
      <c r="L1150" t="s">
        <v>4163</v>
      </c>
      <c r="M1150" t="s">
        <v>4164</v>
      </c>
      <c r="N1150" t="s">
        <v>4165</v>
      </c>
      <c r="O1150">
        <v>2004</v>
      </c>
      <c r="P1150">
        <v>22557</v>
      </c>
      <c r="Q1150" t="s">
        <v>405</v>
      </c>
    </row>
    <row r="1151" spans="1:17" x14ac:dyDescent="0.2">
      <c r="A1151">
        <f t="shared" si="17"/>
        <v>1709013</v>
      </c>
      <c r="B1151" t="s">
        <v>3122</v>
      </c>
      <c r="F1151" t="s">
        <v>16</v>
      </c>
      <c r="G1151" t="s">
        <v>303</v>
      </c>
      <c r="H1151" t="s">
        <v>4166</v>
      </c>
      <c r="I1151" t="s">
        <v>254</v>
      </c>
      <c r="J1151">
        <v>942034772</v>
      </c>
      <c r="L1151" t="s">
        <v>4062</v>
      </c>
      <c r="M1151" t="s">
        <v>126</v>
      </c>
      <c r="N1151" t="s">
        <v>3321</v>
      </c>
      <c r="O1151">
        <v>1996</v>
      </c>
      <c r="P1151">
        <v>43100</v>
      </c>
      <c r="Q1151">
        <v>0</v>
      </c>
    </row>
    <row r="1152" spans="1:17" x14ac:dyDescent="0.2">
      <c r="A1152">
        <f t="shared" si="17"/>
        <v>1709014</v>
      </c>
      <c r="B1152" t="s">
        <v>3123</v>
      </c>
      <c r="F1152" t="s">
        <v>16</v>
      </c>
      <c r="G1152" t="s">
        <v>207</v>
      </c>
      <c r="H1152" t="s">
        <v>4167</v>
      </c>
      <c r="J1152">
        <v>854224404</v>
      </c>
      <c r="L1152" t="s">
        <v>4168</v>
      </c>
      <c r="M1152" t="s">
        <v>58</v>
      </c>
      <c r="N1152" t="s">
        <v>414</v>
      </c>
      <c r="O1152">
        <v>2012</v>
      </c>
    </row>
    <row r="1153" spans="1:17" x14ac:dyDescent="0.2">
      <c r="A1153">
        <f t="shared" si="17"/>
        <v>1709015</v>
      </c>
      <c r="B1153" t="s">
        <v>3124</v>
      </c>
      <c r="F1153" t="s">
        <v>16</v>
      </c>
      <c r="G1153" t="s">
        <v>202</v>
      </c>
      <c r="H1153" t="s">
        <v>4169</v>
      </c>
      <c r="I1153" t="s">
        <v>263</v>
      </c>
      <c r="J1153">
        <v>863218629</v>
      </c>
      <c r="L1153" t="s">
        <v>4170</v>
      </c>
      <c r="M1153" t="s">
        <v>126</v>
      </c>
      <c r="N1153" t="s">
        <v>3657</v>
      </c>
      <c r="O1153">
        <v>2005</v>
      </c>
    </row>
    <row r="1154" spans="1:17" x14ac:dyDescent="0.2">
      <c r="A1154">
        <f t="shared" si="17"/>
        <v>1709016</v>
      </c>
      <c r="B1154" t="s">
        <v>3125</v>
      </c>
      <c r="F1154" t="s">
        <v>16</v>
      </c>
      <c r="G1154" t="s">
        <v>207</v>
      </c>
      <c r="H1154" t="s">
        <v>1008</v>
      </c>
      <c r="I1154" t="s">
        <v>233</v>
      </c>
      <c r="J1154">
        <v>816592509</v>
      </c>
      <c r="L1154" t="s">
        <v>1009</v>
      </c>
      <c r="M1154" t="s">
        <v>47</v>
      </c>
      <c r="N1154" t="s">
        <v>106</v>
      </c>
      <c r="O1154">
        <v>2012</v>
      </c>
      <c r="P1154">
        <v>42979</v>
      </c>
      <c r="Q1154" t="s">
        <v>260</v>
      </c>
    </row>
    <row r="1155" spans="1:17" x14ac:dyDescent="0.2">
      <c r="A1155">
        <f t="shared" si="17"/>
        <v>1709017</v>
      </c>
      <c r="B1155" t="s">
        <v>3126</v>
      </c>
      <c r="F1155" t="s">
        <v>16</v>
      </c>
      <c r="G1155" t="s">
        <v>225</v>
      </c>
      <c r="H1155" t="s">
        <v>4171</v>
      </c>
      <c r="I1155" t="s">
        <v>1192</v>
      </c>
      <c r="J1155">
        <v>915454551</v>
      </c>
      <c r="K1155">
        <v>819872369</v>
      </c>
      <c r="L1155" t="s">
        <v>4172</v>
      </c>
      <c r="M1155" t="s">
        <v>47</v>
      </c>
      <c r="N1155" t="s">
        <v>48</v>
      </c>
      <c r="O1155">
        <v>2008</v>
      </c>
      <c r="P1155">
        <v>42842</v>
      </c>
      <c r="Q1155" t="s">
        <v>877</v>
      </c>
    </row>
    <row r="1156" spans="1:17" x14ac:dyDescent="0.2">
      <c r="A1156">
        <f t="shared" ref="A1156:A1219" si="18">VALUE(B1156)</f>
        <v>1709018</v>
      </c>
      <c r="B1156" t="s">
        <v>3127</v>
      </c>
      <c r="F1156" t="s">
        <v>16</v>
      </c>
      <c r="G1156" t="s">
        <v>207</v>
      </c>
      <c r="H1156" t="s">
        <v>4173</v>
      </c>
      <c r="I1156" t="s">
        <v>305</v>
      </c>
      <c r="J1156">
        <v>858134347</v>
      </c>
      <c r="L1156" t="s">
        <v>4174</v>
      </c>
      <c r="M1156" t="s">
        <v>47</v>
      </c>
      <c r="N1156" t="s">
        <v>78</v>
      </c>
      <c r="O1156">
        <v>2005</v>
      </c>
      <c r="P1156">
        <v>43032</v>
      </c>
      <c r="Q1156" t="s">
        <v>4175</v>
      </c>
    </row>
    <row r="1157" spans="1:17" x14ac:dyDescent="0.2">
      <c r="A1157">
        <f t="shared" si="18"/>
        <v>1709019</v>
      </c>
      <c r="B1157" t="s">
        <v>3128</v>
      </c>
      <c r="F1157" t="s">
        <v>16</v>
      </c>
      <c r="G1157" t="s">
        <v>337</v>
      </c>
      <c r="H1157" t="s">
        <v>4176</v>
      </c>
      <c r="I1157" t="s">
        <v>286</v>
      </c>
      <c r="J1157">
        <v>982868529</v>
      </c>
      <c r="L1157" t="s">
        <v>4177</v>
      </c>
      <c r="M1157" t="s">
        <v>47</v>
      </c>
      <c r="N1157" t="s">
        <v>106</v>
      </c>
      <c r="O1157">
        <v>2013</v>
      </c>
    </row>
    <row r="1158" spans="1:17" x14ac:dyDescent="0.2">
      <c r="A1158">
        <f t="shared" si="18"/>
        <v>1709020</v>
      </c>
      <c r="B1158" t="s">
        <v>3129</v>
      </c>
      <c r="F1158" t="s">
        <v>16</v>
      </c>
      <c r="G1158" t="s">
        <v>337</v>
      </c>
      <c r="H1158" t="s">
        <v>4178</v>
      </c>
      <c r="I1158" t="s">
        <v>577</v>
      </c>
      <c r="J1158">
        <v>814388878</v>
      </c>
      <c r="L1158" t="s">
        <v>4179</v>
      </c>
      <c r="M1158" t="s">
        <v>42</v>
      </c>
      <c r="N1158" t="s">
        <v>84</v>
      </c>
      <c r="O1158">
        <v>2008</v>
      </c>
      <c r="P1158">
        <v>42928</v>
      </c>
      <c r="Q1158" t="s">
        <v>540</v>
      </c>
    </row>
    <row r="1159" spans="1:17" x14ac:dyDescent="0.2">
      <c r="A1159">
        <f t="shared" si="18"/>
        <v>1709021</v>
      </c>
      <c r="B1159" t="s">
        <v>3130</v>
      </c>
      <c r="F1159" t="s">
        <v>16</v>
      </c>
      <c r="G1159" t="s">
        <v>337</v>
      </c>
      <c r="H1159" t="s">
        <v>4178</v>
      </c>
      <c r="I1159" t="s">
        <v>577</v>
      </c>
      <c r="J1159">
        <v>814388878</v>
      </c>
      <c r="L1159" t="s">
        <v>4180</v>
      </c>
      <c r="M1159" t="s">
        <v>42</v>
      </c>
      <c r="N1159" t="s">
        <v>84</v>
      </c>
      <c r="O1159">
        <v>2008</v>
      </c>
    </row>
    <row r="1160" spans="1:17" x14ac:dyDescent="0.2">
      <c r="A1160">
        <f t="shared" si="18"/>
        <v>1709022</v>
      </c>
      <c r="B1160" t="s">
        <v>3131</v>
      </c>
      <c r="F1160" t="s">
        <v>16</v>
      </c>
      <c r="G1160" t="s">
        <v>207</v>
      </c>
      <c r="H1160" t="s">
        <v>4181</v>
      </c>
      <c r="J1160">
        <v>631726970</v>
      </c>
      <c r="L1160" t="s">
        <v>4182</v>
      </c>
      <c r="M1160" t="s">
        <v>47</v>
      </c>
      <c r="N1160" t="s">
        <v>106</v>
      </c>
      <c r="O1160">
        <v>2009</v>
      </c>
    </row>
    <row r="1161" spans="1:17" x14ac:dyDescent="0.2">
      <c r="A1161">
        <f t="shared" si="18"/>
        <v>1709023</v>
      </c>
      <c r="B1161" t="s">
        <v>3132</v>
      </c>
      <c r="F1161" t="s">
        <v>16</v>
      </c>
      <c r="G1161" t="s">
        <v>207</v>
      </c>
      <c r="H1161" t="s">
        <v>4183</v>
      </c>
      <c r="I1161" t="s">
        <v>233</v>
      </c>
      <c r="J1161">
        <v>969217447</v>
      </c>
      <c r="L1161" t="s">
        <v>4184</v>
      </c>
      <c r="M1161" t="s">
        <v>87</v>
      </c>
      <c r="N1161">
        <v>2</v>
      </c>
      <c r="O1161">
        <v>2011</v>
      </c>
      <c r="P1161">
        <v>42917</v>
      </c>
      <c r="Q1161" t="s">
        <v>1890</v>
      </c>
    </row>
    <row r="1162" spans="1:17" x14ac:dyDescent="0.2">
      <c r="A1162">
        <f t="shared" si="18"/>
        <v>1709024</v>
      </c>
      <c r="B1162" t="s">
        <v>3133</v>
      </c>
      <c r="F1162" t="s">
        <v>16</v>
      </c>
      <c r="G1162" t="s">
        <v>207</v>
      </c>
      <c r="H1162" t="s">
        <v>4185</v>
      </c>
      <c r="J1162">
        <v>823045782</v>
      </c>
      <c r="L1162" t="s">
        <v>4186</v>
      </c>
      <c r="M1162" t="s">
        <v>58</v>
      </c>
      <c r="N1162" t="s">
        <v>717</v>
      </c>
      <c r="O1162">
        <v>2016</v>
      </c>
      <c r="P1162">
        <v>43217</v>
      </c>
      <c r="Q1162" t="s">
        <v>366</v>
      </c>
    </row>
    <row r="1163" spans="1:17" x14ac:dyDescent="0.2">
      <c r="A1163">
        <f t="shared" si="18"/>
        <v>1709025</v>
      </c>
      <c r="B1163" t="s">
        <v>3134</v>
      </c>
      <c r="F1163" t="s">
        <v>16</v>
      </c>
      <c r="G1163" t="s">
        <v>207</v>
      </c>
      <c r="H1163" t="s">
        <v>1133</v>
      </c>
      <c r="I1163" t="s">
        <v>506</v>
      </c>
      <c r="J1163">
        <v>954800106</v>
      </c>
      <c r="L1163" t="s">
        <v>1134</v>
      </c>
      <c r="M1163" t="s">
        <v>42</v>
      </c>
      <c r="N1163" t="s">
        <v>84</v>
      </c>
      <c r="O1163">
        <v>2010</v>
      </c>
      <c r="P1163">
        <v>43122</v>
      </c>
      <c r="Q1163" t="s">
        <v>341</v>
      </c>
    </row>
    <row r="1164" spans="1:17" x14ac:dyDescent="0.2">
      <c r="A1164">
        <f t="shared" si="18"/>
        <v>1709026</v>
      </c>
      <c r="B1164" t="s">
        <v>3135</v>
      </c>
      <c r="F1164" t="s">
        <v>16</v>
      </c>
      <c r="G1164" t="s">
        <v>337</v>
      </c>
      <c r="H1164" t="s">
        <v>4187</v>
      </c>
      <c r="I1164" t="s">
        <v>233</v>
      </c>
      <c r="J1164">
        <v>959423670</v>
      </c>
      <c r="L1164" t="s">
        <v>3522</v>
      </c>
      <c r="M1164" t="s">
        <v>47</v>
      </c>
      <c r="N1164" t="s">
        <v>51</v>
      </c>
      <c r="O1164">
        <v>2010</v>
      </c>
      <c r="P1164">
        <v>43394</v>
      </c>
      <c r="Q1164" t="s">
        <v>664</v>
      </c>
    </row>
    <row r="1165" spans="1:17" x14ac:dyDescent="0.2">
      <c r="A1165">
        <f t="shared" si="18"/>
        <v>1709027</v>
      </c>
      <c r="B1165" t="s">
        <v>3136</v>
      </c>
      <c r="F1165" t="s">
        <v>16</v>
      </c>
      <c r="G1165" t="s">
        <v>196</v>
      </c>
      <c r="H1165" t="s">
        <v>4188</v>
      </c>
      <c r="I1165" t="s">
        <v>506</v>
      </c>
      <c r="J1165">
        <v>810869376</v>
      </c>
      <c r="K1165">
        <v>865120609</v>
      </c>
      <c r="L1165" t="s">
        <v>4189</v>
      </c>
      <c r="M1165" t="s">
        <v>58</v>
      </c>
      <c r="N1165" t="s">
        <v>414</v>
      </c>
      <c r="O1165">
        <v>2016</v>
      </c>
    </row>
    <row r="1166" spans="1:17" x14ac:dyDescent="0.2">
      <c r="A1166">
        <f t="shared" si="18"/>
        <v>1709028</v>
      </c>
      <c r="B1166" t="s">
        <v>3137</v>
      </c>
      <c r="F1166" t="s">
        <v>16</v>
      </c>
      <c r="G1166" t="s">
        <v>196</v>
      </c>
      <c r="H1166" t="s">
        <v>4190</v>
      </c>
      <c r="I1166" t="s">
        <v>243</v>
      </c>
      <c r="J1166">
        <v>968920146</v>
      </c>
      <c r="L1166" t="s">
        <v>4191</v>
      </c>
      <c r="M1166" t="s">
        <v>87</v>
      </c>
      <c r="N1166">
        <v>3</v>
      </c>
      <c r="O1166">
        <v>2013</v>
      </c>
      <c r="P1166">
        <v>42918</v>
      </c>
      <c r="Q1166" t="s">
        <v>251</v>
      </c>
    </row>
    <row r="1167" spans="1:17" x14ac:dyDescent="0.2">
      <c r="A1167">
        <f t="shared" si="18"/>
        <v>1709029</v>
      </c>
      <c r="B1167" t="s">
        <v>3138</v>
      </c>
      <c r="F1167" t="s">
        <v>16</v>
      </c>
      <c r="G1167" t="s">
        <v>584</v>
      </c>
      <c r="H1167" t="s">
        <v>3587</v>
      </c>
      <c r="I1167" t="s">
        <v>263</v>
      </c>
      <c r="J1167">
        <v>898997275</v>
      </c>
      <c r="K1167">
        <v>917399296</v>
      </c>
      <c r="L1167" t="s">
        <v>3588</v>
      </c>
      <c r="M1167" t="s">
        <v>109</v>
      </c>
      <c r="N1167" t="s">
        <v>240</v>
      </c>
      <c r="O1167">
        <v>2014</v>
      </c>
      <c r="P1167">
        <v>42805</v>
      </c>
      <c r="Q1167" t="s">
        <v>1893</v>
      </c>
    </row>
    <row r="1168" spans="1:17" x14ac:dyDescent="0.2">
      <c r="A1168">
        <f t="shared" si="18"/>
        <v>1709030</v>
      </c>
      <c r="B1168" t="s">
        <v>3139</v>
      </c>
      <c r="F1168" t="s">
        <v>16</v>
      </c>
      <c r="G1168" t="s">
        <v>196</v>
      </c>
      <c r="H1168" t="s">
        <v>1215</v>
      </c>
      <c r="I1168" t="s">
        <v>263</v>
      </c>
      <c r="J1168">
        <v>811716733</v>
      </c>
      <c r="L1168" t="s">
        <v>1216</v>
      </c>
      <c r="M1168" t="s">
        <v>282</v>
      </c>
      <c r="N1168" t="s">
        <v>283</v>
      </c>
      <c r="O1168">
        <v>2010</v>
      </c>
      <c r="P1168">
        <v>42697</v>
      </c>
      <c r="Q1168" t="s">
        <v>1069</v>
      </c>
    </row>
    <row r="1169" spans="1:17" x14ac:dyDescent="0.2">
      <c r="A1169">
        <f t="shared" si="18"/>
        <v>1709031</v>
      </c>
      <c r="B1169" t="s">
        <v>3140</v>
      </c>
      <c r="F1169" t="s">
        <v>16</v>
      </c>
      <c r="G1169" t="s">
        <v>196</v>
      </c>
      <c r="H1169" t="s">
        <v>4192</v>
      </c>
      <c r="I1169" t="s">
        <v>254</v>
      </c>
      <c r="J1169">
        <v>880109860</v>
      </c>
      <c r="K1169">
        <v>896844514</v>
      </c>
      <c r="L1169" t="s">
        <v>4193</v>
      </c>
      <c r="M1169" t="s">
        <v>54</v>
      </c>
      <c r="N1169" t="s">
        <v>72</v>
      </c>
      <c r="O1169">
        <v>2006</v>
      </c>
      <c r="P1169">
        <v>43100</v>
      </c>
      <c r="Q1169" t="s">
        <v>256</v>
      </c>
    </row>
    <row r="1170" spans="1:17" x14ac:dyDescent="0.2">
      <c r="A1170">
        <f t="shared" si="18"/>
        <v>1709032</v>
      </c>
      <c r="B1170" t="s">
        <v>3141</v>
      </c>
      <c r="F1170" t="s">
        <v>16</v>
      </c>
      <c r="G1170" t="s">
        <v>225</v>
      </c>
      <c r="H1170" t="s">
        <v>4194</v>
      </c>
      <c r="J1170">
        <v>928796990</v>
      </c>
      <c r="L1170" t="s">
        <v>4195</v>
      </c>
      <c r="M1170" t="s">
        <v>87</v>
      </c>
      <c r="N1170" t="s">
        <v>4196</v>
      </c>
      <c r="O1170">
        <v>2003</v>
      </c>
      <c r="P1170">
        <v>43063</v>
      </c>
      <c r="Q1170" t="s">
        <v>301</v>
      </c>
    </row>
    <row r="1171" spans="1:17" x14ac:dyDescent="0.2">
      <c r="A1171">
        <f t="shared" si="18"/>
        <v>1709033</v>
      </c>
      <c r="B1171" t="s">
        <v>3142</v>
      </c>
      <c r="F1171" t="s">
        <v>16</v>
      </c>
      <c r="G1171" t="s">
        <v>337</v>
      </c>
      <c r="H1171" t="s">
        <v>2433</v>
      </c>
      <c r="I1171" t="s">
        <v>506</v>
      </c>
      <c r="J1171">
        <v>872578823</v>
      </c>
      <c r="L1171" t="s">
        <v>4197</v>
      </c>
      <c r="M1171" t="s">
        <v>58</v>
      </c>
      <c r="N1171" t="s">
        <v>1154</v>
      </c>
      <c r="O1171">
        <v>2011</v>
      </c>
      <c r="P1171">
        <v>42656</v>
      </c>
      <c r="Q1171" t="s">
        <v>489</v>
      </c>
    </row>
    <row r="1172" spans="1:17" x14ac:dyDescent="0.2">
      <c r="A1172">
        <f t="shared" si="18"/>
        <v>1709034</v>
      </c>
      <c r="B1172" t="s">
        <v>3143</v>
      </c>
      <c r="F1172" t="s">
        <v>16</v>
      </c>
      <c r="G1172" t="s">
        <v>207</v>
      </c>
      <c r="H1172" t="s">
        <v>4198</v>
      </c>
      <c r="I1172" t="s">
        <v>254</v>
      </c>
      <c r="J1172">
        <v>817206937</v>
      </c>
      <c r="L1172" t="s">
        <v>4199</v>
      </c>
      <c r="M1172" t="s">
        <v>87</v>
      </c>
      <c r="N1172">
        <v>3</v>
      </c>
      <c r="O1172">
        <v>2016</v>
      </c>
      <c r="P1172">
        <v>43276</v>
      </c>
      <c r="Q1172" t="s">
        <v>454</v>
      </c>
    </row>
    <row r="1173" spans="1:17" x14ac:dyDescent="0.2">
      <c r="A1173">
        <f t="shared" si="18"/>
        <v>1709035</v>
      </c>
      <c r="B1173" t="s">
        <v>3144</v>
      </c>
      <c r="F1173" t="s">
        <v>16</v>
      </c>
      <c r="G1173" t="s">
        <v>1729</v>
      </c>
      <c r="H1173" t="s">
        <v>3187</v>
      </c>
      <c r="I1173" t="s">
        <v>233</v>
      </c>
      <c r="J1173">
        <v>849396438</v>
      </c>
      <c r="L1173" t="s">
        <v>4200</v>
      </c>
      <c r="M1173" t="s">
        <v>47</v>
      </c>
      <c r="N1173" t="s">
        <v>51</v>
      </c>
      <c r="O1173">
        <v>2010</v>
      </c>
    </row>
    <row r="1174" spans="1:17" x14ac:dyDescent="0.2">
      <c r="A1174">
        <f t="shared" si="18"/>
        <v>1709036</v>
      </c>
      <c r="B1174" t="s">
        <v>3145</v>
      </c>
      <c r="F1174" t="s">
        <v>16</v>
      </c>
      <c r="G1174" t="s">
        <v>231</v>
      </c>
      <c r="H1174" t="s">
        <v>2090</v>
      </c>
      <c r="I1174" t="s">
        <v>577</v>
      </c>
      <c r="J1174">
        <v>859206108</v>
      </c>
      <c r="L1174" t="s">
        <v>2091</v>
      </c>
      <c r="M1174" t="s">
        <v>58</v>
      </c>
      <c r="N1174" t="s">
        <v>414</v>
      </c>
    </row>
    <row r="1175" spans="1:17" x14ac:dyDescent="0.2">
      <c r="A1175">
        <f t="shared" si="18"/>
        <v>1709037</v>
      </c>
      <c r="B1175" t="s">
        <v>3146</v>
      </c>
      <c r="F1175" t="s">
        <v>16</v>
      </c>
      <c r="G1175" t="s">
        <v>207</v>
      </c>
      <c r="H1175" t="s">
        <v>4201</v>
      </c>
      <c r="I1175" t="s">
        <v>263</v>
      </c>
      <c r="J1175">
        <v>816441514</v>
      </c>
      <c r="L1175" t="s">
        <v>4202</v>
      </c>
      <c r="M1175" t="s">
        <v>87</v>
      </c>
      <c r="N1175" t="s">
        <v>498</v>
      </c>
      <c r="O1175">
        <v>2015</v>
      </c>
      <c r="P1175">
        <v>43258</v>
      </c>
      <c r="Q1175" t="s">
        <v>436</v>
      </c>
    </row>
    <row r="1176" spans="1:17" x14ac:dyDescent="0.2">
      <c r="A1176">
        <f t="shared" si="18"/>
        <v>1709038</v>
      </c>
      <c r="B1176" t="s">
        <v>3147</v>
      </c>
      <c r="F1176" t="s">
        <v>16</v>
      </c>
      <c r="G1176" t="s">
        <v>207</v>
      </c>
      <c r="H1176" t="s">
        <v>4203</v>
      </c>
      <c r="J1176">
        <v>851609611</v>
      </c>
      <c r="L1176" t="s">
        <v>4204</v>
      </c>
      <c r="M1176" t="s">
        <v>58</v>
      </c>
      <c r="N1176" t="s">
        <v>414</v>
      </c>
      <c r="O1176">
        <v>2006</v>
      </c>
    </row>
    <row r="1177" spans="1:17" x14ac:dyDescent="0.2">
      <c r="A1177">
        <f t="shared" si="18"/>
        <v>1709039</v>
      </c>
      <c r="B1177" t="s">
        <v>3148</v>
      </c>
      <c r="F1177" t="s">
        <v>16</v>
      </c>
      <c r="G1177" t="s">
        <v>337</v>
      </c>
      <c r="H1177" t="s">
        <v>4205</v>
      </c>
      <c r="J1177">
        <v>876267055</v>
      </c>
      <c r="K1177">
        <v>955625325</v>
      </c>
      <c r="L1177" t="s">
        <v>4206</v>
      </c>
      <c r="M1177" t="s">
        <v>58</v>
      </c>
      <c r="N1177" t="s">
        <v>414</v>
      </c>
      <c r="O1177">
        <v>2014</v>
      </c>
      <c r="P1177">
        <v>43217</v>
      </c>
      <c r="Q1177" t="s">
        <v>1013</v>
      </c>
    </row>
    <row r="1178" spans="1:17" x14ac:dyDescent="0.2">
      <c r="A1178">
        <f t="shared" si="18"/>
        <v>1709040</v>
      </c>
      <c r="B1178" t="s">
        <v>3149</v>
      </c>
      <c r="F1178" t="s">
        <v>16</v>
      </c>
      <c r="G1178" t="s">
        <v>337</v>
      </c>
      <c r="H1178" t="s">
        <v>2433</v>
      </c>
      <c r="I1178" t="s">
        <v>506</v>
      </c>
      <c r="J1178">
        <v>872578823</v>
      </c>
      <c r="L1178" t="s">
        <v>4197</v>
      </c>
      <c r="M1178" t="s">
        <v>58</v>
      </c>
      <c r="N1178" t="s">
        <v>1154</v>
      </c>
      <c r="O1178">
        <v>2011</v>
      </c>
      <c r="P1178">
        <v>43020</v>
      </c>
      <c r="Q1178" t="s">
        <v>685</v>
      </c>
    </row>
    <row r="1179" spans="1:17" x14ac:dyDescent="0.2">
      <c r="A1179">
        <f t="shared" si="18"/>
        <v>1709041</v>
      </c>
      <c r="B1179" t="s">
        <v>2428</v>
      </c>
      <c r="F1179" t="s">
        <v>16</v>
      </c>
      <c r="G1179" t="s">
        <v>207</v>
      </c>
      <c r="H1179" t="s">
        <v>2433</v>
      </c>
      <c r="I1179" t="s">
        <v>506</v>
      </c>
      <c r="J1179">
        <v>872578823</v>
      </c>
      <c r="L1179" t="s">
        <v>2434</v>
      </c>
      <c r="M1179" t="s">
        <v>58</v>
      </c>
      <c r="N1179" t="s">
        <v>1154</v>
      </c>
      <c r="O1179">
        <v>2011</v>
      </c>
    </row>
    <row r="1180" spans="1:17" x14ac:dyDescent="0.2">
      <c r="A1180">
        <f t="shared" si="18"/>
        <v>1709042</v>
      </c>
      <c r="B1180" t="s">
        <v>3150</v>
      </c>
      <c r="F1180" t="s">
        <v>16</v>
      </c>
      <c r="G1180" t="s">
        <v>196</v>
      </c>
      <c r="H1180" t="s">
        <v>4207</v>
      </c>
      <c r="I1180" t="s">
        <v>339</v>
      </c>
      <c r="J1180">
        <v>897929135</v>
      </c>
      <c r="L1180" t="s">
        <v>4208</v>
      </c>
      <c r="M1180" t="s">
        <v>47</v>
      </c>
      <c r="N1180" t="s">
        <v>78</v>
      </c>
      <c r="O1180">
        <v>2006</v>
      </c>
      <c r="P1180">
        <v>43056</v>
      </c>
      <c r="Q1180" t="s">
        <v>256</v>
      </c>
    </row>
    <row r="1181" spans="1:17" x14ac:dyDescent="0.2">
      <c r="A1181">
        <f t="shared" si="18"/>
        <v>1709043</v>
      </c>
      <c r="B1181" t="s">
        <v>3151</v>
      </c>
      <c r="F1181" t="s">
        <v>16</v>
      </c>
      <c r="G1181" t="s">
        <v>337</v>
      </c>
      <c r="H1181" t="s">
        <v>4209</v>
      </c>
      <c r="J1181">
        <v>955427446</v>
      </c>
      <c r="L1181" t="s">
        <v>4210</v>
      </c>
      <c r="M1181" t="s">
        <v>47</v>
      </c>
      <c r="N1181" t="s">
        <v>106</v>
      </c>
      <c r="O1181">
        <v>2013</v>
      </c>
    </row>
    <row r="1182" spans="1:17" x14ac:dyDescent="0.2">
      <c r="A1182">
        <f t="shared" si="18"/>
        <v>1709044</v>
      </c>
      <c r="B1182" t="s">
        <v>3152</v>
      </c>
      <c r="F1182" t="s">
        <v>1936</v>
      </c>
      <c r="G1182" t="s">
        <v>1936</v>
      </c>
      <c r="H1182" t="s">
        <v>1936</v>
      </c>
      <c r="J1182" t="s">
        <v>1936</v>
      </c>
      <c r="L1182" t="s">
        <v>1936</v>
      </c>
      <c r="M1182" t="s">
        <v>1936</v>
      </c>
      <c r="N1182" t="s">
        <v>1936</v>
      </c>
      <c r="O1182" t="s">
        <v>1936</v>
      </c>
      <c r="P1182" t="s">
        <v>1936</v>
      </c>
    </row>
    <row r="1183" spans="1:17" x14ac:dyDescent="0.2">
      <c r="A1183">
        <f t="shared" si="18"/>
        <v>1709045</v>
      </c>
      <c r="B1183" t="s">
        <v>3153</v>
      </c>
      <c r="F1183" t="s">
        <v>16</v>
      </c>
      <c r="G1183" t="s">
        <v>196</v>
      </c>
      <c r="H1183" t="s">
        <v>4211</v>
      </c>
      <c r="J1183">
        <v>924024034</v>
      </c>
      <c r="L1183" t="s">
        <v>4212</v>
      </c>
      <c r="M1183" t="s">
        <v>54</v>
      </c>
      <c r="N1183" t="s">
        <v>72</v>
      </c>
      <c r="O1183">
        <v>2006</v>
      </c>
    </row>
    <row r="1184" spans="1:17" x14ac:dyDescent="0.2">
      <c r="A1184">
        <f t="shared" si="18"/>
        <v>1709046</v>
      </c>
      <c r="B1184" t="s">
        <v>3154</v>
      </c>
      <c r="F1184" t="s">
        <v>16</v>
      </c>
      <c r="G1184" t="s">
        <v>303</v>
      </c>
      <c r="H1184" t="s">
        <v>4213</v>
      </c>
      <c r="I1184" t="s">
        <v>263</v>
      </c>
      <c r="J1184">
        <v>851568555</v>
      </c>
      <c r="L1184" t="s">
        <v>4214</v>
      </c>
      <c r="M1184" t="s">
        <v>47</v>
      </c>
      <c r="N1184" t="s">
        <v>106</v>
      </c>
      <c r="O1184">
        <v>2005</v>
      </c>
      <c r="P1184" t="s">
        <v>1120</v>
      </c>
    </row>
    <row r="1185" spans="1:17" x14ac:dyDescent="0.2">
      <c r="A1185">
        <f t="shared" si="18"/>
        <v>1709047</v>
      </c>
      <c r="B1185" t="s">
        <v>4228</v>
      </c>
      <c r="F1185" t="s">
        <v>16</v>
      </c>
      <c r="G1185" t="s">
        <v>196</v>
      </c>
      <c r="H1185" t="s">
        <v>4249</v>
      </c>
      <c r="I1185" t="s">
        <v>305</v>
      </c>
      <c r="J1185">
        <v>814805518</v>
      </c>
      <c r="K1185">
        <v>24018686</v>
      </c>
      <c r="L1185" t="s">
        <v>4250</v>
      </c>
      <c r="M1185" t="s">
        <v>47</v>
      </c>
      <c r="N1185" t="s">
        <v>51</v>
      </c>
      <c r="O1185">
        <v>2012</v>
      </c>
      <c r="P1185">
        <v>42999</v>
      </c>
      <c r="Q1185" t="s">
        <v>477</v>
      </c>
    </row>
    <row r="1186" spans="1:17" x14ac:dyDescent="0.2">
      <c r="A1186">
        <f t="shared" si="18"/>
        <v>1709048</v>
      </c>
      <c r="B1186" t="s">
        <v>4229</v>
      </c>
      <c r="F1186" t="s">
        <v>16</v>
      </c>
      <c r="G1186" t="s">
        <v>202</v>
      </c>
      <c r="H1186" t="s">
        <v>4251</v>
      </c>
      <c r="I1186" t="s">
        <v>263</v>
      </c>
      <c r="J1186">
        <v>899655665</v>
      </c>
      <c r="L1186" t="s">
        <v>4252</v>
      </c>
      <c r="M1186" t="s">
        <v>47</v>
      </c>
      <c r="N1186" t="s">
        <v>51</v>
      </c>
      <c r="O1186">
        <v>2006</v>
      </c>
      <c r="P1186">
        <v>43137</v>
      </c>
      <c r="Q1186" t="s">
        <v>217</v>
      </c>
    </row>
    <row r="1187" spans="1:17" x14ac:dyDescent="0.2">
      <c r="A1187">
        <f t="shared" si="18"/>
        <v>1709049</v>
      </c>
      <c r="B1187" t="s">
        <v>4230</v>
      </c>
      <c r="F1187" t="s">
        <v>16</v>
      </c>
      <c r="G1187" t="s">
        <v>207</v>
      </c>
      <c r="H1187" t="s">
        <v>4253</v>
      </c>
      <c r="I1187" t="s">
        <v>506</v>
      </c>
      <c r="L1187" t="s">
        <v>4254</v>
      </c>
      <c r="M1187" t="s">
        <v>126</v>
      </c>
      <c r="N1187" t="s">
        <v>3657</v>
      </c>
      <c r="O1187">
        <v>2011</v>
      </c>
      <c r="P1187">
        <v>43272</v>
      </c>
      <c r="Q1187" t="s">
        <v>454</v>
      </c>
    </row>
    <row r="1188" spans="1:17" x14ac:dyDescent="0.2">
      <c r="A1188">
        <f t="shared" si="18"/>
        <v>1709050</v>
      </c>
      <c r="B1188" t="s">
        <v>4231</v>
      </c>
      <c r="F1188" t="s">
        <v>16</v>
      </c>
      <c r="G1188" t="s">
        <v>231</v>
      </c>
      <c r="H1188" t="s">
        <v>4255</v>
      </c>
      <c r="I1188" t="s">
        <v>233</v>
      </c>
      <c r="J1188">
        <v>859168198</v>
      </c>
      <c r="L1188" t="s">
        <v>4256</v>
      </c>
      <c r="M1188" t="s">
        <v>54</v>
      </c>
      <c r="N1188" t="s">
        <v>134</v>
      </c>
      <c r="O1188">
        <v>2015</v>
      </c>
      <c r="P1188">
        <v>43305</v>
      </c>
      <c r="Q1188" t="s">
        <v>405</v>
      </c>
    </row>
    <row r="1189" spans="1:17" x14ac:dyDescent="0.2">
      <c r="A1189">
        <f t="shared" si="18"/>
        <v>1709051</v>
      </c>
      <c r="B1189" t="s">
        <v>4232</v>
      </c>
      <c r="F1189" t="s">
        <v>16</v>
      </c>
      <c r="G1189" t="s">
        <v>337</v>
      </c>
      <c r="H1189" t="s">
        <v>4257</v>
      </c>
      <c r="I1189" t="s">
        <v>1192</v>
      </c>
      <c r="J1189">
        <v>909890442</v>
      </c>
      <c r="L1189" t="s">
        <v>4258</v>
      </c>
      <c r="M1189" t="s">
        <v>42</v>
      </c>
      <c r="N1189" t="s">
        <v>84</v>
      </c>
      <c r="O1189">
        <v>2008</v>
      </c>
      <c r="P1189">
        <v>43232</v>
      </c>
      <c r="Q1189" t="s">
        <v>1069</v>
      </c>
    </row>
    <row r="1190" spans="1:17" x14ac:dyDescent="0.2">
      <c r="A1190">
        <f t="shared" si="18"/>
        <v>1709052</v>
      </c>
      <c r="B1190" t="s">
        <v>4233</v>
      </c>
      <c r="F1190" t="s">
        <v>16</v>
      </c>
      <c r="G1190" t="s">
        <v>337</v>
      </c>
      <c r="H1190" t="s">
        <v>4259</v>
      </c>
      <c r="J1190">
        <v>853705925</v>
      </c>
      <c r="K1190">
        <v>884959056</v>
      </c>
      <c r="L1190" t="s">
        <v>4260</v>
      </c>
      <c r="M1190" t="s">
        <v>47</v>
      </c>
      <c r="N1190" t="s">
        <v>106</v>
      </c>
      <c r="O1190">
        <v>2012</v>
      </c>
    </row>
    <row r="1191" spans="1:17" x14ac:dyDescent="0.2">
      <c r="A1191">
        <f t="shared" si="18"/>
        <v>1709053</v>
      </c>
      <c r="B1191" t="s">
        <v>4234</v>
      </c>
      <c r="F1191" t="s">
        <v>16</v>
      </c>
      <c r="G1191" t="s">
        <v>202</v>
      </c>
      <c r="H1191" t="s">
        <v>2006</v>
      </c>
      <c r="J1191">
        <v>944930087</v>
      </c>
      <c r="L1191" t="s">
        <v>2007</v>
      </c>
      <c r="M1191" t="s">
        <v>58</v>
      </c>
      <c r="N1191" t="s">
        <v>414</v>
      </c>
      <c r="O1191">
        <v>2008</v>
      </c>
      <c r="P1191">
        <v>42898</v>
      </c>
      <c r="Q1191" t="s">
        <v>1411</v>
      </c>
    </row>
    <row r="1192" spans="1:17" x14ac:dyDescent="0.2">
      <c r="A1192">
        <f t="shared" si="18"/>
        <v>1709054</v>
      </c>
      <c r="B1192" t="s">
        <v>4235</v>
      </c>
      <c r="F1192" t="s">
        <v>16</v>
      </c>
      <c r="G1192" t="s">
        <v>1729</v>
      </c>
      <c r="H1192" t="s">
        <v>3802</v>
      </c>
      <c r="J1192">
        <v>814421709</v>
      </c>
      <c r="L1192" t="s">
        <v>3803</v>
      </c>
      <c r="M1192" t="s">
        <v>87</v>
      </c>
      <c r="N1192">
        <v>2</v>
      </c>
      <c r="O1192">
        <v>2013</v>
      </c>
      <c r="P1192">
        <v>43214</v>
      </c>
      <c r="Q1192" t="s">
        <v>229</v>
      </c>
    </row>
    <row r="1193" spans="1:17" x14ac:dyDescent="0.2">
      <c r="A1193">
        <f t="shared" si="18"/>
        <v>1709055</v>
      </c>
      <c r="B1193" t="s">
        <v>4236</v>
      </c>
      <c r="F1193" t="s">
        <v>16</v>
      </c>
      <c r="G1193" t="s">
        <v>231</v>
      </c>
      <c r="H1193" t="s">
        <v>4261</v>
      </c>
      <c r="I1193" t="s">
        <v>1028</v>
      </c>
      <c r="J1193">
        <v>621978934</v>
      </c>
      <c r="L1193" t="s">
        <v>4262</v>
      </c>
      <c r="M1193" t="s">
        <v>42</v>
      </c>
      <c r="N1193" t="s">
        <v>43</v>
      </c>
      <c r="O1193">
        <v>2010</v>
      </c>
      <c r="P1193">
        <v>43136</v>
      </c>
      <c r="Q1193" t="s">
        <v>273</v>
      </c>
    </row>
    <row r="1194" spans="1:17" x14ac:dyDescent="0.2">
      <c r="A1194">
        <f t="shared" si="18"/>
        <v>1709056</v>
      </c>
      <c r="B1194" t="s">
        <v>4237</v>
      </c>
      <c r="F1194" t="s">
        <v>16</v>
      </c>
      <c r="G1194" t="s">
        <v>337</v>
      </c>
      <c r="H1194" t="s">
        <v>4263</v>
      </c>
      <c r="J1194">
        <v>915365344</v>
      </c>
      <c r="L1194" t="s">
        <v>4264</v>
      </c>
      <c r="M1194" t="s">
        <v>47</v>
      </c>
      <c r="N1194" t="s">
        <v>106</v>
      </c>
      <c r="O1194">
        <v>2010</v>
      </c>
    </row>
    <row r="1195" spans="1:17" x14ac:dyDescent="0.2">
      <c r="A1195">
        <f t="shared" si="18"/>
        <v>1709057</v>
      </c>
      <c r="B1195" t="s">
        <v>4238</v>
      </c>
      <c r="F1195" t="s">
        <v>16</v>
      </c>
      <c r="G1195" t="s">
        <v>225</v>
      </c>
      <c r="H1195" t="s">
        <v>799</v>
      </c>
      <c r="I1195" t="s">
        <v>286</v>
      </c>
      <c r="J1195">
        <v>818908396</v>
      </c>
      <c r="L1195" t="s">
        <v>801</v>
      </c>
      <c r="M1195" t="s">
        <v>42</v>
      </c>
      <c r="N1195" t="s">
        <v>75</v>
      </c>
      <c r="O1195">
        <v>2012</v>
      </c>
      <c r="P1195">
        <v>43249</v>
      </c>
      <c r="Q1195" t="s">
        <v>477</v>
      </c>
    </row>
    <row r="1196" spans="1:17" x14ac:dyDescent="0.2">
      <c r="A1196">
        <f t="shared" si="18"/>
        <v>1709058</v>
      </c>
      <c r="B1196" t="s">
        <v>4239</v>
      </c>
      <c r="F1196" t="s">
        <v>16</v>
      </c>
      <c r="G1196" t="s">
        <v>202</v>
      </c>
      <c r="H1196" t="s">
        <v>4265</v>
      </c>
      <c r="I1196" t="s">
        <v>286</v>
      </c>
      <c r="J1196">
        <v>895446676</v>
      </c>
      <c r="L1196" t="s">
        <v>4266</v>
      </c>
      <c r="M1196" t="s">
        <v>87</v>
      </c>
      <c r="N1196" t="s">
        <v>498</v>
      </c>
      <c r="O1196">
        <v>2013</v>
      </c>
      <c r="P1196">
        <v>43148</v>
      </c>
      <c r="Q1196" t="s">
        <v>564</v>
      </c>
    </row>
    <row r="1197" spans="1:17" x14ac:dyDescent="0.2">
      <c r="A1197">
        <f t="shared" si="18"/>
        <v>1709059</v>
      </c>
      <c r="B1197" t="s">
        <v>4240</v>
      </c>
      <c r="F1197" t="s">
        <v>16</v>
      </c>
      <c r="G1197" t="s">
        <v>337</v>
      </c>
      <c r="H1197" t="s">
        <v>4267</v>
      </c>
      <c r="I1197" t="s">
        <v>233</v>
      </c>
      <c r="J1197">
        <v>971699594</v>
      </c>
      <c r="K1197">
        <v>818468051</v>
      </c>
      <c r="L1197" t="s">
        <v>4268</v>
      </c>
      <c r="M1197" t="s">
        <v>47</v>
      </c>
      <c r="N1197" t="s">
        <v>209</v>
      </c>
      <c r="O1197">
        <v>2010</v>
      </c>
      <c r="P1197">
        <v>42940</v>
      </c>
      <c r="Q1197" t="s">
        <v>1758</v>
      </c>
    </row>
    <row r="1198" spans="1:17" x14ac:dyDescent="0.2">
      <c r="A1198">
        <f t="shared" si="18"/>
        <v>1709060</v>
      </c>
      <c r="B1198" t="s">
        <v>4241</v>
      </c>
      <c r="F1198" t="s">
        <v>16</v>
      </c>
      <c r="G1198" t="s">
        <v>337</v>
      </c>
      <c r="H1198" t="s">
        <v>4269</v>
      </c>
      <c r="J1198">
        <v>863662649</v>
      </c>
      <c r="L1198" t="s">
        <v>4270</v>
      </c>
      <c r="M1198" t="s">
        <v>54</v>
      </c>
      <c r="N1198" t="s">
        <v>72</v>
      </c>
      <c r="O1198">
        <v>2011</v>
      </c>
      <c r="P1198">
        <v>43039</v>
      </c>
      <c r="Q1198" t="s">
        <v>774</v>
      </c>
    </row>
    <row r="1199" spans="1:17" x14ac:dyDescent="0.2">
      <c r="A1199">
        <f t="shared" si="18"/>
        <v>1709061</v>
      </c>
      <c r="B1199" t="s">
        <v>4242</v>
      </c>
      <c r="F1199" t="s">
        <v>16</v>
      </c>
      <c r="G1199" t="s">
        <v>207</v>
      </c>
      <c r="H1199" t="s">
        <v>4271</v>
      </c>
      <c r="I1199" t="s">
        <v>254</v>
      </c>
      <c r="J1199">
        <v>833048865</v>
      </c>
      <c r="K1199">
        <v>800602274</v>
      </c>
      <c r="L1199" t="s">
        <v>4272</v>
      </c>
      <c r="M1199" t="s">
        <v>47</v>
      </c>
      <c r="N1199" t="s">
        <v>106</v>
      </c>
      <c r="O1199">
        <v>2012</v>
      </c>
    </row>
    <row r="1200" spans="1:17" x14ac:dyDescent="0.2">
      <c r="A1200">
        <f t="shared" si="18"/>
        <v>1709062</v>
      </c>
      <c r="B1200" t="s">
        <v>4243</v>
      </c>
      <c r="F1200" t="s">
        <v>16</v>
      </c>
      <c r="G1200" t="s">
        <v>207</v>
      </c>
      <c r="H1200" t="s">
        <v>4273</v>
      </c>
      <c r="I1200" t="s">
        <v>492</v>
      </c>
      <c r="J1200">
        <v>909931031</v>
      </c>
      <c r="L1200" t="s">
        <v>4274</v>
      </c>
      <c r="M1200" t="s">
        <v>42</v>
      </c>
      <c r="N1200" t="s">
        <v>884</v>
      </c>
      <c r="O1200">
        <v>2010</v>
      </c>
      <c r="P1200">
        <v>43076</v>
      </c>
      <c r="Q1200" t="s">
        <v>366</v>
      </c>
    </row>
    <row r="1201" spans="1:17" x14ac:dyDescent="0.2">
      <c r="A1201">
        <f t="shared" si="18"/>
        <v>1709063</v>
      </c>
      <c r="B1201" t="s">
        <v>4244</v>
      </c>
      <c r="F1201" t="s">
        <v>16</v>
      </c>
      <c r="G1201" t="s">
        <v>196</v>
      </c>
      <c r="H1201" t="s">
        <v>4275</v>
      </c>
      <c r="J1201">
        <v>847691562</v>
      </c>
      <c r="L1201" t="s">
        <v>4276</v>
      </c>
      <c r="M1201" t="s">
        <v>93</v>
      </c>
      <c r="N1201" t="s">
        <v>94</v>
      </c>
      <c r="O1201">
        <v>2013</v>
      </c>
    </row>
    <row r="1202" spans="1:17" x14ac:dyDescent="0.2">
      <c r="A1202">
        <f t="shared" si="18"/>
        <v>1709064</v>
      </c>
      <c r="B1202" t="s">
        <v>4245</v>
      </c>
      <c r="F1202" t="s">
        <v>16</v>
      </c>
      <c r="G1202" t="s">
        <v>196</v>
      </c>
      <c r="H1202" t="s">
        <v>4277</v>
      </c>
      <c r="I1202" t="s">
        <v>267</v>
      </c>
      <c r="J1202">
        <v>851810052</v>
      </c>
      <c r="L1202" t="s">
        <v>4278</v>
      </c>
      <c r="M1202" t="s">
        <v>47</v>
      </c>
      <c r="N1202" t="s">
        <v>51</v>
      </c>
      <c r="O1202">
        <v>2014</v>
      </c>
    </row>
    <row r="1203" spans="1:17" x14ac:dyDescent="0.2">
      <c r="A1203">
        <f t="shared" si="18"/>
        <v>1709065</v>
      </c>
      <c r="B1203" t="s">
        <v>4246</v>
      </c>
      <c r="F1203" t="s">
        <v>16</v>
      </c>
      <c r="G1203" t="s">
        <v>207</v>
      </c>
      <c r="H1203" t="s">
        <v>4279</v>
      </c>
      <c r="I1203" t="s">
        <v>263</v>
      </c>
      <c r="J1203">
        <v>631641884</v>
      </c>
      <c r="L1203" t="s">
        <v>4280</v>
      </c>
      <c r="M1203" t="s">
        <v>58</v>
      </c>
      <c r="N1203" t="s">
        <v>414</v>
      </c>
      <c r="O1203">
        <v>2013</v>
      </c>
    </row>
    <row r="1204" spans="1:17" x14ac:dyDescent="0.2">
      <c r="A1204">
        <f t="shared" si="18"/>
        <v>1709066</v>
      </c>
      <c r="B1204" t="s">
        <v>4247</v>
      </c>
      <c r="F1204" t="s">
        <v>16</v>
      </c>
      <c r="G1204" t="s">
        <v>40</v>
      </c>
      <c r="H1204" t="s">
        <v>4281</v>
      </c>
      <c r="L1204" t="s">
        <v>4282</v>
      </c>
      <c r="M1204" t="s">
        <v>93</v>
      </c>
      <c r="N1204" t="s">
        <v>94</v>
      </c>
    </row>
    <row r="1205" spans="1:17" x14ac:dyDescent="0.2">
      <c r="A1205">
        <f t="shared" si="18"/>
        <v>1709067</v>
      </c>
      <c r="B1205" t="s">
        <v>4248</v>
      </c>
      <c r="F1205" t="s">
        <v>159</v>
      </c>
      <c r="G1205" t="s">
        <v>40</v>
      </c>
      <c r="L1205" t="s">
        <v>4283</v>
      </c>
      <c r="M1205" t="s">
        <v>126</v>
      </c>
      <c r="N1205" t="s">
        <v>3657</v>
      </c>
    </row>
    <row r="1206" spans="1:17" x14ac:dyDescent="0.2">
      <c r="A1206">
        <f t="shared" si="18"/>
        <v>1709068</v>
      </c>
      <c r="B1206" t="s">
        <v>4284</v>
      </c>
      <c r="F1206" t="s">
        <v>16</v>
      </c>
      <c r="G1206" t="s">
        <v>207</v>
      </c>
      <c r="H1206" t="s">
        <v>4287</v>
      </c>
      <c r="J1206">
        <v>972145469</v>
      </c>
      <c r="L1206" t="s">
        <v>4288</v>
      </c>
      <c r="M1206" t="s">
        <v>58</v>
      </c>
      <c r="N1206" t="s">
        <v>414</v>
      </c>
    </row>
    <row r="1207" spans="1:17" x14ac:dyDescent="0.2">
      <c r="A1207">
        <f t="shared" si="18"/>
        <v>1709069</v>
      </c>
      <c r="B1207" t="s">
        <v>4285</v>
      </c>
      <c r="F1207" t="s">
        <v>16</v>
      </c>
      <c r="G1207" t="s">
        <v>337</v>
      </c>
      <c r="H1207" t="s">
        <v>4289</v>
      </c>
      <c r="I1207" t="s">
        <v>3223</v>
      </c>
      <c r="J1207">
        <v>864749746</v>
      </c>
      <c r="L1207" t="s">
        <v>4290</v>
      </c>
      <c r="M1207" t="s">
        <v>42</v>
      </c>
      <c r="N1207" t="s">
        <v>884</v>
      </c>
      <c r="O1207">
        <v>2010</v>
      </c>
    </row>
    <row r="1208" spans="1:17" x14ac:dyDescent="0.2">
      <c r="A1208">
        <f t="shared" si="18"/>
        <v>1709070</v>
      </c>
      <c r="B1208" t="s">
        <v>4286</v>
      </c>
      <c r="F1208" t="s">
        <v>16</v>
      </c>
      <c r="G1208" t="s">
        <v>196</v>
      </c>
      <c r="H1208" t="s">
        <v>4291</v>
      </c>
      <c r="I1208" t="s">
        <v>263</v>
      </c>
      <c r="J1208">
        <v>945051931</v>
      </c>
      <c r="L1208" t="s">
        <v>4292</v>
      </c>
      <c r="M1208" t="s">
        <v>47</v>
      </c>
      <c r="N1208" t="s">
        <v>106</v>
      </c>
      <c r="O1208">
        <v>2008</v>
      </c>
      <c r="P1208">
        <v>43201</v>
      </c>
      <c r="Q1208" t="s">
        <v>229</v>
      </c>
    </row>
    <row r="1209" spans="1:17" x14ac:dyDescent="0.2">
      <c r="A1209">
        <f t="shared" si="18"/>
        <v>1709071</v>
      </c>
      <c r="B1209" t="s">
        <v>4308</v>
      </c>
      <c r="F1209" t="s">
        <v>159</v>
      </c>
      <c r="G1209" t="s">
        <v>40</v>
      </c>
      <c r="H1209" t="s">
        <v>4344</v>
      </c>
      <c r="I1209" t="s">
        <v>233</v>
      </c>
      <c r="J1209">
        <v>894928725</v>
      </c>
      <c r="L1209" t="s">
        <v>4345</v>
      </c>
      <c r="M1209" t="s">
        <v>47</v>
      </c>
      <c r="N1209" t="s">
        <v>48</v>
      </c>
      <c r="O1209">
        <v>2004</v>
      </c>
    </row>
    <row r="1210" spans="1:17" x14ac:dyDescent="0.2">
      <c r="A1210">
        <f t="shared" si="18"/>
        <v>1709072</v>
      </c>
      <c r="B1210" t="s">
        <v>4309</v>
      </c>
      <c r="F1210" t="s">
        <v>16</v>
      </c>
      <c r="G1210" t="s">
        <v>207</v>
      </c>
      <c r="H1210" t="s">
        <v>4346</v>
      </c>
      <c r="I1210" t="s">
        <v>286</v>
      </c>
      <c r="J1210">
        <v>835481413</v>
      </c>
      <c r="L1210" t="s">
        <v>4347</v>
      </c>
      <c r="M1210" t="s">
        <v>47</v>
      </c>
      <c r="N1210" t="s">
        <v>4348</v>
      </c>
      <c r="O1210">
        <v>2004</v>
      </c>
      <c r="P1210">
        <v>43296</v>
      </c>
      <c r="Q1210" t="s">
        <v>1863</v>
      </c>
    </row>
    <row r="1211" spans="1:17" x14ac:dyDescent="0.2">
      <c r="A1211">
        <f t="shared" si="18"/>
        <v>1709073</v>
      </c>
      <c r="B1211" t="s">
        <v>4310</v>
      </c>
      <c r="F1211" t="s">
        <v>16</v>
      </c>
      <c r="G1211" t="s">
        <v>202</v>
      </c>
      <c r="H1211" t="s">
        <v>4349</v>
      </c>
      <c r="J1211">
        <v>890036067</v>
      </c>
      <c r="L1211" t="s">
        <v>4350</v>
      </c>
      <c r="M1211" t="s">
        <v>47</v>
      </c>
      <c r="N1211" t="s">
        <v>78</v>
      </c>
      <c r="O1211">
        <v>2005</v>
      </c>
    </row>
    <row r="1212" spans="1:17" x14ac:dyDescent="0.2">
      <c r="A1212">
        <f t="shared" si="18"/>
        <v>1709074</v>
      </c>
      <c r="B1212" t="s">
        <v>4311</v>
      </c>
      <c r="F1212" t="s">
        <v>16</v>
      </c>
      <c r="G1212" t="s">
        <v>225</v>
      </c>
      <c r="H1212" t="s">
        <v>4351</v>
      </c>
      <c r="I1212" t="s">
        <v>305</v>
      </c>
      <c r="J1212">
        <v>818228587</v>
      </c>
      <c r="L1212" t="s">
        <v>4352</v>
      </c>
      <c r="M1212" t="s">
        <v>47</v>
      </c>
    </row>
    <row r="1213" spans="1:17" x14ac:dyDescent="0.2">
      <c r="A1213">
        <f t="shared" si="18"/>
        <v>1709075</v>
      </c>
      <c r="B1213" t="s">
        <v>4312</v>
      </c>
      <c r="F1213" t="s">
        <v>16</v>
      </c>
      <c r="G1213" t="s">
        <v>303</v>
      </c>
      <c r="H1213" t="s">
        <v>4353</v>
      </c>
      <c r="I1213" t="s">
        <v>286</v>
      </c>
      <c r="J1213">
        <v>815594926</v>
      </c>
      <c r="L1213" t="s">
        <v>4354</v>
      </c>
      <c r="M1213" t="s">
        <v>47</v>
      </c>
      <c r="N1213" t="s">
        <v>106</v>
      </c>
      <c r="O1213">
        <v>2011</v>
      </c>
      <c r="P1213">
        <v>43168</v>
      </c>
      <c r="Q1213" t="s">
        <v>419</v>
      </c>
    </row>
    <row r="1214" spans="1:17" x14ac:dyDescent="0.2">
      <c r="A1214">
        <f t="shared" si="18"/>
        <v>1709076</v>
      </c>
      <c r="B1214" t="s">
        <v>4313</v>
      </c>
      <c r="F1214" t="s">
        <v>16</v>
      </c>
      <c r="G1214" t="s">
        <v>207</v>
      </c>
      <c r="H1214" t="s">
        <v>4355</v>
      </c>
      <c r="I1214" t="s">
        <v>233</v>
      </c>
      <c r="J1214">
        <v>899627163</v>
      </c>
      <c r="L1214" t="s">
        <v>4356</v>
      </c>
      <c r="M1214" t="s">
        <v>58</v>
      </c>
      <c r="N1214" t="s">
        <v>414</v>
      </c>
      <c r="O1214">
        <v>2013</v>
      </c>
    </row>
    <row r="1215" spans="1:17" x14ac:dyDescent="0.2">
      <c r="A1215">
        <f t="shared" si="18"/>
        <v>1709077</v>
      </c>
      <c r="B1215" t="s">
        <v>4314</v>
      </c>
      <c r="F1215" t="s">
        <v>16</v>
      </c>
      <c r="G1215" t="s">
        <v>207</v>
      </c>
      <c r="H1215" t="s">
        <v>4357</v>
      </c>
      <c r="I1215" t="s">
        <v>4358</v>
      </c>
      <c r="J1215">
        <v>892061085</v>
      </c>
      <c r="L1215" t="s">
        <v>4359</v>
      </c>
      <c r="M1215" t="s">
        <v>58</v>
      </c>
      <c r="N1215" t="s">
        <v>435</v>
      </c>
      <c r="O1215">
        <v>2012</v>
      </c>
      <c r="P1215">
        <v>43033</v>
      </c>
      <c r="Q1215" t="s">
        <v>564</v>
      </c>
    </row>
    <row r="1216" spans="1:17" x14ac:dyDescent="0.2">
      <c r="A1216">
        <f t="shared" si="18"/>
        <v>1709078</v>
      </c>
      <c r="B1216" t="s">
        <v>4315</v>
      </c>
      <c r="F1216" t="s">
        <v>16</v>
      </c>
      <c r="G1216" t="s">
        <v>207</v>
      </c>
      <c r="H1216" t="s">
        <v>4360</v>
      </c>
      <c r="I1216" t="s">
        <v>305</v>
      </c>
      <c r="J1216">
        <v>815523757</v>
      </c>
      <c r="L1216" t="s">
        <v>4361</v>
      </c>
      <c r="M1216" t="s">
        <v>47</v>
      </c>
      <c r="P1216">
        <v>43275</v>
      </c>
      <c r="Q1216" t="s">
        <v>1863</v>
      </c>
    </row>
    <row r="1217" spans="1:17" x14ac:dyDescent="0.2">
      <c r="A1217">
        <f t="shared" si="18"/>
        <v>1709079</v>
      </c>
      <c r="B1217" t="s">
        <v>4316</v>
      </c>
      <c r="F1217" t="s">
        <v>16</v>
      </c>
      <c r="G1217" t="s">
        <v>303</v>
      </c>
      <c r="H1217" t="s">
        <v>4362</v>
      </c>
      <c r="I1217" t="s">
        <v>243</v>
      </c>
      <c r="J1217">
        <v>894045495</v>
      </c>
      <c r="L1217" t="s">
        <v>4363</v>
      </c>
      <c r="M1217" t="s">
        <v>58</v>
      </c>
      <c r="N1217" t="s">
        <v>414</v>
      </c>
      <c r="O1217">
        <v>2011</v>
      </c>
      <c r="P1217">
        <v>43370</v>
      </c>
      <c r="Q1217" t="s">
        <v>531</v>
      </c>
    </row>
    <row r="1218" spans="1:17" x14ac:dyDescent="0.2">
      <c r="A1218">
        <f t="shared" si="18"/>
        <v>1709080</v>
      </c>
      <c r="B1218" t="s">
        <v>4317</v>
      </c>
      <c r="F1218" t="s">
        <v>16</v>
      </c>
      <c r="G1218" t="s">
        <v>207</v>
      </c>
      <c r="H1218" t="s">
        <v>3499</v>
      </c>
      <c r="I1218" t="s">
        <v>625</v>
      </c>
      <c r="J1218">
        <v>868199479</v>
      </c>
      <c r="L1218" t="s">
        <v>3500</v>
      </c>
      <c r="M1218" t="s">
        <v>47</v>
      </c>
      <c r="N1218" t="s">
        <v>4364</v>
      </c>
      <c r="O1218">
        <v>2014</v>
      </c>
    </row>
    <row r="1219" spans="1:17" x14ac:dyDescent="0.2">
      <c r="A1219">
        <f t="shared" si="18"/>
        <v>1709081</v>
      </c>
      <c r="B1219" t="s">
        <v>4318</v>
      </c>
      <c r="F1219" t="s">
        <v>16</v>
      </c>
      <c r="G1219" t="s">
        <v>231</v>
      </c>
      <c r="H1219" t="s">
        <v>4365</v>
      </c>
      <c r="I1219" t="s">
        <v>233</v>
      </c>
      <c r="J1219">
        <v>971542299</v>
      </c>
      <c r="L1219" t="s">
        <v>4366</v>
      </c>
      <c r="M1219" t="s">
        <v>47</v>
      </c>
      <c r="N1219" t="s">
        <v>209</v>
      </c>
      <c r="O1219">
        <v>2010</v>
      </c>
      <c r="P1219">
        <v>43011</v>
      </c>
      <c r="Q1219" t="s">
        <v>1042</v>
      </c>
    </row>
    <row r="1220" spans="1:17" x14ac:dyDescent="0.2">
      <c r="A1220">
        <f t="shared" ref="A1220:A1283" si="19">VALUE(B1220)</f>
        <v>1709082</v>
      </c>
      <c r="B1220" t="s">
        <v>4319</v>
      </c>
      <c r="F1220" t="s">
        <v>16</v>
      </c>
      <c r="G1220" t="s">
        <v>196</v>
      </c>
      <c r="H1220" t="s">
        <v>4367</v>
      </c>
      <c r="I1220" t="s">
        <v>286</v>
      </c>
      <c r="J1220">
        <v>897916542</v>
      </c>
      <c r="L1220" t="s">
        <v>4368</v>
      </c>
      <c r="M1220" t="s">
        <v>47</v>
      </c>
      <c r="N1220" t="s">
        <v>78</v>
      </c>
      <c r="O1220">
        <v>2010</v>
      </c>
      <c r="P1220">
        <v>43006</v>
      </c>
      <c r="Q1220" t="s">
        <v>4369</v>
      </c>
    </row>
    <row r="1221" spans="1:17" x14ac:dyDescent="0.2">
      <c r="A1221">
        <f t="shared" si="19"/>
        <v>1709083</v>
      </c>
      <c r="B1221" t="s">
        <v>4320</v>
      </c>
      <c r="F1221" t="s">
        <v>16</v>
      </c>
      <c r="G1221" t="s">
        <v>202</v>
      </c>
      <c r="H1221" t="s">
        <v>4370</v>
      </c>
      <c r="I1221" t="s">
        <v>233</v>
      </c>
      <c r="J1221">
        <v>831222271</v>
      </c>
      <c r="L1221" t="s">
        <v>4371</v>
      </c>
      <c r="M1221" t="s">
        <v>47</v>
      </c>
      <c r="N1221" t="s">
        <v>106</v>
      </c>
      <c r="O1221">
        <v>2006</v>
      </c>
      <c r="P1221">
        <v>43090</v>
      </c>
      <c r="Q1221">
        <v>2100000</v>
      </c>
    </row>
    <row r="1222" spans="1:17" x14ac:dyDescent="0.2">
      <c r="A1222">
        <f t="shared" si="19"/>
        <v>1709084</v>
      </c>
      <c r="B1222" t="s">
        <v>4321</v>
      </c>
      <c r="F1222" t="s">
        <v>16</v>
      </c>
      <c r="G1222" t="s">
        <v>207</v>
      </c>
      <c r="H1222" t="s">
        <v>4372</v>
      </c>
      <c r="I1222" t="s">
        <v>625</v>
      </c>
      <c r="J1222">
        <v>984046499</v>
      </c>
      <c r="L1222" t="s">
        <v>4373</v>
      </c>
      <c r="M1222" t="s">
        <v>47</v>
      </c>
      <c r="N1222" t="s">
        <v>51</v>
      </c>
      <c r="O1222">
        <v>2009</v>
      </c>
      <c r="P1222">
        <v>43326</v>
      </c>
      <c r="Q1222" t="s">
        <v>217</v>
      </c>
    </row>
    <row r="1223" spans="1:17" x14ac:dyDescent="0.2">
      <c r="A1223">
        <f t="shared" si="19"/>
        <v>1709085</v>
      </c>
      <c r="B1223" t="s">
        <v>4322</v>
      </c>
      <c r="F1223" t="s">
        <v>16</v>
      </c>
      <c r="G1223" t="s">
        <v>225</v>
      </c>
      <c r="H1223" t="s">
        <v>4374</v>
      </c>
      <c r="J1223">
        <v>909075377</v>
      </c>
      <c r="L1223" t="s">
        <v>4375</v>
      </c>
      <c r="M1223" t="s">
        <v>58</v>
      </c>
      <c r="N1223" t="s">
        <v>414</v>
      </c>
      <c r="O1223">
        <v>2008</v>
      </c>
      <c r="P1223">
        <v>43070</v>
      </c>
      <c r="Q1223" t="s">
        <v>335</v>
      </c>
    </row>
    <row r="1224" spans="1:17" x14ac:dyDescent="0.2">
      <c r="A1224">
        <f t="shared" si="19"/>
        <v>1709086</v>
      </c>
      <c r="B1224" t="s">
        <v>4323</v>
      </c>
      <c r="F1224" t="s">
        <v>16</v>
      </c>
      <c r="G1224" t="s">
        <v>207</v>
      </c>
      <c r="H1224" t="s">
        <v>4376</v>
      </c>
      <c r="J1224">
        <v>943374097</v>
      </c>
      <c r="L1224" t="s">
        <v>4377</v>
      </c>
      <c r="M1224" t="s">
        <v>47</v>
      </c>
      <c r="N1224" t="s">
        <v>51</v>
      </c>
      <c r="O1224">
        <v>2011</v>
      </c>
    </row>
    <row r="1225" spans="1:17" x14ac:dyDescent="0.2">
      <c r="A1225">
        <f t="shared" si="19"/>
        <v>1709087</v>
      </c>
      <c r="B1225" t="s">
        <v>4324</v>
      </c>
      <c r="F1225" t="s">
        <v>16</v>
      </c>
      <c r="G1225" t="s">
        <v>220</v>
      </c>
      <c r="H1225" t="s">
        <v>4378</v>
      </c>
      <c r="I1225" t="s">
        <v>4379</v>
      </c>
      <c r="J1225">
        <v>815165465</v>
      </c>
      <c r="K1225">
        <v>815145264</v>
      </c>
      <c r="L1225" t="s">
        <v>4380</v>
      </c>
      <c r="M1225" t="s">
        <v>42</v>
      </c>
      <c r="N1225" t="s">
        <v>75</v>
      </c>
      <c r="O1225">
        <v>2008</v>
      </c>
      <c r="P1225">
        <v>43039</v>
      </c>
      <c r="Q1225" t="s">
        <v>909</v>
      </c>
    </row>
    <row r="1226" spans="1:17" x14ac:dyDescent="0.2">
      <c r="A1226">
        <f t="shared" si="19"/>
        <v>1709088</v>
      </c>
      <c r="B1226" t="s">
        <v>4325</v>
      </c>
      <c r="F1226" t="s">
        <v>16</v>
      </c>
      <c r="G1226" t="s">
        <v>337</v>
      </c>
      <c r="H1226" t="s">
        <v>4381</v>
      </c>
      <c r="J1226">
        <v>863838429</v>
      </c>
      <c r="L1226" t="s">
        <v>4382</v>
      </c>
      <c r="M1226" t="s">
        <v>42</v>
      </c>
      <c r="N1226" t="s">
        <v>84</v>
      </c>
      <c r="O1226">
        <v>2010</v>
      </c>
      <c r="P1226">
        <v>43170</v>
      </c>
      <c r="Q1226" t="s">
        <v>251</v>
      </c>
    </row>
    <row r="1227" spans="1:17" x14ac:dyDescent="0.2">
      <c r="A1227">
        <f t="shared" si="19"/>
        <v>1709089</v>
      </c>
      <c r="B1227" t="s">
        <v>4326</v>
      </c>
      <c r="F1227" t="s">
        <v>16</v>
      </c>
      <c r="G1227" t="s">
        <v>225</v>
      </c>
      <c r="H1227" t="s">
        <v>4383</v>
      </c>
      <c r="I1227" t="s">
        <v>4384</v>
      </c>
      <c r="J1227">
        <v>892004048</v>
      </c>
      <c r="L1227" t="s">
        <v>4385</v>
      </c>
      <c r="M1227" t="s">
        <v>109</v>
      </c>
      <c r="N1227" t="s">
        <v>4386</v>
      </c>
      <c r="O1227">
        <v>2013</v>
      </c>
      <c r="P1227">
        <v>43109</v>
      </c>
      <c r="Q1227" t="s">
        <v>341</v>
      </c>
    </row>
    <row r="1228" spans="1:17" x14ac:dyDescent="0.2">
      <c r="A1228">
        <f t="shared" si="19"/>
        <v>1709090</v>
      </c>
      <c r="B1228" t="s">
        <v>4327</v>
      </c>
      <c r="F1228" t="s">
        <v>16</v>
      </c>
      <c r="G1228" t="s">
        <v>207</v>
      </c>
      <c r="H1228" t="s">
        <v>4387</v>
      </c>
      <c r="I1228" t="s">
        <v>1192</v>
      </c>
      <c r="J1228">
        <v>818142343</v>
      </c>
      <c r="L1228" t="s">
        <v>4388</v>
      </c>
      <c r="M1228" t="s">
        <v>109</v>
      </c>
    </row>
    <row r="1229" spans="1:17" x14ac:dyDescent="0.2">
      <c r="A1229">
        <f t="shared" si="19"/>
        <v>1709091</v>
      </c>
      <c r="B1229" t="s">
        <v>4328</v>
      </c>
      <c r="F1229" t="s">
        <v>16</v>
      </c>
      <c r="G1229" t="s">
        <v>225</v>
      </c>
      <c r="H1229" t="s">
        <v>4389</v>
      </c>
      <c r="I1229" t="s">
        <v>243</v>
      </c>
      <c r="J1229">
        <v>819288796</v>
      </c>
      <c r="L1229" t="s">
        <v>4390</v>
      </c>
      <c r="M1229" t="s">
        <v>58</v>
      </c>
      <c r="N1229" t="s">
        <v>414</v>
      </c>
      <c r="O1229">
        <v>2008</v>
      </c>
    </row>
    <row r="1230" spans="1:17" x14ac:dyDescent="0.2">
      <c r="A1230">
        <f t="shared" si="19"/>
        <v>1709092</v>
      </c>
      <c r="B1230" t="s">
        <v>4329</v>
      </c>
      <c r="F1230" t="s">
        <v>16</v>
      </c>
      <c r="G1230" t="s">
        <v>207</v>
      </c>
      <c r="H1230" t="s">
        <v>4391</v>
      </c>
      <c r="I1230" t="s">
        <v>263</v>
      </c>
      <c r="J1230">
        <v>935978383</v>
      </c>
      <c r="L1230" t="s">
        <v>4392</v>
      </c>
      <c r="M1230" t="s">
        <v>42</v>
      </c>
      <c r="N1230" t="s">
        <v>884</v>
      </c>
      <c r="O1230">
        <v>2014</v>
      </c>
      <c r="P1230">
        <v>43371</v>
      </c>
      <c r="Q1230" t="s">
        <v>4393</v>
      </c>
    </row>
    <row r="1231" spans="1:17" x14ac:dyDescent="0.2">
      <c r="A1231">
        <f t="shared" si="19"/>
        <v>1709093</v>
      </c>
      <c r="B1231" t="s">
        <v>4330</v>
      </c>
      <c r="F1231" t="s">
        <v>16</v>
      </c>
      <c r="G1231" t="s">
        <v>337</v>
      </c>
      <c r="H1231" t="s">
        <v>4394</v>
      </c>
      <c r="I1231" t="s">
        <v>3568</v>
      </c>
      <c r="J1231">
        <v>816341597</v>
      </c>
      <c r="L1231" t="s">
        <v>4395</v>
      </c>
      <c r="M1231" t="s">
        <v>47</v>
      </c>
      <c r="N1231" t="s">
        <v>78</v>
      </c>
      <c r="O1231">
        <v>2013</v>
      </c>
      <c r="P1231">
        <v>43134</v>
      </c>
      <c r="Q1231" t="s">
        <v>4396</v>
      </c>
    </row>
    <row r="1232" spans="1:17" x14ac:dyDescent="0.2">
      <c r="A1232">
        <f t="shared" si="19"/>
        <v>1709094</v>
      </c>
      <c r="B1232" t="s">
        <v>4331</v>
      </c>
      <c r="F1232" t="s">
        <v>16</v>
      </c>
      <c r="G1232" t="s">
        <v>207</v>
      </c>
      <c r="H1232" t="s">
        <v>4397</v>
      </c>
      <c r="J1232">
        <v>867837392</v>
      </c>
      <c r="L1232" t="s">
        <v>4398</v>
      </c>
      <c r="M1232" t="s">
        <v>58</v>
      </c>
      <c r="N1232" t="s">
        <v>414</v>
      </c>
      <c r="O1232">
        <v>2013</v>
      </c>
    </row>
    <row r="1233" spans="1:17" x14ac:dyDescent="0.2">
      <c r="A1233">
        <f t="shared" si="19"/>
        <v>1709095</v>
      </c>
      <c r="B1233" t="s">
        <v>4332</v>
      </c>
      <c r="F1233" t="s">
        <v>16</v>
      </c>
      <c r="G1233" t="s">
        <v>207</v>
      </c>
      <c r="H1233" t="s">
        <v>3346</v>
      </c>
      <c r="I1233" t="s">
        <v>263</v>
      </c>
      <c r="J1233">
        <v>970861777</v>
      </c>
      <c r="L1233" t="s">
        <v>3347</v>
      </c>
      <c r="M1233" t="s">
        <v>47</v>
      </c>
      <c r="N1233" t="s">
        <v>51</v>
      </c>
      <c r="O1233">
        <v>2005</v>
      </c>
    </row>
    <row r="1234" spans="1:17" x14ac:dyDescent="0.2">
      <c r="A1234">
        <f t="shared" si="19"/>
        <v>1709096</v>
      </c>
      <c r="B1234" t="s">
        <v>4333</v>
      </c>
      <c r="F1234" t="s">
        <v>16</v>
      </c>
      <c r="G1234" t="s">
        <v>196</v>
      </c>
      <c r="H1234" t="s">
        <v>4399</v>
      </c>
      <c r="I1234" t="s">
        <v>305</v>
      </c>
      <c r="J1234">
        <v>875039343</v>
      </c>
      <c r="L1234" t="s">
        <v>4400</v>
      </c>
      <c r="M1234" t="s">
        <v>47</v>
      </c>
      <c r="N1234" t="s">
        <v>51</v>
      </c>
      <c r="O1234">
        <v>2013</v>
      </c>
      <c r="P1234">
        <v>43154</v>
      </c>
      <c r="Q1234" t="s">
        <v>540</v>
      </c>
    </row>
    <row r="1235" spans="1:17" x14ac:dyDescent="0.2">
      <c r="A1235">
        <f t="shared" si="19"/>
        <v>1710001</v>
      </c>
      <c r="B1235" t="s">
        <v>4334</v>
      </c>
      <c r="F1235" t="s">
        <v>16</v>
      </c>
      <c r="G1235" t="s">
        <v>202</v>
      </c>
      <c r="H1235" t="s">
        <v>2205</v>
      </c>
      <c r="J1235">
        <v>844827321</v>
      </c>
      <c r="L1235" t="s">
        <v>2206</v>
      </c>
      <c r="M1235" t="s">
        <v>42</v>
      </c>
      <c r="N1235" t="s">
        <v>84</v>
      </c>
      <c r="O1235">
        <v>2010</v>
      </c>
    </row>
    <row r="1236" spans="1:17" x14ac:dyDescent="0.2">
      <c r="A1236">
        <f t="shared" si="19"/>
        <v>1710002</v>
      </c>
      <c r="B1236" t="s">
        <v>4335</v>
      </c>
      <c r="F1236" t="s">
        <v>16</v>
      </c>
      <c r="G1236" t="s">
        <v>337</v>
      </c>
      <c r="H1236" t="s">
        <v>4401</v>
      </c>
      <c r="I1236" t="s">
        <v>4402</v>
      </c>
      <c r="J1236">
        <v>814498893</v>
      </c>
      <c r="L1236" t="s">
        <v>4403</v>
      </c>
      <c r="M1236" t="s">
        <v>42</v>
      </c>
      <c r="N1236" t="s">
        <v>84</v>
      </c>
      <c r="O1236">
        <v>2007</v>
      </c>
      <c r="P1236">
        <v>43247</v>
      </c>
      <c r="Q1236" t="s">
        <v>477</v>
      </c>
    </row>
    <row r="1237" spans="1:17" x14ac:dyDescent="0.2">
      <c r="A1237">
        <f t="shared" si="19"/>
        <v>1710003</v>
      </c>
      <c r="B1237" t="s">
        <v>4336</v>
      </c>
      <c r="F1237" t="s">
        <v>16</v>
      </c>
      <c r="G1237" t="s">
        <v>207</v>
      </c>
      <c r="H1237" t="s">
        <v>4404</v>
      </c>
      <c r="I1237" t="s">
        <v>506</v>
      </c>
      <c r="J1237">
        <v>815100454</v>
      </c>
      <c r="K1237">
        <v>27036936</v>
      </c>
      <c r="L1237" t="s">
        <v>4405</v>
      </c>
      <c r="M1237" t="s">
        <v>58</v>
      </c>
      <c r="N1237" t="s">
        <v>717</v>
      </c>
      <c r="O1237">
        <v>2015</v>
      </c>
      <c r="P1237">
        <v>43313</v>
      </c>
      <c r="Q1237" t="s">
        <v>499</v>
      </c>
    </row>
    <row r="1238" spans="1:17" x14ac:dyDescent="0.2">
      <c r="A1238">
        <f t="shared" si="19"/>
        <v>1710004</v>
      </c>
      <c r="B1238" t="s">
        <v>4337</v>
      </c>
      <c r="F1238" t="s">
        <v>16</v>
      </c>
      <c r="G1238" t="s">
        <v>225</v>
      </c>
      <c r="H1238" t="s">
        <v>4406</v>
      </c>
      <c r="I1238" t="s">
        <v>222</v>
      </c>
      <c r="J1238">
        <v>882916873</v>
      </c>
      <c r="L1238" t="s">
        <v>4407</v>
      </c>
      <c r="M1238" t="s">
        <v>47</v>
      </c>
      <c r="N1238" t="s">
        <v>48</v>
      </c>
      <c r="O1238">
        <v>2004</v>
      </c>
      <c r="P1238">
        <v>43225</v>
      </c>
      <c r="Q1238" t="s">
        <v>217</v>
      </c>
    </row>
    <row r="1239" spans="1:17" x14ac:dyDescent="0.2">
      <c r="A1239">
        <f t="shared" si="19"/>
        <v>1710005</v>
      </c>
      <c r="B1239" t="s">
        <v>4338</v>
      </c>
      <c r="F1239" t="s">
        <v>16</v>
      </c>
      <c r="G1239" t="s">
        <v>202</v>
      </c>
      <c r="H1239" t="s">
        <v>4408</v>
      </c>
      <c r="J1239">
        <v>896942934</v>
      </c>
      <c r="L1239" t="s">
        <v>4409</v>
      </c>
      <c r="M1239" t="s">
        <v>58</v>
      </c>
      <c r="N1239" t="s">
        <v>414</v>
      </c>
    </row>
    <row r="1240" spans="1:17" x14ac:dyDescent="0.2">
      <c r="A1240">
        <f t="shared" si="19"/>
        <v>1710006</v>
      </c>
      <c r="B1240" t="s">
        <v>4339</v>
      </c>
      <c r="F1240" t="s">
        <v>16</v>
      </c>
      <c r="G1240" t="s">
        <v>207</v>
      </c>
      <c r="H1240" t="s">
        <v>4410</v>
      </c>
      <c r="I1240" t="s">
        <v>222</v>
      </c>
      <c r="J1240">
        <v>27563982</v>
      </c>
      <c r="L1240" t="s">
        <v>4411</v>
      </c>
      <c r="M1240" t="s">
        <v>42</v>
      </c>
      <c r="N1240" t="s">
        <v>43</v>
      </c>
      <c r="O1240">
        <v>2006</v>
      </c>
      <c r="P1240">
        <v>43327</v>
      </c>
      <c r="Q1240" t="s">
        <v>246</v>
      </c>
    </row>
    <row r="1241" spans="1:17" x14ac:dyDescent="0.2">
      <c r="A1241" t="e">
        <f t="shared" si="19"/>
        <v>#VALUE!</v>
      </c>
      <c r="B1241" t="s">
        <v>40</v>
      </c>
    </row>
    <row r="1242" spans="1:17" x14ac:dyDescent="0.2">
      <c r="A1242" t="e">
        <f t="shared" si="19"/>
        <v>#VALUE!</v>
      </c>
      <c r="B1242" t="s">
        <v>40</v>
      </c>
    </row>
    <row r="1243" spans="1:17" x14ac:dyDescent="0.2">
      <c r="A1243" t="e">
        <f t="shared" si="19"/>
        <v>#VALUE!</v>
      </c>
      <c r="B1243" t="s">
        <v>40</v>
      </c>
    </row>
    <row r="1244" spans="1:17" x14ac:dyDescent="0.2">
      <c r="A1244" t="e">
        <f t="shared" si="19"/>
        <v>#VALUE!</v>
      </c>
      <c r="B1244" t="s">
        <v>40</v>
      </c>
    </row>
    <row r="1245" spans="1:17" x14ac:dyDescent="0.2">
      <c r="A1245" t="e">
        <f t="shared" si="19"/>
        <v>#VALUE!</v>
      </c>
      <c r="B1245" t="s">
        <v>40</v>
      </c>
    </row>
    <row r="1246" spans="1:17" x14ac:dyDescent="0.2">
      <c r="A1246" t="e">
        <f t="shared" si="19"/>
        <v>#VALUE!</v>
      </c>
      <c r="B1246" t="s">
        <v>40</v>
      </c>
    </row>
    <row r="1247" spans="1:17" x14ac:dyDescent="0.2">
      <c r="A1247" t="e">
        <f t="shared" si="19"/>
        <v>#VALUE!</v>
      </c>
      <c r="B1247" t="s">
        <v>40</v>
      </c>
    </row>
    <row r="1248" spans="1:17" x14ac:dyDescent="0.2">
      <c r="A1248" t="e">
        <f t="shared" si="19"/>
        <v>#VALUE!</v>
      </c>
      <c r="B1248" t="s">
        <v>40</v>
      </c>
    </row>
    <row r="1249" spans="1:2" x14ac:dyDescent="0.2">
      <c r="A1249" t="e">
        <f t="shared" si="19"/>
        <v>#VALUE!</v>
      </c>
      <c r="B1249" t="s">
        <v>40</v>
      </c>
    </row>
    <row r="1250" spans="1:2" x14ac:dyDescent="0.2">
      <c r="A1250" t="e">
        <f t="shared" si="19"/>
        <v>#VALUE!</v>
      </c>
      <c r="B1250" t="s">
        <v>40</v>
      </c>
    </row>
    <row r="1251" spans="1:2" x14ac:dyDescent="0.2">
      <c r="A1251" t="e">
        <f t="shared" si="19"/>
        <v>#VALUE!</v>
      </c>
      <c r="B1251" t="s">
        <v>40</v>
      </c>
    </row>
    <row r="1252" spans="1:2" x14ac:dyDescent="0.2">
      <c r="A1252" t="e">
        <f t="shared" si="19"/>
        <v>#VALUE!</v>
      </c>
      <c r="B1252" t="s">
        <v>40</v>
      </c>
    </row>
    <row r="1253" spans="1:2" x14ac:dyDescent="0.2">
      <c r="A1253" t="e">
        <f t="shared" si="19"/>
        <v>#VALUE!</v>
      </c>
      <c r="B1253" t="s">
        <v>40</v>
      </c>
    </row>
    <row r="1254" spans="1:2" x14ac:dyDescent="0.2">
      <c r="A1254" t="e">
        <f t="shared" si="19"/>
        <v>#VALUE!</v>
      </c>
      <c r="B1254" t="s">
        <v>40</v>
      </c>
    </row>
    <row r="1255" spans="1:2" x14ac:dyDescent="0.2">
      <c r="A1255" t="e">
        <f t="shared" si="19"/>
        <v>#VALUE!</v>
      </c>
      <c r="B1255" t="s">
        <v>40</v>
      </c>
    </row>
    <row r="1256" spans="1:2" x14ac:dyDescent="0.2">
      <c r="A1256" t="e">
        <f t="shared" si="19"/>
        <v>#VALUE!</v>
      </c>
      <c r="B1256" t="s">
        <v>40</v>
      </c>
    </row>
    <row r="1257" spans="1:2" x14ac:dyDescent="0.2">
      <c r="A1257" t="e">
        <f t="shared" si="19"/>
        <v>#VALUE!</v>
      </c>
      <c r="B1257" t="s">
        <v>40</v>
      </c>
    </row>
    <row r="1258" spans="1:2" x14ac:dyDescent="0.2">
      <c r="A1258" t="e">
        <f t="shared" si="19"/>
        <v>#VALUE!</v>
      </c>
      <c r="B1258" t="s">
        <v>40</v>
      </c>
    </row>
    <row r="1259" spans="1:2" x14ac:dyDescent="0.2">
      <c r="A1259" t="e">
        <f t="shared" si="19"/>
        <v>#VALUE!</v>
      </c>
      <c r="B1259" t="s">
        <v>40</v>
      </c>
    </row>
    <row r="1260" spans="1:2" x14ac:dyDescent="0.2">
      <c r="A1260" t="e">
        <f t="shared" si="19"/>
        <v>#VALUE!</v>
      </c>
      <c r="B1260" t="s">
        <v>40</v>
      </c>
    </row>
    <row r="1261" spans="1:2" x14ac:dyDescent="0.2">
      <c r="A1261" t="e">
        <f t="shared" si="19"/>
        <v>#VALUE!</v>
      </c>
      <c r="B1261" t="s">
        <v>40</v>
      </c>
    </row>
    <row r="1262" spans="1:2" x14ac:dyDescent="0.2">
      <c r="A1262" t="e">
        <f t="shared" si="19"/>
        <v>#VALUE!</v>
      </c>
      <c r="B1262" t="s">
        <v>40</v>
      </c>
    </row>
    <row r="1263" spans="1:2" x14ac:dyDescent="0.2">
      <c r="A1263" t="e">
        <f t="shared" si="19"/>
        <v>#VALUE!</v>
      </c>
      <c r="B1263" t="s">
        <v>40</v>
      </c>
    </row>
    <row r="1264" spans="1:2" x14ac:dyDescent="0.2">
      <c r="A1264" t="e">
        <f t="shared" si="19"/>
        <v>#VALUE!</v>
      </c>
      <c r="B1264" t="s">
        <v>40</v>
      </c>
    </row>
    <row r="1265" spans="1:2" x14ac:dyDescent="0.2">
      <c r="A1265" t="e">
        <f t="shared" si="19"/>
        <v>#VALUE!</v>
      </c>
      <c r="B1265" t="s">
        <v>40</v>
      </c>
    </row>
    <row r="1266" spans="1:2" x14ac:dyDescent="0.2">
      <c r="A1266" t="e">
        <f t="shared" si="19"/>
        <v>#VALUE!</v>
      </c>
      <c r="B1266" t="s">
        <v>40</v>
      </c>
    </row>
    <row r="1267" spans="1:2" x14ac:dyDescent="0.2">
      <c r="A1267" t="e">
        <f t="shared" si="19"/>
        <v>#VALUE!</v>
      </c>
      <c r="B1267" t="s">
        <v>40</v>
      </c>
    </row>
    <row r="1268" spans="1:2" x14ac:dyDescent="0.2">
      <c r="A1268" t="e">
        <f t="shared" si="19"/>
        <v>#VALUE!</v>
      </c>
      <c r="B1268" t="s">
        <v>40</v>
      </c>
    </row>
    <row r="1269" spans="1:2" x14ac:dyDescent="0.2">
      <c r="A1269" t="e">
        <f t="shared" si="19"/>
        <v>#VALUE!</v>
      </c>
      <c r="B1269" t="s">
        <v>40</v>
      </c>
    </row>
    <row r="1270" spans="1:2" x14ac:dyDescent="0.2">
      <c r="A1270" t="e">
        <f t="shared" si="19"/>
        <v>#VALUE!</v>
      </c>
      <c r="B1270" t="s">
        <v>40</v>
      </c>
    </row>
    <row r="1271" spans="1:2" x14ac:dyDescent="0.2">
      <c r="A1271" t="e">
        <f t="shared" si="19"/>
        <v>#VALUE!</v>
      </c>
      <c r="B1271" t="s">
        <v>40</v>
      </c>
    </row>
    <row r="1272" spans="1:2" x14ac:dyDescent="0.2">
      <c r="A1272" t="e">
        <f t="shared" si="19"/>
        <v>#VALUE!</v>
      </c>
      <c r="B1272" t="s">
        <v>40</v>
      </c>
    </row>
    <row r="1273" spans="1:2" x14ac:dyDescent="0.2">
      <c r="A1273" t="e">
        <f t="shared" si="19"/>
        <v>#VALUE!</v>
      </c>
      <c r="B1273" t="s">
        <v>40</v>
      </c>
    </row>
    <row r="1274" spans="1:2" x14ac:dyDescent="0.2">
      <c r="A1274" t="e">
        <f t="shared" si="19"/>
        <v>#VALUE!</v>
      </c>
      <c r="B1274" t="s">
        <v>40</v>
      </c>
    </row>
    <row r="1275" spans="1:2" x14ac:dyDescent="0.2">
      <c r="A1275" t="e">
        <f t="shared" si="19"/>
        <v>#VALUE!</v>
      </c>
      <c r="B1275" t="s">
        <v>40</v>
      </c>
    </row>
    <row r="1276" spans="1:2" x14ac:dyDescent="0.2">
      <c r="A1276" t="e">
        <f t="shared" si="19"/>
        <v>#VALUE!</v>
      </c>
      <c r="B1276" t="s">
        <v>40</v>
      </c>
    </row>
    <row r="1277" spans="1:2" x14ac:dyDescent="0.2">
      <c r="A1277" t="e">
        <f t="shared" si="19"/>
        <v>#VALUE!</v>
      </c>
      <c r="B1277" t="s">
        <v>40</v>
      </c>
    </row>
    <row r="1278" spans="1:2" x14ac:dyDescent="0.2">
      <c r="A1278" t="e">
        <f t="shared" si="19"/>
        <v>#VALUE!</v>
      </c>
      <c r="B1278" t="s">
        <v>40</v>
      </c>
    </row>
    <row r="1279" spans="1:2" x14ac:dyDescent="0.2">
      <c r="A1279" t="e">
        <f t="shared" si="19"/>
        <v>#VALUE!</v>
      </c>
      <c r="B1279" t="s">
        <v>40</v>
      </c>
    </row>
    <row r="1280" spans="1:2" x14ac:dyDescent="0.2">
      <c r="A1280" t="e">
        <f t="shared" si="19"/>
        <v>#VALUE!</v>
      </c>
      <c r="B1280" t="s">
        <v>40</v>
      </c>
    </row>
    <row r="1281" spans="1:2" x14ac:dyDescent="0.2">
      <c r="A1281" t="e">
        <f t="shared" si="19"/>
        <v>#VALUE!</v>
      </c>
      <c r="B1281" t="s">
        <v>40</v>
      </c>
    </row>
    <row r="1282" spans="1:2" x14ac:dyDescent="0.2">
      <c r="A1282" t="e">
        <f t="shared" si="19"/>
        <v>#VALUE!</v>
      </c>
      <c r="B1282" t="s">
        <v>40</v>
      </c>
    </row>
    <row r="1283" spans="1:2" x14ac:dyDescent="0.2">
      <c r="A1283" t="e">
        <f t="shared" si="19"/>
        <v>#VALUE!</v>
      </c>
      <c r="B1283" t="s">
        <v>40</v>
      </c>
    </row>
    <row r="1284" spans="1:2" x14ac:dyDescent="0.2">
      <c r="A1284" t="e">
        <f t="shared" ref="A1284:A1347" si="20">VALUE(B1284)</f>
        <v>#VALUE!</v>
      </c>
      <c r="B1284" t="s">
        <v>40</v>
      </c>
    </row>
    <row r="1285" spans="1:2" x14ac:dyDescent="0.2">
      <c r="A1285" t="e">
        <f t="shared" si="20"/>
        <v>#VALUE!</v>
      </c>
      <c r="B1285" t="s">
        <v>40</v>
      </c>
    </row>
    <row r="1286" spans="1:2" x14ac:dyDescent="0.2">
      <c r="A1286" t="e">
        <f t="shared" si="20"/>
        <v>#VALUE!</v>
      </c>
      <c r="B1286" t="s">
        <v>40</v>
      </c>
    </row>
    <row r="1287" spans="1:2" x14ac:dyDescent="0.2">
      <c r="A1287" t="e">
        <f t="shared" si="20"/>
        <v>#VALUE!</v>
      </c>
      <c r="B1287" t="s">
        <v>40</v>
      </c>
    </row>
    <row r="1288" spans="1:2" x14ac:dyDescent="0.2">
      <c r="A1288" t="e">
        <f t="shared" si="20"/>
        <v>#VALUE!</v>
      </c>
      <c r="B1288" t="s">
        <v>40</v>
      </c>
    </row>
    <row r="1289" spans="1:2" x14ac:dyDescent="0.2">
      <c r="A1289" t="e">
        <f t="shared" si="20"/>
        <v>#VALUE!</v>
      </c>
      <c r="B1289" t="s">
        <v>40</v>
      </c>
    </row>
    <row r="1290" spans="1:2" x14ac:dyDescent="0.2">
      <c r="A1290" t="e">
        <f t="shared" si="20"/>
        <v>#VALUE!</v>
      </c>
      <c r="B1290" t="s">
        <v>40</v>
      </c>
    </row>
    <row r="1291" spans="1:2" x14ac:dyDescent="0.2">
      <c r="A1291" t="e">
        <f t="shared" si="20"/>
        <v>#VALUE!</v>
      </c>
      <c r="B1291" t="s">
        <v>40</v>
      </c>
    </row>
    <row r="1292" spans="1:2" x14ac:dyDescent="0.2">
      <c r="A1292" t="e">
        <f t="shared" si="20"/>
        <v>#VALUE!</v>
      </c>
      <c r="B1292" t="s">
        <v>40</v>
      </c>
    </row>
    <row r="1293" spans="1:2" x14ac:dyDescent="0.2">
      <c r="A1293" t="e">
        <f t="shared" si="20"/>
        <v>#VALUE!</v>
      </c>
      <c r="B1293" t="s">
        <v>40</v>
      </c>
    </row>
    <row r="1294" spans="1:2" x14ac:dyDescent="0.2">
      <c r="A1294" t="e">
        <f t="shared" si="20"/>
        <v>#VALUE!</v>
      </c>
      <c r="B1294" t="s">
        <v>40</v>
      </c>
    </row>
    <row r="1295" spans="1:2" x14ac:dyDescent="0.2">
      <c r="A1295" t="e">
        <f t="shared" si="20"/>
        <v>#VALUE!</v>
      </c>
      <c r="B1295" t="s">
        <v>40</v>
      </c>
    </row>
    <row r="1296" spans="1:2" x14ac:dyDescent="0.2">
      <c r="A1296" t="e">
        <f t="shared" si="20"/>
        <v>#VALUE!</v>
      </c>
      <c r="B1296" t="s">
        <v>40</v>
      </c>
    </row>
    <row r="1297" spans="1:2" x14ac:dyDescent="0.2">
      <c r="A1297" t="e">
        <f t="shared" si="20"/>
        <v>#VALUE!</v>
      </c>
      <c r="B1297" t="s">
        <v>40</v>
      </c>
    </row>
    <row r="1298" spans="1:2" x14ac:dyDescent="0.2">
      <c r="A1298" t="e">
        <f t="shared" si="20"/>
        <v>#VALUE!</v>
      </c>
      <c r="B1298" t="s">
        <v>40</v>
      </c>
    </row>
    <row r="1299" spans="1:2" x14ac:dyDescent="0.2">
      <c r="A1299" t="e">
        <f t="shared" si="20"/>
        <v>#VALUE!</v>
      </c>
      <c r="B1299" t="s">
        <v>40</v>
      </c>
    </row>
    <row r="1300" spans="1:2" x14ac:dyDescent="0.2">
      <c r="A1300" t="e">
        <f t="shared" si="20"/>
        <v>#VALUE!</v>
      </c>
      <c r="B1300" t="s">
        <v>40</v>
      </c>
    </row>
    <row r="1301" spans="1:2" x14ac:dyDescent="0.2">
      <c r="A1301" t="e">
        <f t="shared" si="20"/>
        <v>#VALUE!</v>
      </c>
      <c r="B1301" t="s">
        <v>40</v>
      </c>
    </row>
    <row r="1302" spans="1:2" x14ac:dyDescent="0.2">
      <c r="A1302" t="e">
        <f t="shared" si="20"/>
        <v>#VALUE!</v>
      </c>
      <c r="B1302" t="s">
        <v>40</v>
      </c>
    </row>
    <row r="1303" spans="1:2" x14ac:dyDescent="0.2">
      <c r="A1303" t="e">
        <f t="shared" si="20"/>
        <v>#VALUE!</v>
      </c>
      <c r="B1303" t="s">
        <v>40</v>
      </c>
    </row>
    <row r="1304" spans="1:2" x14ac:dyDescent="0.2">
      <c r="A1304" t="e">
        <f t="shared" si="20"/>
        <v>#VALUE!</v>
      </c>
      <c r="B1304" t="s">
        <v>40</v>
      </c>
    </row>
    <row r="1305" spans="1:2" x14ac:dyDescent="0.2">
      <c r="A1305" t="e">
        <f t="shared" si="20"/>
        <v>#VALUE!</v>
      </c>
      <c r="B1305" t="s">
        <v>40</v>
      </c>
    </row>
    <row r="1306" spans="1:2" x14ac:dyDescent="0.2">
      <c r="A1306" t="e">
        <f t="shared" si="20"/>
        <v>#VALUE!</v>
      </c>
      <c r="B1306" t="s">
        <v>40</v>
      </c>
    </row>
    <row r="1307" spans="1:2" x14ac:dyDescent="0.2">
      <c r="A1307" t="e">
        <f t="shared" si="20"/>
        <v>#VALUE!</v>
      </c>
      <c r="B1307" t="s">
        <v>40</v>
      </c>
    </row>
    <row r="1308" spans="1:2" x14ac:dyDescent="0.2">
      <c r="A1308" t="e">
        <f t="shared" si="20"/>
        <v>#VALUE!</v>
      </c>
      <c r="B1308" t="s">
        <v>40</v>
      </c>
    </row>
    <row r="1309" spans="1:2" x14ac:dyDescent="0.2">
      <c r="A1309" t="e">
        <f t="shared" si="20"/>
        <v>#VALUE!</v>
      </c>
      <c r="B1309" t="s">
        <v>40</v>
      </c>
    </row>
    <row r="1310" spans="1:2" x14ac:dyDescent="0.2">
      <c r="A1310" t="e">
        <f t="shared" si="20"/>
        <v>#VALUE!</v>
      </c>
      <c r="B1310" t="s">
        <v>40</v>
      </c>
    </row>
    <row r="1311" spans="1:2" x14ac:dyDescent="0.2">
      <c r="A1311" t="e">
        <f t="shared" si="20"/>
        <v>#VALUE!</v>
      </c>
      <c r="B1311" t="s">
        <v>40</v>
      </c>
    </row>
    <row r="1312" spans="1:2" x14ac:dyDescent="0.2">
      <c r="A1312" t="e">
        <f t="shared" si="20"/>
        <v>#VALUE!</v>
      </c>
      <c r="B1312" t="s">
        <v>40</v>
      </c>
    </row>
    <row r="1313" spans="1:2" x14ac:dyDescent="0.2">
      <c r="A1313" t="e">
        <f t="shared" si="20"/>
        <v>#VALUE!</v>
      </c>
      <c r="B1313" t="s">
        <v>40</v>
      </c>
    </row>
    <row r="1314" spans="1:2" x14ac:dyDescent="0.2">
      <c r="A1314" t="e">
        <f t="shared" si="20"/>
        <v>#VALUE!</v>
      </c>
      <c r="B1314" t="s">
        <v>40</v>
      </c>
    </row>
    <row r="1315" spans="1:2" x14ac:dyDescent="0.2">
      <c r="A1315" t="e">
        <f t="shared" si="20"/>
        <v>#VALUE!</v>
      </c>
      <c r="B1315" t="s">
        <v>40</v>
      </c>
    </row>
    <row r="1316" spans="1:2" x14ac:dyDescent="0.2">
      <c r="A1316" t="e">
        <f t="shared" si="20"/>
        <v>#VALUE!</v>
      </c>
      <c r="B1316" t="s">
        <v>40</v>
      </c>
    </row>
    <row r="1317" spans="1:2" x14ac:dyDescent="0.2">
      <c r="A1317" t="e">
        <f t="shared" si="20"/>
        <v>#VALUE!</v>
      </c>
      <c r="B1317" t="s">
        <v>40</v>
      </c>
    </row>
    <row r="1318" spans="1:2" x14ac:dyDescent="0.2">
      <c r="A1318" t="e">
        <f t="shared" si="20"/>
        <v>#VALUE!</v>
      </c>
      <c r="B1318" t="s">
        <v>40</v>
      </c>
    </row>
    <row r="1319" spans="1:2" x14ac:dyDescent="0.2">
      <c r="A1319" t="e">
        <f t="shared" si="20"/>
        <v>#VALUE!</v>
      </c>
      <c r="B1319" t="s">
        <v>40</v>
      </c>
    </row>
    <row r="1320" spans="1:2" x14ac:dyDescent="0.2">
      <c r="A1320" t="e">
        <f t="shared" si="20"/>
        <v>#VALUE!</v>
      </c>
      <c r="B1320" t="s">
        <v>40</v>
      </c>
    </row>
    <row r="1321" spans="1:2" x14ac:dyDescent="0.2">
      <c r="A1321" t="e">
        <f t="shared" si="20"/>
        <v>#VALUE!</v>
      </c>
      <c r="B1321" t="s">
        <v>40</v>
      </c>
    </row>
    <row r="1322" spans="1:2" x14ac:dyDescent="0.2">
      <c r="A1322" t="e">
        <f t="shared" si="20"/>
        <v>#VALUE!</v>
      </c>
      <c r="B1322" t="s">
        <v>40</v>
      </c>
    </row>
    <row r="1323" spans="1:2" x14ac:dyDescent="0.2">
      <c r="A1323" t="e">
        <f t="shared" si="20"/>
        <v>#VALUE!</v>
      </c>
      <c r="B1323" t="s">
        <v>40</v>
      </c>
    </row>
    <row r="1324" spans="1:2" x14ac:dyDescent="0.2">
      <c r="A1324" t="e">
        <f t="shared" si="20"/>
        <v>#VALUE!</v>
      </c>
      <c r="B1324" t="s">
        <v>40</v>
      </c>
    </row>
    <row r="1325" spans="1:2" x14ac:dyDescent="0.2">
      <c r="A1325" t="e">
        <f t="shared" si="20"/>
        <v>#VALUE!</v>
      </c>
      <c r="B1325" t="s">
        <v>40</v>
      </c>
    </row>
    <row r="1326" spans="1:2" x14ac:dyDescent="0.2">
      <c r="A1326" t="e">
        <f t="shared" si="20"/>
        <v>#VALUE!</v>
      </c>
      <c r="B1326" t="s">
        <v>40</v>
      </c>
    </row>
    <row r="1327" spans="1:2" x14ac:dyDescent="0.2">
      <c r="A1327" t="e">
        <f t="shared" si="20"/>
        <v>#VALUE!</v>
      </c>
      <c r="B1327" t="s">
        <v>40</v>
      </c>
    </row>
    <row r="1328" spans="1:2" x14ac:dyDescent="0.2">
      <c r="A1328" t="e">
        <f t="shared" si="20"/>
        <v>#VALUE!</v>
      </c>
      <c r="B1328" t="s">
        <v>40</v>
      </c>
    </row>
    <row r="1329" spans="1:2" x14ac:dyDescent="0.2">
      <c r="A1329" t="e">
        <f t="shared" si="20"/>
        <v>#VALUE!</v>
      </c>
      <c r="B1329" t="s">
        <v>40</v>
      </c>
    </row>
    <row r="1330" spans="1:2" x14ac:dyDescent="0.2">
      <c r="A1330" t="e">
        <f t="shared" si="20"/>
        <v>#VALUE!</v>
      </c>
      <c r="B1330" t="s">
        <v>40</v>
      </c>
    </row>
    <row r="1331" spans="1:2" x14ac:dyDescent="0.2">
      <c r="A1331" t="e">
        <f t="shared" si="20"/>
        <v>#VALUE!</v>
      </c>
      <c r="B1331" t="s">
        <v>40</v>
      </c>
    </row>
    <row r="1332" spans="1:2" x14ac:dyDescent="0.2">
      <c r="A1332" t="e">
        <f t="shared" si="20"/>
        <v>#VALUE!</v>
      </c>
      <c r="B1332" t="s">
        <v>40</v>
      </c>
    </row>
    <row r="1333" spans="1:2" x14ac:dyDescent="0.2">
      <c r="A1333" t="e">
        <f t="shared" si="20"/>
        <v>#VALUE!</v>
      </c>
      <c r="B1333" t="s">
        <v>40</v>
      </c>
    </row>
    <row r="1334" spans="1:2" x14ac:dyDescent="0.2">
      <c r="A1334" t="e">
        <f t="shared" si="20"/>
        <v>#VALUE!</v>
      </c>
      <c r="B1334" t="s">
        <v>40</v>
      </c>
    </row>
    <row r="1335" spans="1:2" x14ac:dyDescent="0.2">
      <c r="A1335" t="e">
        <f t="shared" si="20"/>
        <v>#VALUE!</v>
      </c>
      <c r="B1335" t="s">
        <v>40</v>
      </c>
    </row>
    <row r="1336" spans="1:2" x14ac:dyDescent="0.2">
      <c r="A1336" t="e">
        <f t="shared" si="20"/>
        <v>#VALUE!</v>
      </c>
      <c r="B1336" t="s">
        <v>40</v>
      </c>
    </row>
    <row r="1337" spans="1:2" x14ac:dyDescent="0.2">
      <c r="A1337" t="e">
        <f t="shared" si="20"/>
        <v>#VALUE!</v>
      </c>
      <c r="B1337" t="s">
        <v>40</v>
      </c>
    </row>
    <row r="1338" spans="1:2" x14ac:dyDescent="0.2">
      <c r="A1338" t="e">
        <f t="shared" si="20"/>
        <v>#VALUE!</v>
      </c>
      <c r="B1338" t="s">
        <v>40</v>
      </c>
    </row>
    <row r="1339" spans="1:2" x14ac:dyDescent="0.2">
      <c r="A1339" t="e">
        <f t="shared" si="20"/>
        <v>#VALUE!</v>
      </c>
      <c r="B1339" t="s">
        <v>40</v>
      </c>
    </row>
    <row r="1340" spans="1:2" x14ac:dyDescent="0.2">
      <c r="A1340" t="e">
        <f t="shared" si="20"/>
        <v>#VALUE!</v>
      </c>
      <c r="B1340" t="s">
        <v>40</v>
      </c>
    </row>
    <row r="1341" spans="1:2" x14ac:dyDescent="0.2">
      <c r="A1341" t="e">
        <f t="shared" si="20"/>
        <v>#VALUE!</v>
      </c>
      <c r="B1341" t="s">
        <v>40</v>
      </c>
    </row>
    <row r="1342" spans="1:2" x14ac:dyDescent="0.2">
      <c r="A1342" t="e">
        <f t="shared" si="20"/>
        <v>#VALUE!</v>
      </c>
      <c r="B1342" t="s">
        <v>40</v>
      </c>
    </row>
    <row r="1343" spans="1:2" x14ac:dyDescent="0.2">
      <c r="A1343" t="e">
        <f t="shared" si="20"/>
        <v>#VALUE!</v>
      </c>
      <c r="B1343" t="s">
        <v>40</v>
      </c>
    </row>
    <row r="1344" spans="1:2" x14ac:dyDescent="0.2">
      <c r="A1344" t="e">
        <f t="shared" si="20"/>
        <v>#VALUE!</v>
      </c>
      <c r="B1344" t="s">
        <v>40</v>
      </c>
    </row>
    <row r="1345" spans="1:2" x14ac:dyDescent="0.2">
      <c r="A1345" t="e">
        <f t="shared" si="20"/>
        <v>#VALUE!</v>
      </c>
      <c r="B1345" t="s">
        <v>40</v>
      </c>
    </row>
    <row r="1346" spans="1:2" x14ac:dyDescent="0.2">
      <c r="A1346" t="e">
        <f t="shared" si="20"/>
        <v>#VALUE!</v>
      </c>
      <c r="B1346" t="s">
        <v>40</v>
      </c>
    </row>
    <row r="1347" spans="1:2" x14ac:dyDescent="0.2">
      <c r="A1347" t="e">
        <f t="shared" si="20"/>
        <v>#VALUE!</v>
      </c>
      <c r="B1347" t="s">
        <v>40</v>
      </c>
    </row>
    <row r="1348" spans="1:2" x14ac:dyDescent="0.2">
      <c r="A1348" t="e">
        <f t="shared" ref="A1348:A1411" si="21">VALUE(B1348)</f>
        <v>#VALUE!</v>
      </c>
      <c r="B1348" t="s">
        <v>40</v>
      </c>
    </row>
    <row r="1349" spans="1:2" x14ac:dyDescent="0.2">
      <c r="A1349" t="e">
        <f t="shared" si="21"/>
        <v>#VALUE!</v>
      </c>
      <c r="B1349" t="s">
        <v>40</v>
      </c>
    </row>
    <row r="1350" spans="1:2" x14ac:dyDescent="0.2">
      <c r="A1350" t="e">
        <f t="shared" si="21"/>
        <v>#VALUE!</v>
      </c>
      <c r="B1350" t="s">
        <v>40</v>
      </c>
    </row>
    <row r="1351" spans="1:2" x14ac:dyDescent="0.2">
      <c r="A1351" t="e">
        <f t="shared" si="21"/>
        <v>#VALUE!</v>
      </c>
      <c r="B1351" t="s">
        <v>40</v>
      </c>
    </row>
    <row r="1352" spans="1:2" x14ac:dyDescent="0.2">
      <c r="A1352" t="e">
        <f t="shared" si="21"/>
        <v>#VALUE!</v>
      </c>
      <c r="B1352" t="s">
        <v>40</v>
      </c>
    </row>
    <row r="1353" spans="1:2" x14ac:dyDescent="0.2">
      <c r="A1353" t="e">
        <f t="shared" si="21"/>
        <v>#VALUE!</v>
      </c>
      <c r="B1353" t="s">
        <v>40</v>
      </c>
    </row>
    <row r="1354" spans="1:2" x14ac:dyDescent="0.2">
      <c r="A1354" t="e">
        <f t="shared" si="21"/>
        <v>#VALUE!</v>
      </c>
      <c r="B1354" t="s">
        <v>40</v>
      </c>
    </row>
    <row r="1355" spans="1:2" x14ac:dyDescent="0.2">
      <c r="A1355" t="e">
        <f t="shared" si="21"/>
        <v>#VALUE!</v>
      </c>
      <c r="B1355" t="s">
        <v>40</v>
      </c>
    </row>
    <row r="1356" spans="1:2" x14ac:dyDescent="0.2">
      <c r="A1356" t="e">
        <f t="shared" si="21"/>
        <v>#VALUE!</v>
      </c>
      <c r="B1356" t="s">
        <v>40</v>
      </c>
    </row>
    <row r="1357" spans="1:2" x14ac:dyDescent="0.2">
      <c r="A1357" t="e">
        <f t="shared" si="21"/>
        <v>#VALUE!</v>
      </c>
      <c r="B1357" t="s">
        <v>40</v>
      </c>
    </row>
    <row r="1358" spans="1:2" x14ac:dyDescent="0.2">
      <c r="A1358" t="e">
        <f t="shared" si="21"/>
        <v>#VALUE!</v>
      </c>
      <c r="B1358" t="s">
        <v>40</v>
      </c>
    </row>
    <row r="1359" spans="1:2" x14ac:dyDescent="0.2">
      <c r="A1359" t="e">
        <f t="shared" si="21"/>
        <v>#VALUE!</v>
      </c>
      <c r="B1359" t="s">
        <v>40</v>
      </c>
    </row>
    <row r="1360" spans="1:2" x14ac:dyDescent="0.2">
      <c r="A1360" t="e">
        <f t="shared" si="21"/>
        <v>#VALUE!</v>
      </c>
      <c r="B1360" t="s">
        <v>40</v>
      </c>
    </row>
    <row r="1361" spans="1:2" x14ac:dyDescent="0.2">
      <c r="A1361" t="e">
        <f t="shared" si="21"/>
        <v>#VALUE!</v>
      </c>
      <c r="B1361" t="s">
        <v>40</v>
      </c>
    </row>
    <row r="1362" spans="1:2" x14ac:dyDescent="0.2">
      <c r="A1362" t="e">
        <f t="shared" si="21"/>
        <v>#VALUE!</v>
      </c>
      <c r="B1362" t="s">
        <v>40</v>
      </c>
    </row>
    <row r="1363" spans="1:2" x14ac:dyDescent="0.2">
      <c r="A1363" t="e">
        <f t="shared" si="21"/>
        <v>#VALUE!</v>
      </c>
      <c r="B1363" t="s">
        <v>40</v>
      </c>
    </row>
    <row r="1364" spans="1:2" x14ac:dyDescent="0.2">
      <c r="A1364" t="e">
        <f t="shared" si="21"/>
        <v>#VALUE!</v>
      </c>
      <c r="B1364" t="s">
        <v>40</v>
      </c>
    </row>
    <row r="1365" spans="1:2" x14ac:dyDescent="0.2">
      <c r="A1365" t="e">
        <f t="shared" si="21"/>
        <v>#VALUE!</v>
      </c>
      <c r="B1365" t="s">
        <v>40</v>
      </c>
    </row>
    <row r="1366" spans="1:2" x14ac:dyDescent="0.2">
      <c r="A1366" t="e">
        <f t="shared" si="21"/>
        <v>#VALUE!</v>
      </c>
      <c r="B1366" t="s">
        <v>40</v>
      </c>
    </row>
    <row r="1367" spans="1:2" x14ac:dyDescent="0.2">
      <c r="A1367" t="e">
        <f t="shared" si="21"/>
        <v>#VALUE!</v>
      </c>
      <c r="B1367" t="s">
        <v>40</v>
      </c>
    </row>
    <row r="1368" spans="1:2" x14ac:dyDescent="0.2">
      <c r="A1368" t="e">
        <f t="shared" si="21"/>
        <v>#VALUE!</v>
      </c>
      <c r="B1368" t="s">
        <v>40</v>
      </c>
    </row>
    <row r="1369" spans="1:2" x14ac:dyDescent="0.2">
      <c r="A1369" t="e">
        <f t="shared" si="21"/>
        <v>#VALUE!</v>
      </c>
      <c r="B1369" t="s">
        <v>40</v>
      </c>
    </row>
    <row r="1370" spans="1:2" x14ac:dyDescent="0.2">
      <c r="A1370" t="e">
        <f t="shared" si="21"/>
        <v>#VALUE!</v>
      </c>
      <c r="B1370" t="s">
        <v>40</v>
      </c>
    </row>
    <row r="1371" spans="1:2" x14ac:dyDescent="0.2">
      <c r="A1371" t="e">
        <f t="shared" si="21"/>
        <v>#VALUE!</v>
      </c>
      <c r="B1371" t="s">
        <v>40</v>
      </c>
    </row>
    <row r="1372" spans="1:2" x14ac:dyDescent="0.2">
      <c r="A1372" t="e">
        <f t="shared" si="21"/>
        <v>#VALUE!</v>
      </c>
      <c r="B1372" t="s">
        <v>40</v>
      </c>
    </row>
    <row r="1373" spans="1:2" x14ac:dyDescent="0.2">
      <c r="A1373" t="e">
        <f t="shared" si="21"/>
        <v>#VALUE!</v>
      </c>
      <c r="B1373" t="s">
        <v>40</v>
      </c>
    </row>
    <row r="1374" spans="1:2" x14ac:dyDescent="0.2">
      <c r="A1374" t="e">
        <f t="shared" si="21"/>
        <v>#VALUE!</v>
      </c>
      <c r="B1374" t="s">
        <v>40</v>
      </c>
    </row>
    <row r="1375" spans="1:2" x14ac:dyDescent="0.2">
      <c r="A1375" t="e">
        <f t="shared" si="21"/>
        <v>#VALUE!</v>
      </c>
      <c r="B1375" t="s">
        <v>40</v>
      </c>
    </row>
    <row r="1376" spans="1:2" x14ac:dyDescent="0.2">
      <c r="A1376" t="e">
        <f t="shared" si="21"/>
        <v>#VALUE!</v>
      </c>
      <c r="B1376" t="s">
        <v>40</v>
      </c>
    </row>
    <row r="1377" spans="1:2" x14ac:dyDescent="0.2">
      <c r="A1377" t="e">
        <f t="shared" si="21"/>
        <v>#VALUE!</v>
      </c>
      <c r="B1377" t="s">
        <v>40</v>
      </c>
    </row>
    <row r="1378" spans="1:2" x14ac:dyDescent="0.2">
      <c r="A1378" t="e">
        <f t="shared" si="21"/>
        <v>#VALUE!</v>
      </c>
      <c r="B1378" t="s">
        <v>40</v>
      </c>
    </row>
    <row r="1379" spans="1:2" x14ac:dyDescent="0.2">
      <c r="A1379" t="e">
        <f t="shared" si="21"/>
        <v>#VALUE!</v>
      </c>
      <c r="B1379" t="s">
        <v>40</v>
      </c>
    </row>
    <row r="1380" spans="1:2" x14ac:dyDescent="0.2">
      <c r="A1380" t="e">
        <f t="shared" si="21"/>
        <v>#VALUE!</v>
      </c>
      <c r="B1380" t="s">
        <v>40</v>
      </c>
    </row>
    <row r="1381" spans="1:2" x14ac:dyDescent="0.2">
      <c r="A1381" t="e">
        <f t="shared" si="21"/>
        <v>#VALUE!</v>
      </c>
      <c r="B1381" t="s">
        <v>40</v>
      </c>
    </row>
    <row r="1382" spans="1:2" x14ac:dyDescent="0.2">
      <c r="A1382" t="e">
        <f t="shared" si="21"/>
        <v>#VALUE!</v>
      </c>
      <c r="B1382" t="s">
        <v>40</v>
      </c>
    </row>
    <row r="1383" spans="1:2" x14ac:dyDescent="0.2">
      <c r="A1383" t="e">
        <f t="shared" si="21"/>
        <v>#VALUE!</v>
      </c>
      <c r="B1383" t="s">
        <v>40</v>
      </c>
    </row>
    <row r="1384" spans="1:2" x14ac:dyDescent="0.2">
      <c r="A1384" t="e">
        <f t="shared" si="21"/>
        <v>#VALUE!</v>
      </c>
      <c r="B1384" t="s">
        <v>40</v>
      </c>
    </row>
    <row r="1385" spans="1:2" x14ac:dyDescent="0.2">
      <c r="A1385" t="e">
        <f t="shared" si="21"/>
        <v>#VALUE!</v>
      </c>
      <c r="B1385" t="s">
        <v>40</v>
      </c>
    </row>
    <row r="1386" spans="1:2" x14ac:dyDescent="0.2">
      <c r="A1386" t="e">
        <f t="shared" si="21"/>
        <v>#VALUE!</v>
      </c>
      <c r="B1386" t="s">
        <v>40</v>
      </c>
    </row>
    <row r="1387" spans="1:2" x14ac:dyDescent="0.2">
      <c r="A1387" t="e">
        <f t="shared" si="21"/>
        <v>#VALUE!</v>
      </c>
      <c r="B1387" t="s">
        <v>40</v>
      </c>
    </row>
    <row r="1388" spans="1:2" x14ac:dyDescent="0.2">
      <c r="A1388" t="e">
        <f t="shared" si="21"/>
        <v>#VALUE!</v>
      </c>
      <c r="B1388" t="s">
        <v>40</v>
      </c>
    </row>
    <row r="1389" spans="1:2" x14ac:dyDescent="0.2">
      <c r="A1389" t="e">
        <f t="shared" si="21"/>
        <v>#VALUE!</v>
      </c>
      <c r="B1389" t="s">
        <v>40</v>
      </c>
    </row>
    <row r="1390" spans="1:2" x14ac:dyDescent="0.2">
      <c r="A1390" t="e">
        <f t="shared" si="21"/>
        <v>#VALUE!</v>
      </c>
      <c r="B1390" t="s">
        <v>40</v>
      </c>
    </row>
    <row r="1391" spans="1:2" x14ac:dyDescent="0.2">
      <c r="A1391" t="e">
        <f t="shared" si="21"/>
        <v>#VALUE!</v>
      </c>
      <c r="B1391" t="s">
        <v>40</v>
      </c>
    </row>
    <row r="1392" spans="1:2" x14ac:dyDescent="0.2">
      <c r="A1392" t="e">
        <f t="shared" si="21"/>
        <v>#VALUE!</v>
      </c>
      <c r="B1392" t="s">
        <v>40</v>
      </c>
    </row>
    <row r="1393" spans="1:2" x14ac:dyDescent="0.2">
      <c r="A1393" t="e">
        <f t="shared" si="21"/>
        <v>#VALUE!</v>
      </c>
      <c r="B1393" t="s">
        <v>40</v>
      </c>
    </row>
    <row r="1394" spans="1:2" x14ac:dyDescent="0.2">
      <c r="A1394" t="e">
        <f t="shared" si="21"/>
        <v>#VALUE!</v>
      </c>
      <c r="B1394" t="s">
        <v>40</v>
      </c>
    </row>
    <row r="1395" spans="1:2" x14ac:dyDescent="0.2">
      <c r="A1395" t="e">
        <f t="shared" si="21"/>
        <v>#VALUE!</v>
      </c>
      <c r="B1395" t="s">
        <v>40</v>
      </c>
    </row>
    <row r="1396" spans="1:2" x14ac:dyDescent="0.2">
      <c r="A1396" t="e">
        <f t="shared" si="21"/>
        <v>#VALUE!</v>
      </c>
      <c r="B1396" t="s">
        <v>40</v>
      </c>
    </row>
    <row r="1397" spans="1:2" x14ac:dyDescent="0.2">
      <c r="A1397" t="e">
        <f t="shared" si="21"/>
        <v>#VALUE!</v>
      </c>
      <c r="B1397" t="s">
        <v>40</v>
      </c>
    </row>
    <row r="1398" spans="1:2" x14ac:dyDescent="0.2">
      <c r="A1398" t="e">
        <f t="shared" si="21"/>
        <v>#VALUE!</v>
      </c>
      <c r="B1398" t="s">
        <v>40</v>
      </c>
    </row>
    <row r="1399" spans="1:2" x14ac:dyDescent="0.2">
      <c r="A1399" t="e">
        <f t="shared" si="21"/>
        <v>#VALUE!</v>
      </c>
      <c r="B1399" t="s">
        <v>40</v>
      </c>
    </row>
    <row r="1400" spans="1:2" x14ac:dyDescent="0.2">
      <c r="A1400" t="e">
        <f t="shared" si="21"/>
        <v>#VALUE!</v>
      </c>
      <c r="B1400" t="s">
        <v>40</v>
      </c>
    </row>
    <row r="1401" spans="1:2" x14ac:dyDescent="0.2">
      <c r="A1401" t="e">
        <f t="shared" si="21"/>
        <v>#VALUE!</v>
      </c>
      <c r="B1401" t="s">
        <v>40</v>
      </c>
    </row>
    <row r="1402" spans="1:2" x14ac:dyDescent="0.2">
      <c r="A1402" t="e">
        <f t="shared" si="21"/>
        <v>#VALUE!</v>
      </c>
      <c r="B1402" t="s">
        <v>40</v>
      </c>
    </row>
    <row r="1403" spans="1:2" x14ac:dyDescent="0.2">
      <c r="A1403" t="e">
        <f t="shared" si="21"/>
        <v>#VALUE!</v>
      </c>
      <c r="B1403" t="s">
        <v>40</v>
      </c>
    </row>
    <row r="1404" spans="1:2" x14ac:dyDescent="0.2">
      <c r="A1404" t="e">
        <f t="shared" si="21"/>
        <v>#VALUE!</v>
      </c>
      <c r="B1404" t="s">
        <v>40</v>
      </c>
    </row>
    <row r="1405" spans="1:2" x14ac:dyDescent="0.2">
      <c r="A1405" t="e">
        <f t="shared" si="21"/>
        <v>#VALUE!</v>
      </c>
      <c r="B1405" t="s">
        <v>40</v>
      </c>
    </row>
    <row r="1406" spans="1:2" x14ac:dyDescent="0.2">
      <c r="A1406" t="e">
        <f t="shared" si="21"/>
        <v>#VALUE!</v>
      </c>
      <c r="B1406" t="s">
        <v>40</v>
      </c>
    </row>
    <row r="1407" spans="1:2" x14ac:dyDescent="0.2">
      <c r="A1407" t="e">
        <f t="shared" si="21"/>
        <v>#VALUE!</v>
      </c>
      <c r="B1407" t="s">
        <v>40</v>
      </c>
    </row>
    <row r="1408" spans="1:2" x14ac:dyDescent="0.2">
      <c r="A1408" t="e">
        <f t="shared" si="21"/>
        <v>#VALUE!</v>
      </c>
      <c r="B1408" t="s">
        <v>40</v>
      </c>
    </row>
    <row r="1409" spans="1:2" x14ac:dyDescent="0.2">
      <c r="A1409" t="e">
        <f t="shared" si="21"/>
        <v>#VALUE!</v>
      </c>
      <c r="B1409" t="s">
        <v>40</v>
      </c>
    </row>
    <row r="1410" spans="1:2" x14ac:dyDescent="0.2">
      <c r="A1410" t="e">
        <f t="shared" si="21"/>
        <v>#VALUE!</v>
      </c>
      <c r="B1410" t="s">
        <v>40</v>
      </c>
    </row>
    <row r="1411" spans="1:2" x14ac:dyDescent="0.2">
      <c r="A1411" t="e">
        <f t="shared" si="21"/>
        <v>#VALUE!</v>
      </c>
      <c r="B1411" t="s">
        <v>40</v>
      </c>
    </row>
    <row r="1412" spans="1:2" x14ac:dyDescent="0.2">
      <c r="A1412" t="e">
        <f t="shared" ref="A1412:A1475" si="22">VALUE(B1412)</f>
        <v>#VALUE!</v>
      </c>
      <c r="B1412" t="s">
        <v>40</v>
      </c>
    </row>
    <row r="1413" spans="1:2" x14ac:dyDescent="0.2">
      <c r="A1413" t="e">
        <f t="shared" si="22"/>
        <v>#VALUE!</v>
      </c>
      <c r="B1413" t="s">
        <v>40</v>
      </c>
    </row>
    <row r="1414" spans="1:2" x14ac:dyDescent="0.2">
      <c r="A1414" t="e">
        <f t="shared" si="22"/>
        <v>#VALUE!</v>
      </c>
      <c r="B1414" t="s">
        <v>40</v>
      </c>
    </row>
    <row r="1415" spans="1:2" x14ac:dyDescent="0.2">
      <c r="A1415" t="e">
        <f t="shared" si="22"/>
        <v>#VALUE!</v>
      </c>
      <c r="B1415" t="s">
        <v>40</v>
      </c>
    </row>
    <row r="1416" spans="1:2" x14ac:dyDescent="0.2">
      <c r="A1416" t="e">
        <f t="shared" si="22"/>
        <v>#VALUE!</v>
      </c>
      <c r="B1416" t="s">
        <v>40</v>
      </c>
    </row>
    <row r="1417" spans="1:2" x14ac:dyDescent="0.2">
      <c r="A1417" t="e">
        <f t="shared" si="22"/>
        <v>#VALUE!</v>
      </c>
      <c r="B1417" t="s">
        <v>40</v>
      </c>
    </row>
    <row r="1418" spans="1:2" x14ac:dyDescent="0.2">
      <c r="A1418" t="e">
        <f t="shared" si="22"/>
        <v>#VALUE!</v>
      </c>
      <c r="B1418" t="s">
        <v>40</v>
      </c>
    </row>
    <row r="1419" spans="1:2" x14ac:dyDescent="0.2">
      <c r="A1419" t="e">
        <f t="shared" si="22"/>
        <v>#VALUE!</v>
      </c>
      <c r="B1419" t="s">
        <v>40</v>
      </c>
    </row>
    <row r="1420" spans="1:2" x14ac:dyDescent="0.2">
      <c r="A1420" t="e">
        <f t="shared" si="22"/>
        <v>#VALUE!</v>
      </c>
      <c r="B1420" t="s">
        <v>40</v>
      </c>
    </row>
    <row r="1421" spans="1:2" x14ac:dyDescent="0.2">
      <c r="A1421" t="e">
        <f t="shared" si="22"/>
        <v>#VALUE!</v>
      </c>
      <c r="B1421" t="s">
        <v>40</v>
      </c>
    </row>
    <row r="1422" spans="1:2" x14ac:dyDescent="0.2">
      <c r="A1422" t="e">
        <f t="shared" si="22"/>
        <v>#VALUE!</v>
      </c>
      <c r="B1422" t="s">
        <v>40</v>
      </c>
    </row>
    <row r="1423" spans="1:2" x14ac:dyDescent="0.2">
      <c r="A1423" t="e">
        <f t="shared" si="22"/>
        <v>#VALUE!</v>
      </c>
      <c r="B1423" t="s">
        <v>40</v>
      </c>
    </row>
    <row r="1424" spans="1:2" x14ac:dyDescent="0.2">
      <c r="A1424" t="e">
        <f t="shared" si="22"/>
        <v>#VALUE!</v>
      </c>
      <c r="B1424" t="s">
        <v>40</v>
      </c>
    </row>
    <row r="1425" spans="1:2" x14ac:dyDescent="0.2">
      <c r="A1425" t="e">
        <f t="shared" si="22"/>
        <v>#VALUE!</v>
      </c>
      <c r="B1425" t="s">
        <v>40</v>
      </c>
    </row>
    <row r="1426" spans="1:2" x14ac:dyDescent="0.2">
      <c r="A1426" t="e">
        <f t="shared" si="22"/>
        <v>#VALUE!</v>
      </c>
      <c r="B1426" t="s">
        <v>40</v>
      </c>
    </row>
    <row r="1427" spans="1:2" x14ac:dyDescent="0.2">
      <c r="A1427" t="e">
        <f t="shared" si="22"/>
        <v>#VALUE!</v>
      </c>
      <c r="B1427" t="s">
        <v>40</v>
      </c>
    </row>
    <row r="1428" spans="1:2" x14ac:dyDescent="0.2">
      <c r="A1428" t="e">
        <f t="shared" si="22"/>
        <v>#VALUE!</v>
      </c>
      <c r="B1428" t="s">
        <v>40</v>
      </c>
    </row>
    <row r="1429" spans="1:2" x14ac:dyDescent="0.2">
      <c r="A1429" t="e">
        <f t="shared" si="22"/>
        <v>#VALUE!</v>
      </c>
      <c r="B1429" t="s">
        <v>40</v>
      </c>
    </row>
    <row r="1430" spans="1:2" x14ac:dyDescent="0.2">
      <c r="A1430" t="e">
        <f t="shared" si="22"/>
        <v>#VALUE!</v>
      </c>
      <c r="B1430" t="s">
        <v>40</v>
      </c>
    </row>
    <row r="1431" spans="1:2" x14ac:dyDescent="0.2">
      <c r="A1431" t="e">
        <f t="shared" si="22"/>
        <v>#VALUE!</v>
      </c>
      <c r="B1431" t="s">
        <v>40</v>
      </c>
    </row>
    <row r="1432" spans="1:2" x14ac:dyDescent="0.2">
      <c r="A1432" t="e">
        <f t="shared" si="22"/>
        <v>#VALUE!</v>
      </c>
      <c r="B1432" t="s">
        <v>40</v>
      </c>
    </row>
    <row r="1433" spans="1:2" x14ac:dyDescent="0.2">
      <c r="A1433" t="e">
        <f t="shared" si="22"/>
        <v>#VALUE!</v>
      </c>
      <c r="B1433" t="s">
        <v>40</v>
      </c>
    </row>
    <row r="1434" spans="1:2" x14ac:dyDescent="0.2">
      <c r="A1434" t="e">
        <f t="shared" si="22"/>
        <v>#VALUE!</v>
      </c>
      <c r="B1434" t="s">
        <v>40</v>
      </c>
    </row>
    <row r="1435" spans="1:2" x14ac:dyDescent="0.2">
      <c r="A1435" t="e">
        <f t="shared" si="22"/>
        <v>#VALUE!</v>
      </c>
      <c r="B1435" t="s">
        <v>40</v>
      </c>
    </row>
    <row r="1436" spans="1:2" x14ac:dyDescent="0.2">
      <c r="A1436" t="e">
        <f t="shared" si="22"/>
        <v>#VALUE!</v>
      </c>
      <c r="B1436" t="s">
        <v>40</v>
      </c>
    </row>
    <row r="1437" spans="1:2" x14ac:dyDescent="0.2">
      <c r="A1437" t="e">
        <f t="shared" si="22"/>
        <v>#VALUE!</v>
      </c>
      <c r="B1437" t="s">
        <v>40</v>
      </c>
    </row>
    <row r="1438" spans="1:2" x14ac:dyDescent="0.2">
      <c r="A1438" t="e">
        <f t="shared" si="22"/>
        <v>#VALUE!</v>
      </c>
      <c r="B1438" t="s">
        <v>40</v>
      </c>
    </row>
    <row r="1439" spans="1:2" x14ac:dyDescent="0.2">
      <c r="A1439" t="e">
        <f t="shared" si="22"/>
        <v>#VALUE!</v>
      </c>
      <c r="B1439" t="s">
        <v>40</v>
      </c>
    </row>
    <row r="1440" spans="1:2" x14ac:dyDescent="0.2">
      <c r="A1440" t="e">
        <f t="shared" si="22"/>
        <v>#VALUE!</v>
      </c>
      <c r="B1440" t="s">
        <v>40</v>
      </c>
    </row>
    <row r="1441" spans="1:2" x14ac:dyDescent="0.2">
      <c r="A1441" t="e">
        <f t="shared" si="22"/>
        <v>#VALUE!</v>
      </c>
      <c r="B1441" t="s">
        <v>40</v>
      </c>
    </row>
    <row r="1442" spans="1:2" x14ac:dyDescent="0.2">
      <c r="A1442" t="e">
        <f t="shared" si="22"/>
        <v>#VALUE!</v>
      </c>
      <c r="B1442" t="s">
        <v>40</v>
      </c>
    </row>
    <row r="1443" spans="1:2" x14ac:dyDescent="0.2">
      <c r="A1443" t="e">
        <f t="shared" si="22"/>
        <v>#VALUE!</v>
      </c>
      <c r="B1443" t="s">
        <v>40</v>
      </c>
    </row>
    <row r="1444" spans="1:2" x14ac:dyDescent="0.2">
      <c r="A1444" t="e">
        <f t="shared" si="22"/>
        <v>#VALUE!</v>
      </c>
      <c r="B1444" t="s">
        <v>40</v>
      </c>
    </row>
    <row r="1445" spans="1:2" x14ac:dyDescent="0.2">
      <c r="A1445" t="e">
        <f t="shared" si="22"/>
        <v>#VALUE!</v>
      </c>
      <c r="B1445" t="s">
        <v>40</v>
      </c>
    </row>
    <row r="1446" spans="1:2" x14ac:dyDescent="0.2">
      <c r="A1446" t="e">
        <f t="shared" si="22"/>
        <v>#VALUE!</v>
      </c>
      <c r="B1446" t="s">
        <v>40</v>
      </c>
    </row>
    <row r="1447" spans="1:2" x14ac:dyDescent="0.2">
      <c r="A1447" t="e">
        <f t="shared" si="22"/>
        <v>#VALUE!</v>
      </c>
      <c r="B1447" t="s">
        <v>40</v>
      </c>
    </row>
    <row r="1448" spans="1:2" x14ac:dyDescent="0.2">
      <c r="A1448" t="e">
        <f t="shared" si="22"/>
        <v>#VALUE!</v>
      </c>
      <c r="B1448" t="s">
        <v>40</v>
      </c>
    </row>
    <row r="1449" spans="1:2" x14ac:dyDescent="0.2">
      <c r="A1449" t="e">
        <f t="shared" si="22"/>
        <v>#VALUE!</v>
      </c>
      <c r="B1449" t="s">
        <v>40</v>
      </c>
    </row>
    <row r="1450" spans="1:2" x14ac:dyDescent="0.2">
      <c r="A1450" t="e">
        <f t="shared" si="22"/>
        <v>#VALUE!</v>
      </c>
      <c r="B1450" t="s">
        <v>40</v>
      </c>
    </row>
    <row r="1451" spans="1:2" x14ac:dyDescent="0.2">
      <c r="A1451" t="e">
        <f t="shared" si="22"/>
        <v>#VALUE!</v>
      </c>
      <c r="B1451" t="s">
        <v>40</v>
      </c>
    </row>
    <row r="1452" spans="1:2" x14ac:dyDescent="0.2">
      <c r="A1452" t="e">
        <f t="shared" si="22"/>
        <v>#VALUE!</v>
      </c>
      <c r="B1452" t="s">
        <v>40</v>
      </c>
    </row>
    <row r="1453" spans="1:2" x14ac:dyDescent="0.2">
      <c r="A1453" t="e">
        <f t="shared" si="22"/>
        <v>#VALUE!</v>
      </c>
      <c r="B1453" t="s">
        <v>40</v>
      </c>
    </row>
    <row r="1454" spans="1:2" x14ac:dyDescent="0.2">
      <c r="A1454" t="e">
        <f t="shared" si="22"/>
        <v>#VALUE!</v>
      </c>
      <c r="B1454" t="s">
        <v>40</v>
      </c>
    </row>
    <row r="1455" spans="1:2" x14ac:dyDescent="0.2">
      <c r="A1455" t="e">
        <f t="shared" si="22"/>
        <v>#VALUE!</v>
      </c>
      <c r="B1455" t="s">
        <v>40</v>
      </c>
    </row>
    <row r="1456" spans="1:2" x14ac:dyDescent="0.2">
      <c r="A1456">
        <f t="shared" si="22"/>
        <v>0</v>
      </c>
    </row>
    <row r="1457" spans="1:1" x14ac:dyDescent="0.2">
      <c r="A1457">
        <f t="shared" si="22"/>
        <v>0</v>
      </c>
    </row>
    <row r="1458" spans="1:1" x14ac:dyDescent="0.2">
      <c r="A1458">
        <f t="shared" si="22"/>
        <v>0</v>
      </c>
    </row>
    <row r="1459" spans="1:1" x14ac:dyDescent="0.2">
      <c r="A1459">
        <f t="shared" si="22"/>
        <v>0</v>
      </c>
    </row>
    <row r="1460" spans="1:1" x14ac:dyDescent="0.2">
      <c r="A1460">
        <f t="shared" si="22"/>
        <v>0</v>
      </c>
    </row>
    <row r="1461" spans="1:1" x14ac:dyDescent="0.2">
      <c r="A1461">
        <f t="shared" si="22"/>
        <v>0</v>
      </c>
    </row>
    <row r="1462" spans="1:1" x14ac:dyDescent="0.2">
      <c r="A1462">
        <f t="shared" si="22"/>
        <v>0</v>
      </c>
    </row>
    <row r="1463" spans="1:1" x14ac:dyDescent="0.2">
      <c r="A1463">
        <f t="shared" si="22"/>
        <v>0</v>
      </c>
    </row>
    <row r="1464" spans="1:1" x14ac:dyDescent="0.2">
      <c r="A1464">
        <f t="shared" si="22"/>
        <v>0</v>
      </c>
    </row>
    <row r="1465" spans="1:1" x14ac:dyDescent="0.2">
      <c r="A1465">
        <f t="shared" si="22"/>
        <v>0</v>
      </c>
    </row>
    <row r="1466" spans="1:1" x14ac:dyDescent="0.2">
      <c r="A1466">
        <f t="shared" si="22"/>
        <v>0</v>
      </c>
    </row>
    <row r="1467" spans="1:1" x14ac:dyDescent="0.2">
      <c r="A1467">
        <f t="shared" si="22"/>
        <v>0</v>
      </c>
    </row>
    <row r="1468" spans="1:1" x14ac:dyDescent="0.2">
      <c r="A1468">
        <f t="shared" si="22"/>
        <v>0</v>
      </c>
    </row>
    <row r="1469" spans="1:1" x14ac:dyDescent="0.2">
      <c r="A1469">
        <f t="shared" si="22"/>
        <v>0</v>
      </c>
    </row>
    <row r="1470" spans="1:1" x14ac:dyDescent="0.2">
      <c r="A1470">
        <f t="shared" si="22"/>
        <v>0</v>
      </c>
    </row>
    <row r="1471" spans="1:1" x14ac:dyDescent="0.2">
      <c r="A1471">
        <f t="shared" si="22"/>
        <v>0</v>
      </c>
    </row>
    <row r="1472" spans="1:1" x14ac:dyDescent="0.2">
      <c r="A1472">
        <f t="shared" si="22"/>
        <v>0</v>
      </c>
    </row>
    <row r="1473" spans="1:1" x14ac:dyDescent="0.2">
      <c r="A1473">
        <f t="shared" si="22"/>
        <v>0</v>
      </c>
    </row>
    <row r="1474" spans="1:1" x14ac:dyDescent="0.2">
      <c r="A1474">
        <f t="shared" si="22"/>
        <v>0</v>
      </c>
    </row>
    <row r="1475" spans="1:1" x14ac:dyDescent="0.2">
      <c r="A1475">
        <f t="shared" si="22"/>
        <v>0</v>
      </c>
    </row>
    <row r="1476" spans="1:1" x14ac:dyDescent="0.2">
      <c r="A1476">
        <f t="shared" ref="A1476:A1539" si="23">VALUE(B1476)</f>
        <v>0</v>
      </c>
    </row>
    <row r="1477" spans="1:1" x14ac:dyDescent="0.2">
      <c r="A1477">
        <f t="shared" si="23"/>
        <v>0</v>
      </c>
    </row>
    <row r="1478" spans="1:1" x14ac:dyDescent="0.2">
      <c r="A1478">
        <f t="shared" si="23"/>
        <v>0</v>
      </c>
    </row>
    <row r="1479" spans="1:1" x14ac:dyDescent="0.2">
      <c r="A1479">
        <f t="shared" si="23"/>
        <v>0</v>
      </c>
    </row>
    <row r="1480" spans="1:1" x14ac:dyDescent="0.2">
      <c r="A1480">
        <f t="shared" si="23"/>
        <v>0</v>
      </c>
    </row>
    <row r="1481" spans="1:1" x14ac:dyDescent="0.2">
      <c r="A1481">
        <f t="shared" si="23"/>
        <v>0</v>
      </c>
    </row>
    <row r="1482" spans="1:1" x14ac:dyDescent="0.2">
      <c r="A1482">
        <f t="shared" si="23"/>
        <v>0</v>
      </c>
    </row>
    <row r="1483" spans="1:1" x14ac:dyDescent="0.2">
      <c r="A1483">
        <f t="shared" si="23"/>
        <v>0</v>
      </c>
    </row>
    <row r="1484" spans="1:1" x14ac:dyDescent="0.2">
      <c r="A1484">
        <f t="shared" si="23"/>
        <v>0</v>
      </c>
    </row>
    <row r="1485" spans="1:1" x14ac:dyDescent="0.2">
      <c r="A1485">
        <f t="shared" si="23"/>
        <v>0</v>
      </c>
    </row>
    <row r="1486" spans="1:1" x14ac:dyDescent="0.2">
      <c r="A1486">
        <f t="shared" si="23"/>
        <v>0</v>
      </c>
    </row>
    <row r="1487" spans="1:1" x14ac:dyDescent="0.2">
      <c r="A1487">
        <f t="shared" si="23"/>
        <v>0</v>
      </c>
    </row>
    <row r="1488" spans="1:1" x14ac:dyDescent="0.2">
      <c r="A1488">
        <f t="shared" si="23"/>
        <v>0</v>
      </c>
    </row>
    <row r="1489" spans="1:1" x14ac:dyDescent="0.2">
      <c r="A1489">
        <f t="shared" si="23"/>
        <v>0</v>
      </c>
    </row>
    <row r="1490" spans="1:1" x14ac:dyDescent="0.2">
      <c r="A1490">
        <f t="shared" si="23"/>
        <v>0</v>
      </c>
    </row>
    <row r="1491" spans="1:1" x14ac:dyDescent="0.2">
      <c r="A1491">
        <f t="shared" si="23"/>
        <v>0</v>
      </c>
    </row>
    <row r="1492" spans="1:1" x14ac:dyDescent="0.2">
      <c r="A1492">
        <f t="shared" si="23"/>
        <v>0</v>
      </c>
    </row>
    <row r="1493" spans="1:1" x14ac:dyDescent="0.2">
      <c r="A1493">
        <f t="shared" si="23"/>
        <v>0</v>
      </c>
    </row>
    <row r="1494" spans="1:1" x14ac:dyDescent="0.2">
      <c r="A1494">
        <f t="shared" si="23"/>
        <v>0</v>
      </c>
    </row>
    <row r="1495" spans="1:1" x14ac:dyDescent="0.2">
      <c r="A1495">
        <f t="shared" si="23"/>
        <v>0</v>
      </c>
    </row>
    <row r="1496" spans="1:1" x14ac:dyDescent="0.2">
      <c r="A1496">
        <f t="shared" si="23"/>
        <v>0</v>
      </c>
    </row>
    <row r="1497" spans="1:1" x14ac:dyDescent="0.2">
      <c r="A1497">
        <f t="shared" si="23"/>
        <v>0</v>
      </c>
    </row>
    <row r="1498" spans="1:1" x14ac:dyDescent="0.2">
      <c r="A1498">
        <f t="shared" si="23"/>
        <v>0</v>
      </c>
    </row>
    <row r="1499" spans="1:1" x14ac:dyDescent="0.2">
      <c r="A1499">
        <f t="shared" si="23"/>
        <v>0</v>
      </c>
    </row>
    <row r="1500" spans="1:1" x14ac:dyDescent="0.2">
      <c r="A1500">
        <f t="shared" si="23"/>
        <v>0</v>
      </c>
    </row>
    <row r="1501" spans="1:1" x14ac:dyDescent="0.2">
      <c r="A1501">
        <f t="shared" si="23"/>
        <v>0</v>
      </c>
    </row>
    <row r="1502" spans="1:1" x14ac:dyDescent="0.2">
      <c r="A1502">
        <f t="shared" si="23"/>
        <v>0</v>
      </c>
    </row>
    <row r="1503" spans="1:1" x14ac:dyDescent="0.2">
      <c r="A1503">
        <f t="shared" si="23"/>
        <v>0</v>
      </c>
    </row>
    <row r="1504" spans="1:1" x14ac:dyDescent="0.2">
      <c r="A1504">
        <f t="shared" si="23"/>
        <v>0</v>
      </c>
    </row>
    <row r="1505" spans="1:1" x14ac:dyDescent="0.2">
      <c r="A1505">
        <f t="shared" si="23"/>
        <v>0</v>
      </c>
    </row>
    <row r="1506" spans="1:1" x14ac:dyDescent="0.2">
      <c r="A1506">
        <f t="shared" si="23"/>
        <v>0</v>
      </c>
    </row>
    <row r="1507" spans="1:1" x14ac:dyDescent="0.2">
      <c r="A1507">
        <f t="shared" si="23"/>
        <v>0</v>
      </c>
    </row>
    <row r="1508" spans="1:1" x14ac:dyDescent="0.2">
      <c r="A1508">
        <f t="shared" si="23"/>
        <v>0</v>
      </c>
    </row>
    <row r="1509" spans="1:1" x14ac:dyDescent="0.2">
      <c r="A1509">
        <f t="shared" si="23"/>
        <v>0</v>
      </c>
    </row>
    <row r="1510" spans="1:1" x14ac:dyDescent="0.2">
      <c r="A1510">
        <f t="shared" si="23"/>
        <v>0</v>
      </c>
    </row>
    <row r="1511" spans="1:1" x14ac:dyDescent="0.2">
      <c r="A1511">
        <f t="shared" si="23"/>
        <v>0</v>
      </c>
    </row>
    <row r="1512" spans="1:1" x14ac:dyDescent="0.2">
      <c r="A1512">
        <f t="shared" si="23"/>
        <v>0</v>
      </c>
    </row>
    <row r="1513" spans="1:1" x14ac:dyDescent="0.2">
      <c r="A1513">
        <f t="shared" si="23"/>
        <v>0</v>
      </c>
    </row>
    <row r="1514" spans="1:1" x14ac:dyDescent="0.2">
      <c r="A1514">
        <f t="shared" si="23"/>
        <v>0</v>
      </c>
    </row>
    <row r="1515" spans="1:1" x14ac:dyDescent="0.2">
      <c r="A1515">
        <f t="shared" si="23"/>
        <v>0</v>
      </c>
    </row>
    <row r="1516" spans="1:1" x14ac:dyDescent="0.2">
      <c r="A1516">
        <f t="shared" si="23"/>
        <v>0</v>
      </c>
    </row>
    <row r="1517" spans="1:1" x14ac:dyDescent="0.2">
      <c r="A1517">
        <f t="shared" si="23"/>
        <v>0</v>
      </c>
    </row>
    <row r="1518" spans="1:1" x14ac:dyDescent="0.2">
      <c r="A1518">
        <f t="shared" si="23"/>
        <v>0</v>
      </c>
    </row>
    <row r="1519" spans="1:1" x14ac:dyDescent="0.2">
      <c r="A1519">
        <f t="shared" si="23"/>
        <v>0</v>
      </c>
    </row>
    <row r="1520" spans="1:1" x14ac:dyDescent="0.2">
      <c r="A1520">
        <f t="shared" si="23"/>
        <v>0</v>
      </c>
    </row>
    <row r="1521" spans="1:1" x14ac:dyDescent="0.2">
      <c r="A1521">
        <f t="shared" si="23"/>
        <v>0</v>
      </c>
    </row>
    <row r="1522" spans="1:1" x14ac:dyDescent="0.2">
      <c r="A1522">
        <f t="shared" si="23"/>
        <v>0</v>
      </c>
    </row>
    <row r="1523" spans="1:1" x14ac:dyDescent="0.2">
      <c r="A1523">
        <f t="shared" si="23"/>
        <v>0</v>
      </c>
    </row>
    <row r="1524" spans="1:1" x14ac:dyDescent="0.2">
      <c r="A1524">
        <f t="shared" si="23"/>
        <v>0</v>
      </c>
    </row>
    <row r="1525" spans="1:1" x14ac:dyDescent="0.2">
      <c r="A1525">
        <f t="shared" si="23"/>
        <v>0</v>
      </c>
    </row>
    <row r="1526" spans="1:1" x14ac:dyDescent="0.2">
      <c r="A1526">
        <f t="shared" si="23"/>
        <v>0</v>
      </c>
    </row>
    <row r="1527" spans="1:1" x14ac:dyDescent="0.2">
      <c r="A1527">
        <f t="shared" si="23"/>
        <v>0</v>
      </c>
    </row>
    <row r="1528" spans="1:1" x14ac:dyDescent="0.2">
      <c r="A1528">
        <f t="shared" si="23"/>
        <v>0</v>
      </c>
    </row>
    <row r="1529" spans="1:1" x14ac:dyDescent="0.2">
      <c r="A1529">
        <f t="shared" si="23"/>
        <v>0</v>
      </c>
    </row>
    <row r="1530" spans="1:1" x14ac:dyDescent="0.2">
      <c r="A1530">
        <f t="shared" si="23"/>
        <v>0</v>
      </c>
    </row>
    <row r="1531" spans="1:1" x14ac:dyDescent="0.2">
      <c r="A1531">
        <f t="shared" si="23"/>
        <v>0</v>
      </c>
    </row>
    <row r="1532" spans="1:1" x14ac:dyDescent="0.2">
      <c r="A1532">
        <f t="shared" si="23"/>
        <v>0</v>
      </c>
    </row>
    <row r="1533" spans="1:1" x14ac:dyDescent="0.2">
      <c r="A1533">
        <f t="shared" si="23"/>
        <v>0</v>
      </c>
    </row>
    <row r="1534" spans="1:1" x14ac:dyDescent="0.2">
      <c r="A1534">
        <f t="shared" si="23"/>
        <v>0</v>
      </c>
    </row>
    <row r="1535" spans="1:1" x14ac:dyDescent="0.2">
      <c r="A1535">
        <f t="shared" si="23"/>
        <v>0</v>
      </c>
    </row>
    <row r="1536" spans="1:1" x14ac:dyDescent="0.2">
      <c r="A1536">
        <f t="shared" si="23"/>
        <v>0</v>
      </c>
    </row>
    <row r="1537" spans="1:1" x14ac:dyDescent="0.2">
      <c r="A1537">
        <f t="shared" si="23"/>
        <v>0</v>
      </c>
    </row>
    <row r="1538" spans="1:1" x14ac:dyDescent="0.2">
      <c r="A1538">
        <f t="shared" si="23"/>
        <v>0</v>
      </c>
    </row>
    <row r="1539" spans="1:1" x14ac:dyDescent="0.2">
      <c r="A1539">
        <f t="shared" si="23"/>
        <v>0</v>
      </c>
    </row>
    <row r="1540" spans="1:1" x14ac:dyDescent="0.2">
      <c r="A1540">
        <f t="shared" ref="A1540:A1603" si="24">VALUE(B1540)</f>
        <v>0</v>
      </c>
    </row>
    <row r="1541" spans="1:1" x14ac:dyDescent="0.2">
      <c r="A1541">
        <f t="shared" si="24"/>
        <v>0</v>
      </c>
    </row>
    <row r="1542" spans="1:1" x14ac:dyDescent="0.2">
      <c r="A1542">
        <f t="shared" si="24"/>
        <v>0</v>
      </c>
    </row>
    <row r="1543" spans="1:1" x14ac:dyDescent="0.2">
      <c r="A1543">
        <f t="shared" si="24"/>
        <v>0</v>
      </c>
    </row>
    <row r="1544" spans="1:1" x14ac:dyDescent="0.2">
      <c r="A1544">
        <f t="shared" si="24"/>
        <v>0</v>
      </c>
    </row>
    <row r="1545" spans="1:1" x14ac:dyDescent="0.2">
      <c r="A1545">
        <f t="shared" si="24"/>
        <v>0</v>
      </c>
    </row>
    <row r="1546" spans="1:1" x14ac:dyDescent="0.2">
      <c r="A1546">
        <f t="shared" si="24"/>
        <v>0</v>
      </c>
    </row>
    <row r="1547" spans="1:1" x14ac:dyDescent="0.2">
      <c r="A1547">
        <f t="shared" si="24"/>
        <v>0</v>
      </c>
    </row>
    <row r="1548" spans="1:1" x14ac:dyDescent="0.2">
      <c r="A1548">
        <f t="shared" si="24"/>
        <v>0</v>
      </c>
    </row>
    <row r="1549" spans="1:1" x14ac:dyDescent="0.2">
      <c r="A1549">
        <f t="shared" si="24"/>
        <v>0</v>
      </c>
    </row>
    <row r="1550" spans="1:1" x14ac:dyDescent="0.2">
      <c r="A1550">
        <f t="shared" si="24"/>
        <v>0</v>
      </c>
    </row>
    <row r="1551" spans="1:1" x14ac:dyDescent="0.2">
      <c r="A1551">
        <f t="shared" si="24"/>
        <v>0</v>
      </c>
    </row>
    <row r="1552" spans="1:1" x14ac:dyDescent="0.2">
      <c r="A1552">
        <f t="shared" si="24"/>
        <v>0</v>
      </c>
    </row>
    <row r="1553" spans="1:1" x14ac:dyDescent="0.2">
      <c r="A1553">
        <f t="shared" si="24"/>
        <v>0</v>
      </c>
    </row>
    <row r="1554" spans="1:1" x14ac:dyDescent="0.2">
      <c r="A1554">
        <f t="shared" si="24"/>
        <v>0</v>
      </c>
    </row>
    <row r="1555" spans="1:1" x14ac:dyDescent="0.2">
      <c r="A1555">
        <f t="shared" si="24"/>
        <v>0</v>
      </c>
    </row>
    <row r="1556" spans="1:1" x14ac:dyDescent="0.2">
      <c r="A1556">
        <f t="shared" si="24"/>
        <v>0</v>
      </c>
    </row>
    <row r="1557" spans="1:1" x14ac:dyDescent="0.2">
      <c r="A1557">
        <f t="shared" si="24"/>
        <v>0</v>
      </c>
    </row>
    <row r="1558" spans="1:1" x14ac:dyDescent="0.2">
      <c r="A1558">
        <f t="shared" si="24"/>
        <v>0</v>
      </c>
    </row>
    <row r="1559" spans="1:1" x14ac:dyDescent="0.2">
      <c r="A1559">
        <f t="shared" si="24"/>
        <v>0</v>
      </c>
    </row>
    <row r="1560" spans="1:1" x14ac:dyDescent="0.2">
      <c r="A1560">
        <f t="shared" si="24"/>
        <v>0</v>
      </c>
    </row>
    <row r="1561" spans="1:1" x14ac:dyDescent="0.2">
      <c r="A1561">
        <f t="shared" si="24"/>
        <v>0</v>
      </c>
    </row>
    <row r="1562" spans="1:1" x14ac:dyDescent="0.2">
      <c r="A1562">
        <f t="shared" si="24"/>
        <v>0</v>
      </c>
    </row>
    <row r="1563" spans="1:1" x14ac:dyDescent="0.2">
      <c r="A1563">
        <f t="shared" si="24"/>
        <v>0</v>
      </c>
    </row>
    <row r="1564" spans="1:1" x14ac:dyDescent="0.2">
      <c r="A1564">
        <f t="shared" si="24"/>
        <v>0</v>
      </c>
    </row>
    <row r="1565" spans="1:1" x14ac:dyDescent="0.2">
      <c r="A1565">
        <f t="shared" si="24"/>
        <v>0</v>
      </c>
    </row>
    <row r="1566" spans="1:1" x14ac:dyDescent="0.2">
      <c r="A1566">
        <f t="shared" si="24"/>
        <v>0</v>
      </c>
    </row>
    <row r="1567" spans="1:1" x14ac:dyDescent="0.2">
      <c r="A1567">
        <f t="shared" si="24"/>
        <v>0</v>
      </c>
    </row>
    <row r="1568" spans="1:1" x14ac:dyDescent="0.2">
      <c r="A1568">
        <f t="shared" si="24"/>
        <v>0</v>
      </c>
    </row>
    <row r="1569" spans="1:1" x14ac:dyDescent="0.2">
      <c r="A1569">
        <f t="shared" si="24"/>
        <v>0</v>
      </c>
    </row>
    <row r="1570" spans="1:1" x14ac:dyDescent="0.2">
      <c r="A1570">
        <f t="shared" si="24"/>
        <v>0</v>
      </c>
    </row>
    <row r="1571" spans="1:1" x14ac:dyDescent="0.2">
      <c r="A1571">
        <f t="shared" si="24"/>
        <v>0</v>
      </c>
    </row>
    <row r="1572" spans="1:1" x14ac:dyDescent="0.2">
      <c r="A1572">
        <f t="shared" si="24"/>
        <v>0</v>
      </c>
    </row>
    <row r="1573" spans="1:1" x14ac:dyDescent="0.2">
      <c r="A1573">
        <f t="shared" si="24"/>
        <v>0</v>
      </c>
    </row>
    <row r="1574" spans="1:1" x14ac:dyDescent="0.2">
      <c r="A1574">
        <f t="shared" si="24"/>
        <v>0</v>
      </c>
    </row>
    <row r="1575" spans="1:1" x14ac:dyDescent="0.2">
      <c r="A1575">
        <f t="shared" si="24"/>
        <v>0</v>
      </c>
    </row>
    <row r="1576" spans="1:1" x14ac:dyDescent="0.2">
      <c r="A1576">
        <f t="shared" si="24"/>
        <v>0</v>
      </c>
    </row>
    <row r="1577" spans="1:1" x14ac:dyDescent="0.2">
      <c r="A1577">
        <f t="shared" si="24"/>
        <v>0</v>
      </c>
    </row>
    <row r="1578" spans="1:1" x14ac:dyDescent="0.2">
      <c r="A1578">
        <f t="shared" si="24"/>
        <v>0</v>
      </c>
    </row>
    <row r="1579" spans="1:1" x14ac:dyDescent="0.2">
      <c r="A1579">
        <f t="shared" si="24"/>
        <v>0</v>
      </c>
    </row>
    <row r="1580" spans="1:1" x14ac:dyDescent="0.2">
      <c r="A1580">
        <f t="shared" si="24"/>
        <v>0</v>
      </c>
    </row>
    <row r="1581" spans="1:1" x14ac:dyDescent="0.2">
      <c r="A1581">
        <f t="shared" si="24"/>
        <v>0</v>
      </c>
    </row>
    <row r="1582" spans="1:1" x14ac:dyDescent="0.2">
      <c r="A1582">
        <f t="shared" si="24"/>
        <v>0</v>
      </c>
    </row>
    <row r="1583" spans="1:1" x14ac:dyDescent="0.2">
      <c r="A1583">
        <f t="shared" si="24"/>
        <v>0</v>
      </c>
    </row>
    <row r="1584" spans="1:1" x14ac:dyDescent="0.2">
      <c r="A1584">
        <f t="shared" si="24"/>
        <v>0</v>
      </c>
    </row>
    <row r="1585" spans="1:1" x14ac:dyDescent="0.2">
      <c r="A1585">
        <f t="shared" si="24"/>
        <v>0</v>
      </c>
    </row>
    <row r="1586" spans="1:1" x14ac:dyDescent="0.2">
      <c r="A1586">
        <f t="shared" si="24"/>
        <v>0</v>
      </c>
    </row>
    <row r="1587" spans="1:1" x14ac:dyDescent="0.2">
      <c r="A1587">
        <f t="shared" si="24"/>
        <v>0</v>
      </c>
    </row>
    <row r="1588" spans="1:1" x14ac:dyDescent="0.2">
      <c r="A1588">
        <f t="shared" si="24"/>
        <v>0</v>
      </c>
    </row>
    <row r="1589" spans="1:1" x14ac:dyDescent="0.2">
      <c r="A1589">
        <f t="shared" si="24"/>
        <v>0</v>
      </c>
    </row>
    <row r="1590" spans="1:1" x14ac:dyDescent="0.2">
      <c r="A1590">
        <f t="shared" si="24"/>
        <v>0</v>
      </c>
    </row>
    <row r="1591" spans="1:1" x14ac:dyDescent="0.2">
      <c r="A1591">
        <f t="shared" si="24"/>
        <v>0</v>
      </c>
    </row>
    <row r="1592" spans="1:1" x14ac:dyDescent="0.2">
      <c r="A1592">
        <f t="shared" si="24"/>
        <v>0</v>
      </c>
    </row>
    <row r="1593" spans="1:1" x14ac:dyDescent="0.2">
      <c r="A1593">
        <f t="shared" si="24"/>
        <v>0</v>
      </c>
    </row>
    <row r="1594" spans="1:1" x14ac:dyDescent="0.2">
      <c r="A1594">
        <f t="shared" si="24"/>
        <v>0</v>
      </c>
    </row>
    <row r="1595" spans="1:1" x14ac:dyDescent="0.2">
      <c r="A1595">
        <f t="shared" si="24"/>
        <v>0</v>
      </c>
    </row>
    <row r="1596" spans="1:1" x14ac:dyDescent="0.2">
      <c r="A1596">
        <f t="shared" si="24"/>
        <v>0</v>
      </c>
    </row>
    <row r="1597" spans="1:1" x14ac:dyDescent="0.2">
      <c r="A1597">
        <f t="shared" si="24"/>
        <v>0</v>
      </c>
    </row>
    <row r="1598" spans="1:1" x14ac:dyDescent="0.2">
      <c r="A1598">
        <f t="shared" si="24"/>
        <v>0</v>
      </c>
    </row>
    <row r="1599" spans="1:1" x14ac:dyDescent="0.2">
      <c r="A1599">
        <f t="shared" si="24"/>
        <v>0</v>
      </c>
    </row>
    <row r="1600" spans="1:1" x14ac:dyDescent="0.2">
      <c r="A1600">
        <f t="shared" si="24"/>
        <v>0</v>
      </c>
    </row>
    <row r="1601" spans="1:1" x14ac:dyDescent="0.2">
      <c r="A1601">
        <f t="shared" si="24"/>
        <v>0</v>
      </c>
    </row>
    <row r="1602" spans="1:1" x14ac:dyDescent="0.2">
      <c r="A1602">
        <f t="shared" si="24"/>
        <v>0</v>
      </c>
    </row>
    <row r="1603" spans="1:1" x14ac:dyDescent="0.2">
      <c r="A1603">
        <f t="shared" si="24"/>
        <v>0</v>
      </c>
    </row>
    <row r="1604" spans="1:1" x14ac:dyDescent="0.2">
      <c r="A1604">
        <f t="shared" ref="A1604:A1667" si="25">VALUE(B1604)</f>
        <v>0</v>
      </c>
    </row>
    <row r="1605" spans="1:1" x14ac:dyDescent="0.2">
      <c r="A1605">
        <f t="shared" si="25"/>
        <v>0</v>
      </c>
    </row>
    <row r="1606" spans="1:1" x14ac:dyDescent="0.2">
      <c r="A1606">
        <f t="shared" si="25"/>
        <v>0</v>
      </c>
    </row>
    <row r="1607" spans="1:1" x14ac:dyDescent="0.2">
      <c r="A1607">
        <f t="shared" si="25"/>
        <v>0</v>
      </c>
    </row>
    <row r="1608" spans="1:1" x14ac:dyDescent="0.2">
      <c r="A1608">
        <f t="shared" si="25"/>
        <v>0</v>
      </c>
    </row>
    <row r="1609" spans="1:1" x14ac:dyDescent="0.2">
      <c r="A1609">
        <f t="shared" si="25"/>
        <v>0</v>
      </c>
    </row>
    <row r="1610" spans="1:1" x14ac:dyDescent="0.2">
      <c r="A1610">
        <f t="shared" si="25"/>
        <v>0</v>
      </c>
    </row>
    <row r="1611" spans="1:1" x14ac:dyDescent="0.2">
      <c r="A1611">
        <f t="shared" si="25"/>
        <v>0</v>
      </c>
    </row>
    <row r="1612" spans="1:1" x14ac:dyDescent="0.2">
      <c r="A1612">
        <f t="shared" si="25"/>
        <v>0</v>
      </c>
    </row>
    <row r="1613" spans="1:1" x14ac:dyDescent="0.2">
      <c r="A1613">
        <f t="shared" si="25"/>
        <v>0</v>
      </c>
    </row>
    <row r="1614" spans="1:1" x14ac:dyDescent="0.2">
      <c r="A1614">
        <f t="shared" si="25"/>
        <v>0</v>
      </c>
    </row>
    <row r="1615" spans="1:1" x14ac:dyDescent="0.2">
      <c r="A1615">
        <f t="shared" si="25"/>
        <v>0</v>
      </c>
    </row>
    <row r="1616" spans="1:1" x14ac:dyDescent="0.2">
      <c r="A1616">
        <f t="shared" si="25"/>
        <v>0</v>
      </c>
    </row>
    <row r="1617" spans="1:1" x14ac:dyDescent="0.2">
      <c r="A1617">
        <f t="shared" si="25"/>
        <v>0</v>
      </c>
    </row>
    <row r="1618" spans="1:1" x14ac:dyDescent="0.2">
      <c r="A1618">
        <f t="shared" si="25"/>
        <v>0</v>
      </c>
    </row>
    <row r="1619" spans="1:1" x14ac:dyDescent="0.2">
      <c r="A1619">
        <f t="shared" si="25"/>
        <v>0</v>
      </c>
    </row>
    <row r="1620" spans="1:1" x14ac:dyDescent="0.2">
      <c r="A1620">
        <f t="shared" si="25"/>
        <v>0</v>
      </c>
    </row>
    <row r="1621" spans="1:1" x14ac:dyDescent="0.2">
      <c r="A1621">
        <f t="shared" si="25"/>
        <v>0</v>
      </c>
    </row>
    <row r="1622" spans="1:1" x14ac:dyDescent="0.2">
      <c r="A1622">
        <f t="shared" si="25"/>
        <v>0</v>
      </c>
    </row>
    <row r="1623" spans="1:1" x14ac:dyDescent="0.2">
      <c r="A1623">
        <f t="shared" si="25"/>
        <v>0</v>
      </c>
    </row>
    <row r="1624" spans="1:1" x14ac:dyDescent="0.2">
      <c r="A1624">
        <f t="shared" si="25"/>
        <v>0</v>
      </c>
    </row>
    <row r="1625" spans="1:1" x14ac:dyDescent="0.2">
      <c r="A1625">
        <f t="shared" si="25"/>
        <v>0</v>
      </c>
    </row>
    <row r="1626" spans="1:1" x14ac:dyDescent="0.2">
      <c r="A1626">
        <f t="shared" si="25"/>
        <v>0</v>
      </c>
    </row>
    <row r="1627" spans="1:1" x14ac:dyDescent="0.2">
      <c r="A1627">
        <f t="shared" si="25"/>
        <v>0</v>
      </c>
    </row>
    <row r="1628" spans="1:1" x14ac:dyDescent="0.2">
      <c r="A1628">
        <f t="shared" si="25"/>
        <v>0</v>
      </c>
    </row>
    <row r="1629" spans="1:1" x14ac:dyDescent="0.2">
      <c r="A1629">
        <f t="shared" si="25"/>
        <v>0</v>
      </c>
    </row>
    <row r="1630" spans="1:1" x14ac:dyDescent="0.2">
      <c r="A1630">
        <f t="shared" si="25"/>
        <v>0</v>
      </c>
    </row>
    <row r="1631" spans="1:1" x14ac:dyDescent="0.2">
      <c r="A1631">
        <f t="shared" si="25"/>
        <v>0</v>
      </c>
    </row>
    <row r="1632" spans="1:1" x14ac:dyDescent="0.2">
      <c r="A1632">
        <f t="shared" si="25"/>
        <v>0</v>
      </c>
    </row>
    <row r="1633" spans="1:1" x14ac:dyDescent="0.2">
      <c r="A1633">
        <f t="shared" si="25"/>
        <v>0</v>
      </c>
    </row>
    <row r="1634" spans="1:1" x14ac:dyDescent="0.2">
      <c r="A1634">
        <f t="shared" si="25"/>
        <v>0</v>
      </c>
    </row>
    <row r="1635" spans="1:1" x14ac:dyDescent="0.2">
      <c r="A1635">
        <f t="shared" si="25"/>
        <v>0</v>
      </c>
    </row>
    <row r="1636" spans="1:1" x14ac:dyDescent="0.2">
      <c r="A1636">
        <f t="shared" si="25"/>
        <v>0</v>
      </c>
    </row>
    <row r="1637" spans="1:1" x14ac:dyDescent="0.2">
      <c r="A1637">
        <f t="shared" si="25"/>
        <v>0</v>
      </c>
    </row>
    <row r="1638" spans="1:1" x14ac:dyDescent="0.2">
      <c r="A1638">
        <f t="shared" si="25"/>
        <v>0</v>
      </c>
    </row>
    <row r="1639" spans="1:1" x14ac:dyDescent="0.2">
      <c r="A1639">
        <f t="shared" si="25"/>
        <v>0</v>
      </c>
    </row>
    <row r="1640" spans="1:1" x14ac:dyDescent="0.2">
      <c r="A1640">
        <f t="shared" si="25"/>
        <v>0</v>
      </c>
    </row>
    <row r="1641" spans="1:1" x14ac:dyDescent="0.2">
      <c r="A1641">
        <f t="shared" si="25"/>
        <v>0</v>
      </c>
    </row>
    <row r="1642" spans="1:1" x14ac:dyDescent="0.2">
      <c r="A1642">
        <f t="shared" si="25"/>
        <v>0</v>
      </c>
    </row>
    <row r="1643" spans="1:1" x14ac:dyDescent="0.2">
      <c r="A1643">
        <f t="shared" si="25"/>
        <v>0</v>
      </c>
    </row>
    <row r="1644" spans="1:1" x14ac:dyDescent="0.2">
      <c r="A1644">
        <f t="shared" si="25"/>
        <v>0</v>
      </c>
    </row>
    <row r="1645" spans="1:1" x14ac:dyDescent="0.2">
      <c r="A1645">
        <f t="shared" si="25"/>
        <v>0</v>
      </c>
    </row>
    <row r="1646" spans="1:1" x14ac:dyDescent="0.2">
      <c r="A1646">
        <f t="shared" si="25"/>
        <v>0</v>
      </c>
    </row>
    <row r="1647" spans="1:1" x14ac:dyDescent="0.2">
      <c r="A1647">
        <f t="shared" si="25"/>
        <v>0</v>
      </c>
    </row>
    <row r="1648" spans="1:1" x14ac:dyDescent="0.2">
      <c r="A1648">
        <f t="shared" si="25"/>
        <v>0</v>
      </c>
    </row>
    <row r="1649" spans="1:1" x14ac:dyDescent="0.2">
      <c r="A1649">
        <f t="shared" si="25"/>
        <v>0</v>
      </c>
    </row>
    <row r="1650" spans="1:1" x14ac:dyDescent="0.2">
      <c r="A1650">
        <f t="shared" si="25"/>
        <v>0</v>
      </c>
    </row>
    <row r="1651" spans="1:1" x14ac:dyDescent="0.2">
      <c r="A1651">
        <f t="shared" si="25"/>
        <v>0</v>
      </c>
    </row>
    <row r="1652" spans="1:1" x14ac:dyDescent="0.2">
      <c r="A1652">
        <f t="shared" si="25"/>
        <v>0</v>
      </c>
    </row>
    <row r="1653" spans="1:1" x14ac:dyDescent="0.2">
      <c r="A1653">
        <f t="shared" si="25"/>
        <v>0</v>
      </c>
    </row>
    <row r="1654" spans="1:1" x14ac:dyDescent="0.2">
      <c r="A1654">
        <f t="shared" si="25"/>
        <v>0</v>
      </c>
    </row>
    <row r="1655" spans="1:1" x14ac:dyDescent="0.2">
      <c r="A1655">
        <f t="shared" si="25"/>
        <v>0</v>
      </c>
    </row>
    <row r="1656" spans="1:1" x14ac:dyDescent="0.2">
      <c r="A1656">
        <f t="shared" si="25"/>
        <v>0</v>
      </c>
    </row>
    <row r="1657" spans="1:1" x14ac:dyDescent="0.2">
      <c r="A1657">
        <f t="shared" si="25"/>
        <v>0</v>
      </c>
    </row>
    <row r="1658" spans="1:1" x14ac:dyDescent="0.2">
      <c r="A1658">
        <f t="shared" si="25"/>
        <v>0</v>
      </c>
    </row>
    <row r="1659" spans="1:1" x14ac:dyDescent="0.2">
      <c r="A1659">
        <f t="shared" si="25"/>
        <v>0</v>
      </c>
    </row>
    <row r="1660" spans="1:1" x14ac:dyDescent="0.2">
      <c r="A1660">
        <f t="shared" si="25"/>
        <v>0</v>
      </c>
    </row>
    <row r="1661" spans="1:1" x14ac:dyDescent="0.2">
      <c r="A1661">
        <f t="shared" si="25"/>
        <v>0</v>
      </c>
    </row>
    <row r="1662" spans="1:1" x14ac:dyDescent="0.2">
      <c r="A1662">
        <f t="shared" si="25"/>
        <v>0</v>
      </c>
    </row>
    <row r="1663" spans="1:1" x14ac:dyDescent="0.2">
      <c r="A1663">
        <f t="shared" si="25"/>
        <v>0</v>
      </c>
    </row>
    <row r="1664" spans="1:1" x14ac:dyDescent="0.2">
      <c r="A1664">
        <f t="shared" si="25"/>
        <v>0</v>
      </c>
    </row>
    <row r="1665" spans="1:1" x14ac:dyDescent="0.2">
      <c r="A1665">
        <f t="shared" si="25"/>
        <v>0</v>
      </c>
    </row>
    <row r="1666" spans="1:1" x14ac:dyDescent="0.2">
      <c r="A1666">
        <f t="shared" si="25"/>
        <v>0</v>
      </c>
    </row>
    <row r="1667" spans="1:1" x14ac:dyDescent="0.2">
      <c r="A1667">
        <f t="shared" si="25"/>
        <v>0</v>
      </c>
    </row>
    <row r="1668" spans="1:1" x14ac:dyDescent="0.2">
      <c r="A1668">
        <f t="shared" ref="A1668:A1731" si="26">VALUE(B1668)</f>
        <v>0</v>
      </c>
    </row>
    <row r="1669" spans="1:1" x14ac:dyDescent="0.2">
      <c r="A1669">
        <f t="shared" si="26"/>
        <v>0</v>
      </c>
    </row>
    <row r="1670" spans="1:1" x14ac:dyDescent="0.2">
      <c r="A1670">
        <f t="shared" si="26"/>
        <v>0</v>
      </c>
    </row>
    <row r="1671" spans="1:1" x14ac:dyDescent="0.2">
      <c r="A1671">
        <f t="shared" si="26"/>
        <v>0</v>
      </c>
    </row>
    <row r="1672" spans="1:1" x14ac:dyDescent="0.2">
      <c r="A1672">
        <f t="shared" si="26"/>
        <v>0</v>
      </c>
    </row>
    <row r="1673" spans="1:1" x14ac:dyDescent="0.2">
      <c r="A1673">
        <f t="shared" si="26"/>
        <v>0</v>
      </c>
    </row>
    <row r="1674" spans="1:1" x14ac:dyDescent="0.2">
      <c r="A1674">
        <f t="shared" si="26"/>
        <v>0</v>
      </c>
    </row>
    <row r="1675" spans="1:1" x14ac:dyDescent="0.2">
      <c r="A1675">
        <f t="shared" si="26"/>
        <v>0</v>
      </c>
    </row>
    <row r="1676" spans="1:1" x14ac:dyDescent="0.2">
      <c r="A1676">
        <f t="shared" si="26"/>
        <v>0</v>
      </c>
    </row>
    <row r="1677" spans="1:1" x14ac:dyDescent="0.2">
      <c r="A1677">
        <f t="shared" si="26"/>
        <v>0</v>
      </c>
    </row>
    <row r="1678" spans="1:1" x14ac:dyDescent="0.2">
      <c r="A1678">
        <f t="shared" si="26"/>
        <v>0</v>
      </c>
    </row>
    <row r="1679" spans="1:1" x14ac:dyDescent="0.2">
      <c r="A1679">
        <f t="shared" si="26"/>
        <v>0</v>
      </c>
    </row>
    <row r="1680" spans="1:1" x14ac:dyDescent="0.2">
      <c r="A1680">
        <f t="shared" si="26"/>
        <v>0</v>
      </c>
    </row>
    <row r="1681" spans="1:1" x14ac:dyDescent="0.2">
      <c r="A1681">
        <f t="shared" si="26"/>
        <v>0</v>
      </c>
    </row>
    <row r="1682" spans="1:1" x14ac:dyDescent="0.2">
      <c r="A1682">
        <f t="shared" si="26"/>
        <v>0</v>
      </c>
    </row>
    <row r="1683" spans="1:1" x14ac:dyDescent="0.2">
      <c r="A1683">
        <f t="shared" si="26"/>
        <v>0</v>
      </c>
    </row>
    <row r="1684" spans="1:1" x14ac:dyDescent="0.2">
      <c r="A1684">
        <f t="shared" si="26"/>
        <v>0</v>
      </c>
    </row>
    <row r="1685" spans="1:1" x14ac:dyDescent="0.2">
      <c r="A1685">
        <f t="shared" si="26"/>
        <v>0</v>
      </c>
    </row>
    <row r="1686" spans="1:1" x14ac:dyDescent="0.2">
      <c r="A1686">
        <f t="shared" si="26"/>
        <v>0</v>
      </c>
    </row>
    <row r="1687" spans="1:1" x14ac:dyDescent="0.2">
      <c r="A1687">
        <f t="shared" si="26"/>
        <v>0</v>
      </c>
    </row>
    <row r="1688" spans="1:1" x14ac:dyDescent="0.2">
      <c r="A1688">
        <f t="shared" si="26"/>
        <v>0</v>
      </c>
    </row>
    <row r="1689" spans="1:1" x14ac:dyDescent="0.2">
      <c r="A1689">
        <f t="shared" si="26"/>
        <v>0</v>
      </c>
    </row>
    <row r="1690" spans="1:1" x14ac:dyDescent="0.2">
      <c r="A1690">
        <f t="shared" si="26"/>
        <v>0</v>
      </c>
    </row>
    <row r="1691" spans="1:1" x14ac:dyDescent="0.2">
      <c r="A1691">
        <f t="shared" si="26"/>
        <v>0</v>
      </c>
    </row>
    <row r="1692" spans="1:1" x14ac:dyDescent="0.2">
      <c r="A1692">
        <f t="shared" si="26"/>
        <v>0</v>
      </c>
    </row>
    <row r="1693" spans="1:1" x14ac:dyDescent="0.2">
      <c r="A1693">
        <f t="shared" si="26"/>
        <v>0</v>
      </c>
    </row>
    <row r="1694" spans="1:1" x14ac:dyDescent="0.2">
      <c r="A1694">
        <f t="shared" si="26"/>
        <v>0</v>
      </c>
    </row>
    <row r="1695" spans="1:1" x14ac:dyDescent="0.2">
      <c r="A1695">
        <f t="shared" si="26"/>
        <v>0</v>
      </c>
    </row>
    <row r="1696" spans="1:1" x14ac:dyDescent="0.2">
      <c r="A1696">
        <f t="shared" si="26"/>
        <v>0</v>
      </c>
    </row>
    <row r="1697" spans="1:1" x14ac:dyDescent="0.2">
      <c r="A1697">
        <f t="shared" si="26"/>
        <v>0</v>
      </c>
    </row>
    <row r="1698" spans="1:1" x14ac:dyDescent="0.2">
      <c r="A1698">
        <f t="shared" si="26"/>
        <v>0</v>
      </c>
    </row>
    <row r="1699" spans="1:1" x14ac:dyDescent="0.2">
      <c r="A1699">
        <f t="shared" si="26"/>
        <v>0</v>
      </c>
    </row>
    <row r="1700" spans="1:1" x14ac:dyDescent="0.2">
      <c r="A1700">
        <f t="shared" si="26"/>
        <v>0</v>
      </c>
    </row>
    <row r="1701" spans="1:1" x14ac:dyDescent="0.2">
      <c r="A1701">
        <f t="shared" si="26"/>
        <v>0</v>
      </c>
    </row>
    <row r="1702" spans="1:1" x14ac:dyDescent="0.2">
      <c r="A1702">
        <f t="shared" si="26"/>
        <v>0</v>
      </c>
    </row>
    <row r="1703" spans="1:1" x14ac:dyDescent="0.2">
      <c r="A1703">
        <f t="shared" si="26"/>
        <v>0</v>
      </c>
    </row>
    <row r="1704" spans="1:1" x14ac:dyDescent="0.2">
      <c r="A1704">
        <f t="shared" si="26"/>
        <v>0</v>
      </c>
    </row>
    <row r="1705" spans="1:1" x14ac:dyDescent="0.2">
      <c r="A1705">
        <f t="shared" si="26"/>
        <v>0</v>
      </c>
    </row>
    <row r="1706" spans="1:1" x14ac:dyDescent="0.2">
      <c r="A1706">
        <f t="shared" si="26"/>
        <v>0</v>
      </c>
    </row>
    <row r="1707" spans="1:1" x14ac:dyDescent="0.2">
      <c r="A1707">
        <f t="shared" si="26"/>
        <v>0</v>
      </c>
    </row>
    <row r="1708" spans="1:1" x14ac:dyDescent="0.2">
      <c r="A1708">
        <f t="shared" si="26"/>
        <v>0</v>
      </c>
    </row>
    <row r="1709" spans="1:1" x14ac:dyDescent="0.2">
      <c r="A1709">
        <f t="shared" si="26"/>
        <v>0</v>
      </c>
    </row>
    <row r="1710" spans="1:1" x14ac:dyDescent="0.2">
      <c r="A1710">
        <f t="shared" si="26"/>
        <v>0</v>
      </c>
    </row>
    <row r="1711" spans="1:1" x14ac:dyDescent="0.2">
      <c r="A1711">
        <f t="shared" si="26"/>
        <v>0</v>
      </c>
    </row>
    <row r="1712" spans="1:1" x14ac:dyDescent="0.2">
      <c r="A1712">
        <f t="shared" si="26"/>
        <v>0</v>
      </c>
    </row>
    <row r="1713" spans="1:1" x14ac:dyDescent="0.2">
      <c r="A1713">
        <f t="shared" si="26"/>
        <v>0</v>
      </c>
    </row>
    <row r="1714" spans="1:1" x14ac:dyDescent="0.2">
      <c r="A1714">
        <f t="shared" si="26"/>
        <v>0</v>
      </c>
    </row>
    <row r="1715" spans="1:1" x14ac:dyDescent="0.2">
      <c r="A1715">
        <f t="shared" si="26"/>
        <v>0</v>
      </c>
    </row>
    <row r="1716" spans="1:1" x14ac:dyDescent="0.2">
      <c r="A1716">
        <f t="shared" si="26"/>
        <v>0</v>
      </c>
    </row>
    <row r="1717" spans="1:1" x14ac:dyDescent="0.2">
      <c r="A1717">
        <f t="shared" si="26"/>
        <v>0</v>
      </c>
    </row>
    <row r="1718" spans="1:1" x14ac:dyDescent="0.2">
      <c r="A1718">
        <f t="shared" si="26"/>
        <v>0</v>
      </c>
    </row>
    <row r="1719" spans="1:1" x14ac:dyDescent="0.2">
      <c r="A1719">
        <f t="shared" si="26"/>
        <v>0</v>
      </c>
    </row>
    <row r="1720" spans="1:1" x14ac:dyDescent="0.2">
      <c r="A1720">
        <f t="shared" si="26"/>
        <v>0</v>
      </c>
    </row>
    <row r="1721" spans="1:1" x14ac:dyDescent="0.2">
      <c r="A1721">
        <f t="shared" si="26"/>
        <v>0</v>
      </c>
    </row>
    <row r="1722" spans="1:1" x14ac:dyDescent="0.2">
      <c r="A1722">
        <f t="shared" si="26"/>
        <v>0</v>
      </c>
    </row>
    <row r="1723" spans="1:1" x14ac:dyDescent="0.2">
      <c r="A1723">
        <f t="shared" si="26"/>
        <v>0</v>
      </c>
    </row>
    <row r="1724" spans="1:1" x14ac:dyDescent="0.2">
      <c r="A1724">
        <f t="shared" si="26"/>
        <v>0</v>
      </c>
    </row>
    <row r="1725" spans="1:1" x14ac:dyDescent="0.2">
      <c r="A1725">
        <f t="shared" si="26"/>
        <v>0</v>
      </c>
    </row>
    <row r="1726" spans="1:1" x14ac:dyDescent="0.2">
      <c r="A1726">
        <f t="shared" si="26"/>
        <v>0</v>
      </c>
    </row>
    <row r="1727" spans="1:1" x14ac:dyDescent="0.2">
      <c r="A1727">
        <f t="shared" si="26"/>
        <v>0</v>
      </c>
    </row>
    <row r="1728" spans="1:1" x14ac:dyDescent="0.2">
      <c r="A1728">
        <f t="shared" si="26"/>
        <v>0</v>
      </c>
    </row>
    <row r="1729" spans="1:1" x14ac:dyDescent="0.2">
      <c r="A1729">
        <f t="shared" si="26"/>
        <v>0</v>
      </c>
    </row>
    <row r="1730" spans="1:1" x14ac:dyDescent="0.2">
      <c r="A1730">
        <f t="shared" si="26"/>
        <v>0</v>
      </c>
    </row>
    <row r="1731" spans="1:1" x14ac:dyDescent="0.2">
      <c r="A1731">
        <f t="shared" si="26"/>
        <v>0</v>
      </c>
    </row>
    <row r="1732" spans="1:1" x14ac:dyDescent="0.2">
      <c r="A1732">
        <f t="shared" ref="A1732:A1795" si="27">VALUE(B1732)</f>
        <v>0</v>
      </c>
    </row>
    <row r="1733" spans="1:1" x14ac:dyDescent="0.2">
      <c r="A1733">
        <f t="shared" si="27"/>
        <v>0</v>
      </c>
    </row>
    <row r="1734" spans="1:1" x14ac:dyDescent="0.2">
      <c r="A1734">
        <f t="shared" si="27"/>
        <v>0</v>
      </c>
    </row>
    <row r="1735" spans="1:1" x14ac:dyDescent="0.2">
      <c r="A1735">
        <f t="shared" si="27"/>
        <v>0</v>
      </c>
    </row>
    <row r="1736" spans="1:1" x14ac:dyDescent="0.2">
      <c r="A1736">
        <f t="shared" si="27"/>
        <v>0</v>
      </c>
    </row>
    <row r="1737" spans="1:1" x14ac:dyDescent="0.2">
      <c r="A1737">
        <f t="shared" si="27"/>
        <v>0</v>
      </c>
    </row>
    <row r="1738" spans="1:1" x14ac:dyDescent="0.2">
      <c r="A1738">
        <f t="shared" si="27"/>
        <v>0</v>
      </c>
    </row>
    <row r="1739" spans="1:1" x14ac:dyDescent="0.2">
      <c r="A1739">
        <f t="shared" si="27"/>
        <v>0</v>
      </c>
    </row>
    <row r="1740" spans="1:1" x14ac:dyDescent="0.2">
      <c r="A1740">
        <f t="shared" si="27"/>
        <v>0</v>
      </c>
    </row>
    <row r="1741" spans="1:1" x14ac:dyDescent="0.2">
      <c r="A1741">
        <f t="shared" si="27"/>
        <v>0</v>
      </c>
    </row>
    <row r="1742" spans="1:1" x14ac:dyDescent="0.2">
      <c r="A1742">
        <f t="shared" si="27"/>
        <v>0</v>
      </c>
    </row>
    <row r="1743" spans="1:1" x14ac:dyDescent="0.2">
      <c r="A1743">
        <f t="shared" si="27"/>
        <v>0</v>
      </c>
    </row>
    <row r="1744" spans="1:1" x14ac:dyDescent="0.2">
      <c r="A1744">
        <f t="shared" si="27"/>
        <v>0</v>
      </c>
    </row>
    <row r="1745" spans="1:1" x14ac:dyDescent="0.2">
      <c r="A1745">
        <f t="shared" si="27"/>
        <v>0</v>
      </c>
    </row>
    <row r="1746" spans="1:1" x14ac:dyDescent="0.2">
      <c r="A1746">
        <f t="shared" si="27"/>
        <v>0</v>
      </c>
    </row>
    <row r="1747" spans="1:1" x14ac:dyDescent="0.2">
      <c r="A1747">
        <f t="shared" si="27"/>
        <v>0</v>
      </c>
    </row>
    <row r="1748" spans="1:1" x14ac:dyDescent="0.2">
      <c r="A1748">
        <f t="shared" si="27"/>
        <v>0</v>
      </c>
    </row>
    <row r="1749" spans="1:1" x14ac:dyDescent="0.2">
      <c r="A1749">
        <f t="shared" si="27"/>
        <v>0</v>
      </c>
    </row>
    <row r="1750" spans="1:1" x14ac:dyDescent="0.2">
      <c r="A1750">
        <f t="shared" si="27"/>
        <v>0</v>
      </c>
    </row>
    <row r="1751" spans="1:1" x14ac:dyDescent="0.2">
      <c r="A1751">
        <f t="shared" si="27"/>
        <v>0</v>
      </c>
    </row>
    <row r="1752" spans="1:1" x14ac:dyDescent="0.2">
      <c r="A1752">
        <f t="shared" si="27"/>
        <v>0</v>
      </c>
    </row>
    <row r="1753" spans="1:1" x14ac:dyDescent="0.2">
      <c r="A1753">
        <f t="shared" si="27"/>
        <v>0</v>
      </c>
    </row>
    <row r="1754" spans="1:1" x14ac:dyDescent="0.2">
      <c r="A1754">
        <f t="shared" si="27"/>
        <v>0</v>
      </c>
    </row>
    <row r="1755" spans="1:1" x14ac:dyDescent="0.2">
      <c r="A1755">
        <f t="shared" si="27"/>
        <v>0</v>
      </c>
    </row>
    <row r="1756" spans="1:1" x14ac:dyDescent="0.2">
      <c r="A1756">
        <f t="shared" si="27"/>
        <v>0</v>
      </c>
    </row>
    <row r="1757" spans="1:1" x14ac:dyDescent="0.2">
      <c r="A1757">
        <f t="shared" si="27"/>
        <v>0</v>
      </c>
    </row>
    <row r="1758" spans="1:1" x14ac:dyDescent="0.2">
      <c r="A1758">
        <f t="shared" si="27"/>
        <v>0</v>
      </c>
    </row>
    <row r="1759" spans="1:1" x14ac:dyDescent="0.2">
      <c r="A1759">
        <f t="shared" si="27"/>
        <v>0</v>
      </c>
    </row>
    <row r="1760" spans="1:1" x14ac:dyDescent="0.2">
      <c r="A1760">
        <f t="shared" si="27"/>
        <v>0</v>
      </c>
    </row>
    <row r="1761" spans="1:1" x14ac:dyDescent="0.2">
      <c r="A1761">
        <f t="shared" si="27"/>
        <v>0</v>
      </c>
    </row>
    <row r="1762" spans="1:1" x14ac:dyDescent="0.2">
      <c r="A1762">
        <f t="shared" si="27"/>
        <v>0</v>
      </c>
    </row>
    <row r="1763" spans="1:1" x14ac:dyDescent="0.2">
      <c r="A1763">
        <f t="shared" si="27"/>
        <v>0</v>
      </c>
    </row>
    <row r="1764" spans="1:1" x14ac:dyDescent="0.2">
      <c r="A1764">
        <f t="shared" si="27"/>
        <v>0</v>
      </c>
    </row>
    <row r="1765" spans="1:1" x14ac:dyDescent="0.2">
      <c r="A1765">
        <f t="shared" si="27"/>
        <v>0</v>
      </c>
    </row>
    <row r="1766" spans="1:1" x14ac:dyDescent="0.2">
      <c r="A1766">
        <f t="shared" si="27"/>
        <v>0</v>
      </c>
    </row>
    <row r="1767" spans="1:1" x14ac:dyDescent="0.2">
      <c r="A1767">
        <f t="shared" si="27"/>
        <v>0</v>
      </c>
    </row>
    <row r="1768" spans="1:1" x14ac:dyDescent="0.2">
      <c r="A1768">
        <f t="shared" si="27"/>
        <v>0</v>
      </c>
    </row>
    <row r="1769" spans="1:1" x14ac:dyDescent="0.2">
      <c r="A1769">
        <f t="shared" si="27"/>
        <v>0</v>
      </c>
    </row>
    <row r="1770" spans="1:1" x14ac:dyDescent="0.2">
      <c r="A1770">
        <f t="shared" si="27"/>
        <v>0</v>
      </c>
    </row>
    <row r="1771" spans="1:1" x14ac:dyDescent="0.2">
      <c r="A1771">
        <f t="shared" si="27"/>
        <v>0</v>
      </c>
    </row>
    <row r="1772" spans="1:1" x14ac:dyDescent="0.2">
      <c r="A1772">
        <f t="shared" si="27"/>
        <v>0</v>
      </c>
    </row>
    <row r="1773" spans="1:1" x14ac:dyDescent="0.2">
      <c r="A1773">
        <f t="shared" si="27"/>
        <v>0</v>
      </c>
    </row>
    <row r="1774" spans="1:1" x14ac:dyDescent="0.2">
      <c r="A1774">
        <f t="shared" si="27"/>
        <v>0</v>
      </c>
    </row>
    <row r="1775" spans="1:1" x14ac:dyDescent="0.2">
      <c r="A1775">
        <f t="shared" si="27"/>
        <v>0</v>
      </c>
    </row>
    <row r="1776" spans="1:1" x14ac:dyDescent="0.2">
      <c r="A1776">
        <f t="shared" si="27"/>
        <v>0</v>
      </c>
    </row>
    <row r="1777" spans="1:1" x14ac:dyDescent="0.2">
      <c r="A1777">
        <f t="shared" si="27"/>
        <v>0</v>
      </c>
    </row>
    <row r="1778" spans="1:1" x14ac:dyDescent="0.2">
      <c r="A1778">
        <f t="shared" si="27"/>
        <v>0</v>
      </c>
    </row>
    <row r="1779" spans="1:1" x14ac:dyDescent="0.2">
      <c r="A1779">
        <f t="shared" si="27"/>
        <v>0</v>
      </c>
    </row>
    <row r="1780" spans="1:1" x14ac:dyDescent="0.2">
      <c r="A1780">
        <f t="shared" si="27"/>
        <v>0</v>
      </c>
    </row>
    <row r="1781" spans="1:1" x14ac:dyDescent="0.2">
      <c r="A1781">
        <f t="shared" si="27"/>
        <v>0</v>
      </c>
    </row>
    <row r="1782" spans="1:1" x14ac:dyDescent="0.2">
      <c r="A1782">
        <f t="shared" si="27"/>
        <v>0</v>
      </c>
    </row>
    <row r="1783" spans="1:1" x14ac:dyDescent="0.2">
      <c r="A1783">
        <f t="shared" si="27"/>
        <v>0</v>
      </c>
    </row>
    <row r="1784" spans="1:1" x14ac:dyDescent="0.2">
      <c r="A1784">
        <f t="shared" si="27"/>
        <v>0</v>
      </c>
    </row>
    <row r="1785" spans="1:1" x14ac:dyDescent="0.2">
      <c r="A1785">
        <f t="shared" si="27"/>
        <v>0</v>
      </c>
    </row>
    <row r="1786" spans="1:1" x14ac:dyDescent="0.2">
      <c r="A1786">
        <f t="shared" si="27"/>
        <v>0</v>
      </c>
    </row>
    <row r="1787" spans="1:1" x14ac:dyDescent="0.2">
      <c r="A1787">
        <f t="shared" si="27"/>
        <v>0</v>
      </c>
    </row>
    <row r="1788" spans="1:1" x14ac:dyDescent="0.2">
      <c r="A1788">
        <f t="shared" si="27"/>
        <v>0</v>
      </c>
    </row>
    <row r="1789" spans="1:1" x14ac:dyDescent="0.2">
      <c r="A1789">
        <f t="shared" si="27"/>
        <v>0</v>
      </c>
    </row>
    <row r="1790" spans="1:1" x14ac:dyDescent="0.2">
      <c r="A1790">
        <f t="shared" si="27"/>
        <v>0</v>
      </c>
    </row>
    <row r="1791" spans="1:1" x14ac:dyDescent="0.2">
      <c r="A1791">
        <f t="shared" si="27"/>
        <v>0</v>
      </c>
    </row>
    <row r="1792" spans="1:1" x14ac:dyDescent="0.2">
      <c r="A1792">
        <f t="shared" si="27"/>
        <v>0</v>
      </c>
    </row>
    <row r="1793" spans="1:1" x14ac:dyDescent="0.2">
      <c r="A1793">
        <f t="shared" si="27"/>
        <v>0</v>
      </c>
    </row>
    <row r="1794" spans="1:1" x14ac:dyDescent="0.2">
      <c r="A1794">
        <f t="shared" si="27"/>
        <v>0</v>
      </c>
    </row>
    <row r="1795" spans="1:1" x14ac:dyDescent="0.2">
      <c r="A1795">
        <f t="shared" si="27"/>
        <v>0</v>
      </c>
    </row>
    <row r="1796" spans="1:1" x14ac:dyDescent="0.2">
      <c r="A1796">
        <f t="shared" ref="A1796:A1859" si="28">VALUE(B1796)</f>
        <v>0</v>
      </c>
    </row>
    <row r="1797" spans="1:1" x14ac:dyDescent="0.2">
      <c r="A1797">
        <f t="shared" si="28"/>
        <v>0</v>
      </c>
    </row>
    <row r="1798" spans="1:1" x14ac:dyDescent="0.2">
      <c r="A1798">
        <f t="shared" si="28"/>
        <v>0</v>
      </c>
    </row>
    <row r="1799" spans="1:1" x14ac:dyDescent="0.2">
      <c r="A1799">
        <f t="shared" si="28"/>
        <v>0</v>
      </c>
    </row>
    <row r="1800" spans="1:1" x14ac:dyDescent="0.2">
      <c r="A1800">
        <f t="shared" si="28"/>
        <v>0</v>
      </c>
    </row>
    <row r="1801" spans="1:1" x14ac:dyDescent="0.2">
      <c r="A1801">
        <f t="shared" si="28"/>
        <v>0</v>
      </c>
    </row>
    <row r="1802" spans="1:1" x14ac:dyDescent="0.2">
      <c r="A1802">
        <f t="shared" si="28"/>
        <v>0</v>
      </c>
    </row>
    <row r="1803" spans="1:1" x14ac:dyDescent="0.2">
      <c r="A1803">
        <f t="shared" si="28"/>
        <v>0</v>
      </c>
    </row>
    <row r="1804" spans="1:1" x14ac:dyDescent="0.2">
      <c r="A1804">
        <f t="shared" si="28"/>
        <v>0</v>
      </c>
    </row>
    <row r="1805" spans="1:1" x14ac:dyDescent="0.2">
      <c r="A1805">
        <f t="shared" si="28"/>
        <v>0</v>
      </c>
    </row>
    <row r="1806" spans="1:1" x14ac:dyDescent="0.2">
      <c r="A1806">
        <f t="shared" si="28"/>
        <v>0</v>
      </c>
    </row>
    <row r="1807" spans="1:1" x14ac:dyDescent="0.2">
      <c r="A1807">
        <f t="shared" si="28"/>
        <v>0</v>
      </c>
    </row>
    <row r="1808" spans="1:1" x14ac:dyDescent="0.2">
      <c r="A1808">
        <f t="shared" si="28"/>
        <v>0</v>
      </c>
    </row>
    <row r="1809" spans="1:1" x14ac:dyDescent="0.2">
      <c r="A1809">
        <f t="shared" si="28"/>
        <v>0</v>
      </c>
    </row>
    <row r="1810" spans="1:1" x14ac:dyDescent="0.2">
      <c r="A1810">
        <f t="shared" si="28"/>
        <v>0</v>
      </c>
    </row>
    <row r="1811" spans="1:1" x14ac:dyDescent="0.2">
      <c r="A1811">
        <f t="shared" si="28"/>
        <v>0</v>
      </c>
    </row>
    <row r="1812" spans="1:1" x14ac:dyDescent="0.2">
      <c r="A1812">
        <f t="shared" si="28"/>
        <v>0</v>
      </c>
    </row>
    <row r="1813" spans="1:1" x14ac:dyDescent="0.2">
      <c r="A1813">
        <f t="shared" si="28"/>
        <v>0</v>
      </c>
    </row>
    <row r="1814" spans="1:1" x14ac:dyDescent="0.2">
      <c r="A1814">
        <f t="shared" si="28"/>
        <v>0</v>
      </c>
    </row>
    <row r="1815" spans="1:1" x14ac:dyDescent="0.2">
      <c r="A1815">
        <f t="shared" si="28"/>
        <v>0</v>
      </c>
    </row>
    <row r="1816" spans="1:1" x14ac:dyDescent="0.2">
      <c r="A1816">
        <f t="shared" si="28"/>
        <v>0</v>
      </c>
    </row>
    <row r="1817" spans="1:1" x14ac:dyDescent="0.2">
      <c r="A1817">
        <f t="shared" si="28"/>
        <v>0</v>
      </c>
    </row>
    <row r="1818" spans="1:1" x14ac:dyDescent="0.2">
      <c r="A1818">
        <f t="shared" si="28"/>
        <v>0</v>
      </c>
    </row>
    <row r="1819" spans="1:1" x14ac:dyDescent="0.2">
      <c r="A1819">
        <f t="shared" si="28"/>
        <v>0</v>
      </c>
    </row>
    <row r="1820" spans="1:1" x14ac:dyDescent="0.2">
      <c r="A1820">
        <f t="shared" si="28"/>
        <v>0</v>
      </c>
    </row>
    <row r="1821" spans="1:1" x14ac:dyDescent="0.2">
      <c r="A1821">
        <f t="shared" si="28"/>
        <v>0</v>
      </c>
    </row>
    <row r="1822" spans="1:1" x14ac:dyDescent="0.2">
      <c r="A1822">
        <f t="shared" si="28"/>
        <v>0</v>
      </c>
    </row>
    <row r="1823" spans="1:1" x14ac:dyDescent="0.2">
      <c r="A1823">
        <f t="shared" si="28"/>
        <v>0</v>
      </c>
    </row>
    <row r="1824" spans="1:1" x14ac:dyDescent="0.2">
      <c r="A1824">
        <f t="shared" si="28"/>
        <v>0</v>
      </c>
    </row>
    <row r="1825" spans="1:1" x14ac:dyDescent="0.2">
      <c r="A1825">
        <f t="shared" si="28"/>
        <v>0</v>
      </c>
    </row>
    <row r="1826" spans="1:1" x14ac:dyDescent="0.2">
      <c r="A1826">
        <f t="shared" si="28"/>
        <v>0</v>
      </c>
    </row>
    <row r="1827" spans="1:1" x14ac:dyDescent="0.2">
      <c r="A1827">
        <f t="shared" si="28"/>
        <v>0</v>
      </c>
    </row>
    <row r="1828" spans="1:1" x14ac:dyDescent="0.2">
      <c r="A1828">
        <f t="shared" si="28"/>
        <v>0</v>
      </c>
    </row>
    <row r="1829" spans="1:1" x14ac:dyDescent="0.2">
      <c r="A1829">
        <f t="shared" si="28"/>
        <v>0</v>
      </c>
    </row>
    <row r="1830" spans="1:1" x14ac:dyDescent="0.2">
      <c r="A1830">
        <f t="shared" si="28"/>
        <v>0</v>
      </c>
    </row>
    <row r="1831" spans="1:1" x14ac:dyDescent="0.2">
      <c r="A1831">
        <f t="shared" si="28"/>
        <v>0</v>
      </c>
    </row>
    <row r="1832" spans="1:1" x14ac:dyDescent="0.2">
      <c r="A1832">
        <f t="shared" si="28"/>
        <v>0</v>
      </c>
    </row>
    <row r="1833" spans="1:1" x14ac:dyDescent="0.2">
      <c r="A1833">
        <f t="shared" si="28"/>
        <v>0</v>
      </c>
    </row>
    <row r="1834" spans="1:1" x14ac:dyDescent="0.2">
      <c r="A1834">
        <f t="shared" si="28"/>
        <v>0</v>
      </c>
    </row>
    <row r="1835" spans="1:1" x14ac:dyDescent="0.2">
      <c r="A1835">
        <f t="shared" si="28"/>
        <v>0</v>
      </c>
    </row>
    <row r="1836" spans="1:1" x14ac:dyDescent="0.2">
      <c r="A1836">
        <f t="shared" si="28"/>
        <v>0</v>
      </c>
    </row>
    <row r="1837" spans="1:1" x14ac:dyDescent="0.2">
      <c r="A1837">
        <f t="shared" si="28"/>
        <v>0</v>
      </c>
    </row>
    <row r="1838" spans="1:1" x14ac:dyDescent="0.2">
      <c r="A1838">
        <f t="shared" si="28"/>
        <v>0</v>
      </c>
    </row>
    <row r="1839" spans="1:1" x14ac:dyDescent="0.2">
      <c r="A1839">
        <f t="shared" si="28"/>
        <v>0</v>
      </c>
    </row>
    <row r="1840" spans="1:1" x14ac:dyDescent="0.2">
      <c r="A1840">
        <f t="shared" si="28"/>
        <v>0</v>
      </c>
    </row>
    <row r="1841" spans="1:1" x14ac:dyDescent="0.2">
      <c r="A1841">
        <f t="shared" si="28"/>
        <v>0</v>
      </c>
    </row>
    <row r="1842" spans="1:1" x14ac:dyDescent="0.2">
      <c r="A1842">
        <f t="shared" si="28"/>
        <v>0</v>
      </c>
    </row>
    <row r="1843" spans="1:1" x14ac:dyDescent="0.2">
      <c r="A1843">
        <f t="shared" si="28"/>
        <v>0</v>
      </c>
    </row>
    <row r="1844" spans="1:1" x14ac:dyDescent="0.2">
      <c r="A1844">
        <f t="shared" si="28"/>
        <v>0</v>
      </c>
    </row>
    <row r="1845" spans="1:1" x14ac:dyDescent="0.2">
      <c r="A1845">
        <f t="shared" si="28"/>
        <v>0</v>
      </c>
    </row>
    <row r="1846" spans="1:1" x14ac:dyDescent="0.2">
      <c r="A1846">
        <f t="shared" si="28"/>
        <v>0</v>
      </c>
    </row>
    <row r="1847" spans="1:1" x14ac:dyDescent="0.2">
      <c r="A1847">
        <f t="shared" si="28"/>
        <v>0</v>
      </c>
    </row>
    <row r="1848" spans="1:1" x14ac:dyDescent="0.2">
      <c r="A1848">
        <f t="shared" si="28"/>
        <v>0</v>
      </c>
    </row>
    <row r="1849" spans="1:1" x14ac:dyDescent="0.2">
      <c r="A1849">
        <f t="shared" si="28"/>
        <v>0</v>
      </c>
    </row>
    <row r="1850" spans="1:1" x14ac:dyDescent="0.2">
      <c r="A1850">
        <f t="shared" si="28"/>
        <v>0</v>
      </c>
    </row>
    <row r="1851" spans="1:1" x14ac:dyDescent="0.2">
      <c r="A1851">
        <f t="shared" si="28"/>
        <v>0</v>
      </c>
    </row>
    <row r="1852" spans="1:1" x14ac:dyDescent="0.2">
      <c r="A1852">
        <f t="shared" si="28"/>
        <v>0</v>
      </c>
    </row>
    <row r="1853" spans="1:1" x14ac:dyDescent="0.2">
      <c r="A1853">
        <f t="shared" si="28"/>
        <v>0</v>
      </c>
    </row>
    <row r="1854" spans="1:1" x14ac:dyDescent="0.2">
      <c r="A1854">
        <f t="shared" si="28"/>
        <v>0</v>
      </c>
    </row>
    <row r="1855" spans="1:1" x14ac:dyDescent="0.2">
      <c r="A1855">
        <f t="shared" si="28"/>
        <v>0</v>
      </c>
    </row>
    <row r="1856" spans="1:1" x14ac:dyDescent="0.2">
      <c r="A1856">
        <f t="shared" si="28"/>
        <v>0</v>
      </c>
    </row>
    <row r="1857" spans="1:1" x14ac:dyDescent="0.2">
      <c r="A1857">
        <f t="shared" si="28"/>
        <v>0</v>
      </c>
    </row>
    <row r="1858" spans="1:1" x14ac:dyDescent="0.2">
      <c r="A1858">
        <f t="shared" si="28"/>
        <v>0</v>
      </c>
    </row>
    <row r="1859" spans="1:1" x14ac:dyDescent="0.2">
      <c r="A1859">
        <f t="shared" si="28"/>
        <v>0</v>
      </c>
    </row>
    <row r="1860" spans="1:1" x14ac:dyDescent="0.2">
      <c r="A1860">
        <f t="shared" ref="A1860:A1923" si="29">VALUE(B1860)</f>
        <v>0</v>
      </c>
    </row>
    <row r="1861" spans="1:1" x14ac:dyDescent="0.2">
      <c r="A1861">
        <f t="shared" si="29"/>
        <v>0</v>
      </c>
    </row>
    <row r="1862" spans="1:1" x14ac:dyDescent="0.2">
      <c r="A1862">
        <f t="shared" si="29"/>
        <v>0</v>
      </c>
    </row>
    <row r="1863" spans="1:1" x14ac:dyDescent="0.2">
      <c r="A1863">
        <f t="shared" si="29"/>
        <v>0</v>
      </c>
    </row>
    <row r="1864" spans="1:1" x14ac:dyDescent="0.2">
      <c r="A1864">
        <f t="shared" si="29"/>
        <v>0</v>
      </c>
    </row>
    <row r="1865" spans="1:1" x14ac:dyDescent="0.2">
      <c r="A1865">
        <f t="shared" si="29"/>
        <v>0</v>
      </c>
    </row>
    <row r="1866" spans="1:1" x14ac:dyDescent="0.2">
      <c r="A1866">
        <f t="shared" si="29"/>
        <v>0</v>
      </c>
    </row>
    <row r="1867" spans="1:1" x14ac:dyDescent="0.2">
      <c r="A1867">
        <f t="shared" si="29"/>
        <v>0</v>
      </c>
    </row>
    <row r="1868" spans="1:1" x14ac:dyDescent="0.2">
      <c r="A1868">
        <f t="shared" si="29"/>
        <v>0</v>
      </c>
    </row>
    <row r="1869" spans="1:1" x14ac:dyDescent="0.2">
      <c r="A1869">
        <f t="shared" si="29"/>
        <v>0</v>
      </c>
    </row>
    <row r="1870" spans="1:1" x14ac:dyDescent="0.2">
      <c r="A1870">
        <f t="shared" si="29"/>
        <v>0</v>
      </c>
    </row>
    <row r="1871" spans="1:1" x14ac:dyDescent="0.2">
      <c r="A1871">
        <f t="shared" si="29"/>
        <v>0</v>
      </c>
    </row>
    <row r="1872" spans="1:1" x14ac:dyDescent="0.2">
      <c r="A1872">
        <f t="shared" si="29"/>
        <v>0</v>
      </c>
    </row>
    <row r="1873" spans="1:1" x14ac:dyDescent="0.2">
      <c r="A1873">
        <f t="shared" si="29"/>
        <v>0</v>
      </c>
    </row>
    <row r="1874" spans="1:1" x14ac:dyDescent="0.2">
      <c r="A1874">
        <f t="shared" si="29"/>
        <v>0</v>
      </c>
    </row>
    <row r="1875" spans="1:1" x14ac:dyDescent="0.2">
      <c r="A1875">
        <f t="shared" si="29"/>
        <v>0</v>
      </c>
    </row>
    <row r="1876" spans="1:1" x14ac:dyDescent="0.2">
      <c r="A1876">
        <f t="shared" si="29"/>
        <v>0</v>
      </c>
    </row>
    <row r="1877" spans="1:1" x14ac:dyDescent="0.2">
      <c r="A1877">
        <f t="shared" si="29"/>
        <v>0</v>
      </c>
    </row>
    <row r="1878" spans="1:1" x14ac:dyDescent="0.2">
      <c r="A1878">
        <f t="shared" si="29"/>
        <v>0</v>
      </c>
    </row>
    <row r="1879" spans="1:1" x14ac:dyDescent="0.2">
      <c r="A1879">
        <f t="shared" si="29"/>
        <v>0</v>
      </c>
    </row>
    <row r="1880" spans="1:1" x14ac:dyDescent="0.2">
      <c r="A1880">
        <f t="shared" si="29"/>
        <v>0</v>
      </c>
    </row>
    <row r="1881" spans="1:1" x14ac:dyDescent="0.2">
      <c r="A1881">
        <f t="shared" si="29"/>
        <v>0</v>
      </c>
    </row>
    <row r="1882" spans="1:1" x14ac:dyDescent="0.2">
      <c r="A1882">
        <f t="shared" si="29"/>
        <v>0</v>
      </c>
    </row>
    <row r="1883" spans="1:1" x14ac:dyDescent="0.2">
      <c r="A1883">
        <f t="shared" si="29"/>
        <v>0</v>
      </c>
    </row>
    <row r="1884" spans="1:1" x14ac:dyDescent="0.2">
      <c r="A1884">
        <f t="shared" si="29"/>
        <v>0</v>
      </c>
    </row>
    <row r="1885" spans="1:1" x14ac:dyDescent="0.2">
      <c r="A1885">
        <f t="shared" si="29"/>
        <v>0</v>
      </c>
    </row>
    <row r="1886" spans="1:1" x14ac:dyDescent="0.2">
      <c r="A1886">
        <f t="shared" si="29"/>
        <v>0</v>
      </c>
    </row>
    <row r="1887" spans="1:1" x14ac:dyDescent="0.2">
      <c r="A1887">
        <f t="shared" si="29"/>
        <v>0</v>
      </c>
    </row>
    <row r="1888" spans="1:1" x14ac:dyDescent="0.2">
      <c r="A1888">
        <f t="shared" si="29"/>
        <v>0</v>
      </c>
    </row>
    <row r="1889" spans="1:1" x14ac:dyDescent="0.2">
      <c r="A1889">
        <f t="shared" si="29"/>
        <v>0</v>
      </c>
    </row>
    <row r="1890" spans="1:1" x14ac:dyDescent="0.2">
      <c r="A1890">
        <f t="shared" si="29"/>
        <v>0</v>
      </c>
    </row>
    <row r="1891" spans="1:1" x14ac:dyDescent="0.2">
      <c r="A1891">
        <f t="shared" si="29"/>
        <v>0</v>
      </c>
    </row>
    <row r="1892" spans="1:1" x14ac:dyDescent="0.2">
      <c r="A1892">
        <f t="shared" si="29"/>
        <v>0</v>
      </c>
    </row>
    <row r="1893" spans="1:1" x14ac:dyDescent="0.2">
      <c r="A1893">
        <f t="shared" si="29"/>
        <v>0</v>
      </c>
    </row>
    <row r="1894" spans="1:1" x14ac:dyDescent="0.2">
      <c r="A1894">
        <f t="shared" si="29"/>
        <v>0</v>
      </c>
    </row>
    <row r="1895" spans="1:1" x14ac:dyDescent="0.2">
      <c r="A1895">
        <f t="shared" si="29"/>
        <v>0</v>
      </c>
    </row>
    <row r="1896" spans="1:1" x14ac:dyDescent="0.2">
      <c r="A1896">
        <f t="shared" si="29"/>
        <v>0</v>
      </c>
    </row>
    <row r="1897" spans="1:1" x14ac:dyDescent="0.2">
      <c r="A1897">
        <f t="shared" si="29"/>
        <v>0</v>
      </c>
    </row>
    <row r="1898" spans="1:1" x14ac:dyDescent="0.2">
      <c r="A1898">
        <f t="shared" si="29"/>
        <v>0</v>
      </c>
    </row>
    <row r="1899" spans="1:1" x14ac:dyDescent="0.2">
      <c r="A1899">
        <f t="shared" si="29"/>
        <v>0</v>
      </c>
    </row>
    <row r="1900" spans="1:1" x14ac:dyDescent="0.2">
      <c r="A1900">
        <f t="shared" si="29"/>
        <v>0</v>
      </c>
    </row>
    <row r="1901" spans="1:1" x14ac:dyDescent="0.2">
      <c r="A1901">
        <f t="shared" si="29"/>
        <v>0</v>
      </c>
    </row>
    <row r="1902" spans="1:1" x14ac:dyDescent="0.2">
      <c r="A1902">
        <f t="shared" si="29"/>
        <v>0</v>
      </c>
    </row>
    <row r="1903" spans="1:1" x14ac:dyDescent="0.2">
      <c r="A1903">
        <f t="shared" si="29"/>
        <v>0</v>
      </c>
    </row>
    <row r="1904" spans="1:1" x14ac:dyDescent="0.2">
      <c r="A1904">
        <f t="shared" si="29"/>
        <v>0</v>
      </c>
    </row>
    <row r="1905" spans="1:1" x14ac:dyDescent="0.2">
      <c r="A1905">
        <f t="shared" si="29"/>
        <v>0</v>
      </c>
    </row>
    <row r="1906" spans="1:1" x14ac:dyDescent="0.2">
      <c r="A1906">
        <f t="shared" si="29"/>
        <v>0</v>
      </c>
    </row>
    <row r="1907" spans="1:1" x14ac:dyDescent="0.2">
      <c r="A1907">
        <f t="shared" si="29"/>
        <v>0</v>
      </c>
    </row>
    <row r="1908" spans="1:1" x14ac:dyDescent="0.2">
      <c r="A1908">
        <f t="shared" si="29"/>
        <v>0</v>
      </c>
    </row>
    <row r="1909" spans="1:1" x14ac:dyDescent="0.2">
      <c r="A1909">
        <f t="shared" si="29"/>
        <v>0</v>
      </c>
    </row>
    <row r="1910" spans="1:1" x14ac:dyDescent="0.2">
      <c r="A1910">
        <f t="shared" si="29"/>
        <v>0</v>
      </c>
    </row>
    <row r="1911" spans="1:1" x14ac:dyDescent="0.2">
      <c r="A1911">
        <f t="shared" si="29"/>
        <v>0</v>
      </c>
    </row>
    <row r="1912" spans="1:1" x14ac:dyDescent="0.2">
      <c r="A1912">
        <f t="shared" si="29"/>
        <v>0</v>
      </c>
    </row>
    <row r="1913" spans="1:1" x14ac:dyDescent="0.2">
      <c r="A1913">
        <f t="shared" si="29"/>
        <v>0</v>
      </c>
    </row>
    <row r="1914" spans="1:1" x14ac:dyDescent="0.2">
      <c r="A1914">
        <f t="shared" si="29"/>
        <v>0</v>
      </c>
    </row>
    <row r="1915" spans="1:1" x14ac:dyDescent="0.2">
      <c r="A1915">
        <f t="shared" si="29"/>
        <v>0</v>
      </c>
    </row>
    <row r="1916" spans="1:1" x14ac:dyDescent="0.2">
      <c r="A1916">
        <f t="shared" si="29"/>
        <v>0</v>
      </c>
    </row>
    <row r="1917" spans="1:1" x14ac:dyDescent="0.2">
      <c r="A1917">
        <f t="shared" si="29"/>
        <v>0</v>
      </c>
    </row>
    <row r="1918" spans="1:1" x14ac:dyDescent="0.2">
      <c r="A1918">
        <f t="shared" si="29"/>
        <v>0</v>
      </c>
    </row>
    <row r="1919" spans="1:1" x14ac:dyDescent="0.2">
      <c r="A1919">
        <f t="shared" si="29"/>
        <v>0</v>
      </c>
    </row>
    <row r="1920" spans="1:1" x14ac:dyDescent="0.2">
      <c r="A1920">
        <f t="shared" si="29"/>
        <v>0</v>
      </c>
    </row>
    <row r="1921" spans="1:1" x14ac:dyDescent="0.2">
      <c r="A1921">
        <f t="shared" si="29"/>
        <v>0</v>
      </c>
    </row>
    <row r="1922" spans="1:1" x14ac:dyDescent="0.2">
      <c r="A1922">
        <f t="shared" si="29"/>
        <v>0</v>
      </c>
    </row>
    <row r="1923" spans="1:1" x14ac:dyDescent="0.2">
      <c r="A1923">
        <f t="shared" si="29"/>
        <v>0</v>
      </c>
    </row>
    <row r="1924" spans="1:1" x14ac:dyDescent="0.2">
      <c r="A1924">
        <f t="shared" ref="A1924:A1987" si="30">VALUE(B1924)</f>
        <v>0</v>
      </c>
    </row>
    <row r="1925" spans="1:1" x14ac:dyDescent="0.2">
      <c r="A1925">
        <f t="shared" si="30"/>
        <v>0</v>
      </c>
    </row>
    <row r="1926" spans="1:1" x14ac:dyDescent="0.2">
      <c r="A1926">
        <f t="shared" si="30"/>
        <v>0</v>
      </c>
    </row>
    <row r="1927" spans="1:1" x14ac:dyDescent="0.2">
      <c r="A1927">
        <f t="shared" si="30"/>
        <v>0</v>
      </c>
    </row>
    <row r="1928" spans="1:1" x14ac:dyDescent="0.2">
      <c r="A1928">
        <f t="shared" si="30"/>
        <v>0</v>
      </c>
    </row>
    <row r="1929" spans="1:1" x14ac:dyDescent="0.2">
      <c r="A1929">
        <f t="shared" si="30"/>
        <v>0</v>
      </c>
    </row>
    <row r="1930" spans="1:1" x14ac:dyDescent="0.2">
      <c r="A1930">
        <f t="shared" si="30"/>
        <v>0</v>
      </c>
    </row>
    <row r="1931" spans="1:1" x14ac:dyDescent="0.2">
      <c r="A1931">
        <f t="shared" si="30"/>
        <v>0</v>
      </c>
    </row>
    <row r="1932" spans="1:1" x14ac:dyDescent="0.2">
      <c r="A1932">
        <f t="shared" si="30"/>
        <v>0</v>
      </c>
    </row>
    <row r="1933" spans="1:1" x14ac:dyDescent="0.2">
      <c r="A1933">
        <f t="shared" si="30"/>
        <v>0</v>
      </c>
    </row>
    <row r="1934" spans="1:1" x14ac:dyDescent="0.2">
      <c r="A1934">
        <f t="shared" si="30"/>
        <v>0</v>
      </c>
    </row>
    <row r="1935" spans="1:1" x14ac:dyDescent="0.2">
      <c r="A1935">
        <f t="shared" si="30"/>
        <v>0</v>
      </c>
    </row>
    <row r="1936" spans="1:1" x14ac:dyDescent="0.2">
      <c r="A1936">
        <f t="shared" si="30"/>
        <v>0</v>
      </c>
    </row>
    <row r="1937" spans="1:1" x14ac:dyDescent="0.2">
      <c r="A1937">
        <f t="shared" si="30"/>
        <v>0</v>
      </c>
    </row>
    <row r="1938" spans="1:1" x14ac:dyDescent="0.2">
      <c r="A1938">
        <f t="shared" si="30"/>
        <v>0</v>
      </c>
    </row>
    <row r="1939" spans="1:1" x14ac:dyDescent="0.2">
      <c r="A1939">
        <f t="shared" si="30"/>
        <v>0</v>
      </c>
    </row>
    <row r="1940" spans="1:1" x14ac:dyDescent="0.2">
      <c r="A1940">
        <f t="shared" si="30"/>
        <v>0</v>
      </c>
    </row>
    <row r="1941" spans="1:1" x14ac:dyDescent="0.2">
      <c r="A1941">
        <f t="shared" si="30"/>
        <v>0</v>
      </c>
    </row>
    <row r="1942" spans="1:1" x14ac:dyDescent="0.2">
      <c r="A1942">
        <f t="shared" si="30"/>
        <v>0</v>
      </c>
    </row>
    <row r="1943" spans="1:1" x14ac:dyDescent="0.2">
      <c r="A1943">
        <f t="shared" si="30"/>
        <v>0</v>
      </c>
    </row>
    <row r="1944" spans="1:1" x14ac:dyDescent="0.2">
      <c r="A1944">
        <f t="shared" si="30"/>
        <v>0</v>
      </c>
    </row>
    <row r="1945" spans="1:1" x14ac:dyDescent="0.2">
      <c r="A1945">
        <f t="shared" si="30"/>
        <v>0</v>
      </c>
    </row>
    <row r="1946" spans="1:1" x14ac:dyDescent="0.2">
      <c r="A1946">
        <f t="shared" si="30"/>
        <v>0</v>
      </c>
    </row>
    <row r="1947" spans="1:1" x14ac:dyDescent="0.2">
      <c r="A1947">
        <f t="shared" si="30"/>
        <v>0</v>
      </c>
    </row>
    <row r="1948" spans="1:1" x14ac:dyDescent="0.2">
      <c r="A1948">
        <f t="shared" si="30"/>
        <v>0</v>
      </c>
    </row>
    <row r="1949" spans="1:1" x14ac:dyDescent="0.2">
      <c r="A1949">
        <f t="shared" si="30"/>
        <v>0</v>
      </c>
    </row>
    <row r="1950" spans="1:1" x14ac:dyDescent="0.2">
      <c r="A1950">
        <f t="shared" si="30"/>
        <v>0</v>
      </c>
    </row>
    <row r="1951" spans="1:1" x14ac:dyDescent="0.2">
      <c r="A1951">
        <f t="shared" si="30"/>
        <v>0</v>
      </c>
    </row>
    <row r="1952" spans="1:1" x14ac:dyDescent="0.2">
      <c r="A1952">
        <f t="shared" si="30"/>
        <v>0</v>
      </c>
    </row>
    <row r="1953" spans="1:1" x14ac:dyDescent="0.2">
      <c r="A1953">
        <f t="shared" si="30"/>
        <v>0</v>
      </c>
    </row>
    <row r="1954" spans="1:1" x14ac:dyDescent="0.2">
      <c r="A1954">
        <f t="shared" si="30"/>
        <v>0</v>
      </c>
    </row>
    <row r="1955" spans="1:1" x14ac:dyDescent="0.2">
      <c r="A1955">
        <f t="shared" si="30"/>
        <v>0</v>
      </c>
    </row>
    <row r="1956" spans="1:1" x14ac:dyDescent="0.2">
      <c r="A1956">
        <f t="shared" si="30"/>
        <v>0</v>
      </c>
    </row>
    <row r="1957" spans="1:1" x14ac:dyDescent="0.2">
      <c r="A1957">
        <f t="shared" si="30"/>
        <v>0</v>
      </c>
    </row>
    <row r="1958" spans="1:1" x14ac:dyDescent="0.2">
      <c r="A1958">
        <f t="shared" si="30"/>
        <v>0</v>
      </c>
    </row>
    <row r="1959" spans="1:1" x14ac:dyDescent="0.2">
      <c r="A1959">
        <f t="shared" si="30"/>
        <v>0</v>
      </c>
    </row>
    <row r="1960" spans="1:1" x14ac:dyDescent="0.2">
      <c r="A1960">
        <f t="shared" si="30"/>
        <v>0</v>
      </c>
    </row>
    <row r="1961" spans="1:1" x14ac:dyDescent="0.2">
      <c r="A1961">
        <f t="shared" si="30"/>
        <v>0</v>
      </c>
    </row>
    <row r="1962" spans="1:1" x14ac:dyDescent="0.2">
      <c r="A1962">
        <f t="shared" si="30"/>
        <v>0</v>
      </c>
    </row>
    <row r="1963" spans="1:1" x14ac:dyDescent="0.2">
      <c r="A1963">
        <f t="shared" si="30"/>
        <v>0</v>
      </c>
    </row>
    <row r="1964" spans="1:1" x14ac:dyDescent="0.2">
      <c r="A1964">
        <f t="shared" si="30"/>
        <v>0</v>
      </c>
    </row>
    <row r="1965" spans="1:1" x14ac:dyDescent="0.2">
      <c r="A1965">
        <f t="shared" si="30"/>
        <v>0</v>
      </c>
    </row>
    <row r="1966" spans="1:1" x14ac:dyDescent="0.2">
      <c r="A1966">
        <f t="shared" si="30"/>
        <v>0</v>
      </c>
    </row>
    <row r="1967" spans="1:1" x14ac:dyDescent="0.2">
      <c r="A1967">
        <f t="shared" si="30"/>
        <v>0</v>
      </c>
    </row>
    <row r="1968" spans="1:1" x14ac:dyDescent="0.2">
      <c r="A1968">
        <f t="shared" si="30"/>
        <v>0</v>
      </c>
    </row>
    <row r="1969" spans="1:1" x14ac:dyDescent="0.2">
      <c r="A1969">
        <f t="shared" si="30"/>
        <v>0</v>
      </c>
    </row>
    <row r="1970" spans="1:1" x14ac:dyDescent="0.2">
      <c r="A1970">
        <f t="shared" si="30"/>
        <v>0</v>
      </c>
    </row>
    <row r="1971" spans="1:1" x14ac:dyDescent="0.2">
      <c r="A1971">
        <f t="shared" si="30"/>
        <v>0</v>
      </c>
    </row>
    <row r="1972" spans="1:1" x14ac:dyDescent="0.2">
      <c r="A1972">
        <f t="shared" si="30"/>
        <v>0</v>
      </c>
    </row>
    <row r="1973" spans="1:1" x14ac:dyDescent="0.2">
      <c r="A1973">
        <f t="shared" si="30"/>
        <v>0</v>
      </c>
    </row>
    <row r="1974" spans="1:1" x14ac:dyDescent="0.2">
      <c r="A1974">
        <f t="shared" si="30"/>
        <v>0</v>
      </c>
    </row>
    <row r="1975" spans="1:1" x14ac:dyDescent="0.2">
      <c r="A1975">
        <f t="shared" si="30"/>
        <v>0</v>
      </c>
    </row>
    <row r="1976" spans="1:1" x14ac:dyDescent="0.2">
      <c r="A1976">
        <f t="shared" si="30"/>
        <v>0</v>
      </c>
    </row>
    <row r="1977" spans="1:1" x14ac:dyDescent="0.2">
      <c r="A1977">
        <f t="shared" si="30"/>
        <v>0</v>
      </c>
    </row>
    <row r="1978" spans="1:1" x14ac:dyDescent="0.2">
      <c r="A1978">
        <f t="shared" si="30"/>
        <v>0</v>
      </c>
    </row>
    <row r="1979" spans="1:1" x14ac:dyDescent="0.2">
      <c r="A1979">
        <f t="shared" si="30"/>
        <v>0</v>
      </c>
    </row>
    <row r="1980" spans="1:1" x14ac:dyDescent="0.2">
      <c r="A1980">
        <f t="shared" si="30"/>
        <v>0</v>
      </c>
    </row>
    <row r="1981" spans="1:1" x14ac:dyDescent="0.2">
      <c r="A1981">
        <f t="shared" si="30"/>
        <v>0</v>
      </c>
    </row>
    <row r="1982" spans="1:1" x14ac:dyDescent="0.2">
      <c r="A1982">
        <f t="shared" si="30"/>
        <v>0</v>
      </c>
    </row>
    <row r="1983" spans="1:1" x14ac:dyDescent="0.2">
      <c r="A1983">
        <f t="shared" si="30"/>
        <v>0</v>
      </c>
    </row>
    <row r="1984" spans="1:1" x14ac:dyDescent="0.2">
      <c r="A1984">
        <f t="shared" si="30"/>
        <v>0</v>
      </c>
    </row>
    <row r="1985" spans="1:1" x14ac:dyDescent="0.2">
      <c r="A1985">
        <f t="shared" si="30"/>
        <v>0</v>
      </c>
    </row>
    <row r="1986" spans="1:1" x14ac:dyDescent="0.2">
      <c r="A1986">
        <f t="shared" si="30"/>
        <v>0</v>
      </c>
    </row>
    <row r="1987" spans="1:1" x14ac:dyDescent="0.2">
      <c r="A1987">
        <f t="shared" si="30"/>
        <v>0</v>
      </c>
    </row>
    <row r="1988" spans="1:1" x14ac:dyDescent="0.2">
      <c r="A1988">
        <f t="shared" ref="A1988:A2051" si="31">VALUE(B1988)</f>
        <v>0</v>
      </c>
    </row>
    <row r="1989" spans="1:1" x14ac:dyDescent="0.2">
      <c r="A1989">
        <f t="shared" si="31"/>
        <v>0</v>
      </c>
    </row>
    <row r="1990" spans="1:1" x14ac:dyDescent="0.2">
      <c r="A1990">
        <f t="shared" si="31"/>
        <v>0</v>
      </c>
    </row>
    <row r="1991" spans="1:1" x14ac:dyDescent="0.2">
      <c r="A1991">
        <f t="shared" si="31"/>
        <v>0</v>
      </c>
    </row>
    <row r="1992" spans="1:1" x14ac:dyDescent="0.2">
      <c r="A1992">
        <f t="shared" si="31"/>
        <v>0</v>
      </c>
    </row>
    <row r="1993" spans="1:1" x14ac:dyDescent="0.2">
      <c r="A1993">
        <f t="shared" si="31"/>
        <v>0</v>
      </c>
    </row>
    <row r="1994" spans="1:1" x14ac:dyDescent="0.2">
      <c r="A1994">
        <f t="shared" si="31"/>
        <v>0</v>
      </c>
    </row>
    <row r="1995" spans="1:1" x14ac:dyDescent="0.2">
      <c r="A1995">
        <f t="shared" si="31"/>
        <v>0</v>
      </c>
    </row>
    <row r="1996" spans="1:1" x14ac:dyDescent="0.2">
      <c r="A1996">
        <f t="shared" si="31"/>
        <v>0</v>
      </c>
    </row>
    <row r="1997" spans="1:1" x14ac:dyDescent="0.2">
      <c r="A1997">
        <f t="shared" si="31"/>
        <v>0</v>
      </c>
    </row>
    <row r="1998" spans="1:1" x14ac:dyDescent="0.2">
      <c r="A1998">
        <f t="shared" si="31"/>
        <v>0</v>
      </c>
    </row>
    <row r="1999" spans="1:1" x14ac:dyDescent="0.2">
      <c r="A1999">
        <f t="shared" si="31"/>
        <v>0</v>
      </c>
    </row>
    <row r="2000" spans="1:1" x14ac:dyDescent="0.2">
      <c r="A2000">
        <f t="shared" si="31"/>
        <v>0</v>
      </c>
    </row>
    <row r="2001" spans="1:1" x14ac:dyDescent="0.2">
      <c r="A2001">
        <f t="shared" si="31"/>
        <v>0</v>
      </c>
    </row>
    <row r="2002" spans="1:1" x14ac:dyDescent="0.2">
      <c r="A2002">
        <f t="shared" si="31"/>
        <v>0</v>
      </c>
    </row>
    <row r="2003" spans="1:1" x14ac:dyDescent="0.2">
      <c r="A2003">
        <f t="shared" si="31"/>
        <v>0</v>
      </c>
    </row>
    <row r="2004" spans="1:1" x14ac:dyDescent="0.2">
      <c r="A2004">
        <f t="shared" si="31"/>
        <v>0</v>
      </c>
    </row>
    <row r="2005" spans="1:1" x14ac:dyDescent="0.2">
      <c r="A2005">
        <f t="shared" si="31"/>
        <v>0</v>
      </c>
    </row>
    <row r="2006" spans="1:1" x14ac:dyDescent="0.2">
      <c r="A2006">
        <f t="shared" si="31"/>
        <v>0</v>
      </c>
    </row>
    <row r="2007" spans="1:1" x14ac:dyDescent="0.2">
      <c r="A2007">
        <f t="shared" si="31"/>
        <v>0</v>
      </c>
    </row>
    <row r="2008" spans="1:1" x14ac:dyDescent="0.2">
      <c r="A2008">
        <f t="shared" si="31"/>
        <v>0</v>
      </c>
    </row>
    <row r="2009" spans="1:1" x14ac:dyDescent="0.2">
      <c r="A2009">
        <f t="shared" si="31"/>
        <v>0</v>
      </c>
    </row>
    <row r="2010" spans="1:1" x14ac:dyDescent="0.2">
      <c r="A2010">
        <f t="shared" si="31"/>
        <v>0</v>
      </c>
    </row>
    <row r="2011" spans="1:1" x14ac:dyDescent="0.2">
      <c r="A2011">
        <f t="shared" si="31"/>
        <v>0</v>
      </c>
    </row>
    <row r="2012" spans="1:1" x14ac:dyDescent="0.2">
      <c r="A2012">
        <f t="shared" si="31"/>
        <v>0</v>
      </c>
    </row>
    <row r="2013" spans="1:1" x14ac:dyDescent="0.2">
      <c r="A2013">
        <f t="shared" si="31"/>
        <v>0</v>
      </c>
    </row>
    <row r="2014" spans="1:1" x14ac:dyDescent="0.2">
      <c r="A2014">
        <f t="shared" si="31"/>
        <v>0</v>
      </c>
    </row>
    <row r="2015" spans="1:1" x14ac:dyDescent="0.2">
      <c r="A2015">
        <f t="shared" si="31"/>
        <v>0</v>
      </c>
    </row>
    <row r="2016" spans="1:1" x14ac:dyDescent="0.2">
      <c r="A2016">
        <f t="shared" si="31"/>
        <v>0</v>
      </c>
    </row>
    <row r="2017" spans="1:1" x14ac:dyDescent="0.2">
      <c r="A2017">
        <f t="shared" si="31"/>
        <v>0</v>
      </c>
    </row>
    <row r="2018" spans="1:1" x14ac:dyDescent="0.2">
      <c r="A2018">
        <f t="shared" si="31"/>
        <v>0</v>
      </c>
    </row>
    <row r="2019" spans="1:1" x14ac:dyDescent="0.2">
      <c r="A2019">
        <f t="shared" si="31"/>
        <v>0</v>
      </c>
    </row>
    <row r="2020" spans="1:1" x14ac:dyDescent="0.2">
      <c r="A2020">
        <f t="shared" si="31"/>
        <v>0</v>
      </c>
    </row>
    <row r="2021" spans="1:1" x14ac:dyDescent="0.2">
      <c r="A2021">
        <f t="shared" si="31"/>
        <v>0</v>
      </c>
    </row>
    <row r="2022" spans="1:1" x14ac:dyDescent="0.2">
      <c r="A2022">
        <f t="shared" si="31"/>
        <v>0</v>
      </c>
    </row>
    <row r="2023" spans="1:1" x14ac:dyDescent="0.2">
      <c r="A2023">
        <f t="shared" si="31"/>
        <v>0</v>
      </c>
    </row>
    <row r="2024" spans="1:1" x14ac:dyDescent="0.2">
      <c r="A2024">
        <f t="shared" si="31"/>
        <v>0</v>
      </c>
    </row>
    <row r="2025" spans="1:1" x14ac:dyDescent="0.2">
      <c r="A2025">
        <f t="shared" si="31"/>
        <v>0</v>
      </c>
    </row>
    <row r="2026" spans="1:1" x14ac:dyDescent="0.2">
      <c r="A2026">
        <f t="shared" si="31"/>
        <v>0</v>
      </c>
    </row>
    <row r="2027" spans="1:1" x14ac:dyDescent="0.2">
      <c r="A2027">
        <f t="shared" si="31"/>
        <v>0</v>
      </c>
    </row>
    <row r="2028" spans="1:1" x14ac:dyDescent="0.2">
      <c r="A2028">
        <f t="shared" si="31"/>
        <v>0</v>
      </c>
    </row>
    <row r="2029" spans="1:1" x14ac:dyDescent="0.2">
      <c r="A2029">
        <f t="shared" si="31"/>
        <v>0</v>
      </c>
    </row>
    <row r="2030" spans="1:1" x14ac:dyDescent="0.2">
      <c r="A2030">
        <f t="shared" si="31"/>
        <v>0</v>
      </c>
    </row>
    <row r="2031" spans="1:1" x14ac:dyDescent="0.2">
      <c r="A2031">
        <f t="shared" si="31"/>
        <v>0</v>
      </c>
    </row>
    <row r="2032" spans="1:1" x14ac:dyDescent="0.2">
      <c r="A2032">
        <f t="shared" si="31"/>
        <v>0</v>
      </c>
    </row>
    <row r="2033" spans="1:1" x14ac:dyDescent="0.2">
      <c r="A2033">
        <f t="shared" si="31"/>
        <v>0</v>
      </c>
    </row>
    <row r="2034" spans="1:1" x14ac:dyDescent="0.2">
      <c r="A2034">
        <f t="shared" si="31"/>
        <v>0</v>
      </c>
    </row>
    <row r="2035" spans="1:1" x14ac:dyDescent="0.2">
      <c r="A2035">
        <f t="shared" si="31"/>
        <v>0</v>
      </c>
    </row>
    <row r="2036" spans="1:1" x14ac:dyDescent="0.2">
      <c r="A2036">
        <f t="shared" si="31"/>
        <v>0</v>
      </c>
    </row>
    <row r="2037" spans="1:1" x14ac:dyDescent="0.2">
      <c r="A2037">
        <f t="shared" si="31"/>
        <v>0</v>
      </c>
    </row>
    <row r="2038" spans="1:1" x14ac:dyDescent="0.2">
      <c r="A2038">
        <f t="shared" si="31"/>
        <v>0</v>
      </c>
    </row>
    <row r="2039" spans="1:1" x14ac:dyDescent="0.2">
      <c r="A2039">
        <f t="shared" si="31"/>
        <v>0</v>
      </c>
    </row>
    <row r="2040" spans="1:1" x14ac:dyDescent="0.2">
      <c r="A2040">
        <f t="shared" si="31"/>
        <v>0</v>
      </c>
    </row>
    <row r="2041" spans="1:1" x14ac:dyDescent="0.2">
      <c r="A2041">
        <f t="shared" si="31"/>
        <v>0</v>
      </c>
    </row>
    <row r="2042" spans="1:1" x14ac:dyDescent="0.2">
      <c r="A2042">
        <f t="shared" si="31"/>
        <v>0</v>
      </c>
    </row>
    <row r="2043" spans="1:1" x14ac:dyDescent="0.2">
      <c r="A2043">
        <f t="shared" si="31"/>
        <v>0</v>
      </c>
    </row>
    <row r="2044" spans="1:1" x14ac:dyDescent="0.2">
      <c r="A2044">
        <f t="shared" si="31"/>
        <v>0</v>
      </c>
    </row>
    <row r="2045" spans="1:1" x14ac:dyDescent="0.2">
      <c r="A2045">
        <f t="shared" si="31"/>
        <v>0</v>
      </c>
    </row>
    <row r="2046" spans="1:1" x14ac:dyDescent="0.2">
      <c r="A2046">
        <f t="shared" si="31"/>
        <v>0</v>
      </c>
    </row>
    <row r="2047" spans="1:1" x14ac:dyDescent="0.2">
      <c r="A2047">
        <f t="shared" si="31"/>
        <v>0</v>
      </c>
    </row>
    <row r="2048" spans="1:1" x14ac:dyDescent="0.2">
      <c r="A2048">
        <f t="shared" si="31"/>
        <v>0</v>
      </c>
    </row>
    <row r="2049" spans="1:1" x14ac:dyDescent="0.2">
      <c r="A2049">
        <f t="shared" si="31"/>
        <v>0</v>
      </c>
    </row>
    <row r="2050" spans="1:1" x14ac:dyDescent="0.2">
      <c r="A2050">
        <f t="shared" si="31"/>
        <v>0</v>
      </c>
    </row>
    <row r="2051" spans="1:1" x14ac:dyDescent="0.2">
      <c r="A2051">
        <f t="shared" si="31"/>
        <v>0</v>
      </c>
    </row>
    <row r="2052" spans="1:1" x14ac:dyDescent="0.2">
      <c r="A2052">
        <f t="shared" ref="A2052:A2115" si="32">VALUE(B2052)</f>
        <v>0</v>
      </c>
    </row>
    <row r="2053" spans="1:1" x14ac:dyDescent="0.2">
      <c r="A2053">
        <f t="shared" si="32"/>
        <v>0</v>
      </c>
    </row>
    <row r="2054" spans="1:1" x14ac:dyDescent="0.2">
      <c r="A2054">
        <f t="shared" si="32"/>
        <v>0</v>
      </c>
    </row>
    <row r="2055" spans="1:1" x14ac:dyDescent="0.2">
      <c r="A2055">
        <f t="shared" si="32"/>
        <v>0</v>
      </c>
    </row>
    <row r="2056" spans="1:1" x14ac:dyDescent="0.2">
      <c r="A2056">
        <f t="shared" si="32"/>
        <v>0</v>
      </c>
    </row>
    <row r="2057" spans="1:1" x14ac:dyDescent="0.2">
      <c r="A2057">
        <f t="shared" si="32"/>
        <v>0</v>
      </c>
    </row>
    <row r="2058" spans="1:1" x14ac:dyDescent="0.2">
      <c r="A2058">
        <f t="shared" si="32"/>
        <v>0</v>
      </c>
    </row>
    <row r="2059" spans="1:1" x14ac:dyDescent="0.2">
      <c r="A2059">
        <f t="shared" si="32"/>
        <v>0</v>
      </c>
    </row>
    <row r="2060" spans="1:1" x14ac:dyDescent="0.2">
      <c r="A2060">
        <f t="shared" si="32"/>
        <v>0</v>
      </c>
    </row>
    <row r="2061" spans="1:1" x14ac:dyDescent="0.2">
      <c r="A2061">
        <f t="shared" si="32"/>
        <v>0</v>
      </c>
    </row>
    <row r="2062" spans="1:1" x14ac:dyDescent="0.2">
      <c r="A2062">
        <f t="shared" si="32"/>
        <v>0</v>
      </c>
    </row>
    <row r="2063" spans="1:1" x14ac:dyDescent="0.2">
      <c r="A2063">
        <f t="shared" si="32"/>
        <v>0</v>
      </c>
    </row>
    <row r="2064" spans="1:1" x14ac:dyDescent="0.2">
      <c r="A2064">
        <f t="shared" si="32"/>
        <v>0</v>
      </c>
    </row>
    <row r="2065" spans="1:1" x14ac:dyDescent="0.2">
      <c r="A2065">
        <f t="shared" si="32"/>
        <v>0</v>
      </c>
    </row>
    <row r="2066" spans="1:1" x14ac:dyDescent="0.2">
      <c r="A2066">
        <f t="shared" si="32"/>
        <v>0</v>
      </c>
    </row>
    <row r="2067" spans="1:1" x14ac:dyDescent="0.2">
      <c r="A2067">
        <f t="shared" si="32"/>
        <v>0</v>
      </c>
    </row>
    <row r="2068" spans="1:1" x14ac:dyDescent="0.2">
      <c r="A2068">
        <f t="shared" si="32"/>
        <v>0</v>
      </c>
    </row>
    <row r="2069" spans="1:1" x14ac:dyDescent="0.2">
      <c r="A2069">
        <f t="shared" si="32"/>
        <v>0</v>
      </c>
    </row>
    <row r="2070" spans="1:1" x14ac:dyDescent="0.2">
      <c r="A2070">
        <f t="shared" si="32"/>
        <v>0</v>
      </c>
    </row>
    <row r="2071" spans="1:1" x14ac:dyDescent="0.2">
      <c r="A2071">
        <f t="shared" si="32"/>
        <v>0</v>
      </c>
    </row>
    <row r="2072" spans="1:1" x14ac:dyDescent="0.2">
      <c r="A2072">
        <f t="shared" si="32"/>
        <v>0</v>
      </c>
    </row>
    <row r="2073" spans="1:1" x14ac:dyDescent="0.2">
      <c r="A2073">
        <f t="shared" si="32"/>
        <v>0</v>
      </c>
    </row>
    <row r="2074" spans="1:1" x14ac:dyDescent="0.2">
      <c r="A2074">
        <f t="shared" si="32"/>
        <v>0</v>
      </c>
    </row>
    <row r="2075" spans="1:1" x14ac:dyDescent="0.2">
      <c r="A2075">
        <f t="shared" si="32"/>
        <v>0</v>
      </c>
    </row>
    <row r="2076" spans="1:1" x14ac:dyDescent="0.2">
      <c r="A2076">
        <f t="shared" si="32"/>
        <v>0</v>
      </c>
    </row>
    <row r="2077" spans="1:1" x14ac:dyDescent="0.2">
      <c r="A2077">
        <f t="shared" si="32"/>
        <v>0</v>
      </c>
    </row>
    <row r="2078" spans="1:1" x14ac:dyDescent="0.2">
      <c r="A2078">
        <f t="shared" si="32"/>
        <v>0</v>
      </c>
    </row>
    <row r="2079" spans="1:1" x14ac:dyDescent="0.2">
      <c r="A2079">
        <f t="shared" si="32"/>
        <v>0</v>
      </c>
    </row>
    <row r="2080" spans="1:1" x14ac:dyDescent="0.2">
      <c r="A2080">
        <f t="shared" si="32"/>
        <v>0</v>
      </c>
    </row>
    <row r="2081" spans="1:1" x14ac:dyDescent="0.2">
      <c r="A2081">
        <f t="shared" si="32"/>
        <v>0</v>
      </c>
    </row>
    <row r="2082" spans="1:1" x14ac:dyDescent="0.2">
      <c r="A2082">
        <f t="shared" si="32"/>
        <v>0</v>
      </c>
    </row>
    <row r="2083" spans="1:1" x14ac:dyDescent="0.2">
      <c r="A2083">
        <f t="shared" si="32"/>
        <v>0</v>
      </c>
    </row>
    <row r="2084" spans="1:1" x14ac:dyDescent="0.2">
      <c r="A2084">
        <f t="shared" si="32"/>
        <v>0</v>
      </c>
    </row>
    <row r="2085" spans="1:1" x14ac:dyDescent="0.2">
      <c r="A2085">
        <f t="shared" si="32"/>
        <v>0</v>
      </c>
    </row>
    <row r="2086" spans="1:1" x14ac:dyDescent="0.2">
      <c r="A2086">
        <f t="shared" si="32"/>
        <v>0</v>
      </c>
    </row>
    <row r="2087" spans="1:1" x14ac:dyDescent="0.2">
      <c r="A2087">
        <f t="shared" si="32"/>
        <v>0</v>
      </c>
    </row>
    <row r="2088" spans="1:1" x14ac:dyDescent="0.2">
      <c r="A2088">
        <f t="shared" si="32"/>
        <v>0</v>
      </c>
    </row>
    <row r="2089" spans="1:1" x14ac:dyDescent="0.2">
      <c r="A2089">
        <f t="shared" si="32"/>
        <v>0</v>
      </c>
    </row>
    <row r="2090" spans="1:1" x14ac:dyDescent="0.2">
      <c r="A2090">
        <f t="shared" si="32"/>
        <v>0</v>
      </c>
    </row>
    <row r="2091" spans="1:1" x14ac:dyDescent="0.2">
      <c r="A2091">
        <f t="shared" si="32"/>
        <v>0</v>
      </c>
    </row>
    <row r="2092" spans="1:1" x14ac:dyDescent="0.2">
      <c r="A2092">
        <f t="shared" si="32"/>
        <v>0</v>
      </c>
    </row>
    <row r="2093" spans="1:1" x14ac:dyDescent="0.2">
      <c r="A2093">
        <f t="shared" si="32"/>
        <v>0</v>
      </c>
    </row>
    <row r="2094" spans="1:1" x14ac:dyDescent="0.2">
      <c r="A2094">
        <f t="shared" si="32"/>
        <v>0</v>
      </c>
    </row>
    <row r="2095" spans="1:1" x14ac:dyDescent="0.2">
      <c r="A2095">
        <f t="shared" si="32"/>
        <v>0</v>
      </c>
    </row>
    <row r="2096" spans="1:1" x14ac:dyDescent="0.2">
      <c r="A2096">
        <f t="shared" si="32"/>
        <v>0</v>
      </c>
    </row>
    <row r="2097" spans="1:1" x14ac:dyDescent="0.2">
      <c r="A2097">
        <f t="shared" si="32"/>
        <v>0</v>
      </c>
    </row>
    <row r="2098" spans="1:1" x14ac:dyDescent="0.2">
      <c r="A2098">
        <f t="shared" si="32"/>
        <v>0</v>
      </c>
    </row>
    <row r="2099" spans="1:1" x14ac:dyDescent="0.2">
      <c r="A2099">
        <f t="shared" si="32"/>
        <v>0</v>
      </c>
    </row>
    <row r="2100" spans="1:1" x14ac:dyDescent="0.2">
      <c r="A2100">
        <f t="shared" si="32"/>
        <v>0</v>
      </c>
    </row>
    <row r="2101" spans="1:1" x14ac:dyDescent="0.2">
      <c r="A2101">
        <f t="shared" si="32"/>
        <v>0</v>
      </c>
    </row>
    <row r="2102" spans="1:1" x14ac:dyDescent="0.2">
      <c r="A2102">
        <f t="shared" si="32"/>
        <v>0</v>
      </c>
    </row>
    <row r="2103" spans="1:1" x14ac:dyDescent="0.2">
      <c r="A2103">
        <f t="shared" si="32"/>
        <v>0</v>
      </c>
    </row>
    <row r="2104" spans="1:1" x14ac:dyDescent="0.2">
      <c r="A2104">
        <f t="shared" si="32"/>
        <v>0</v>
      </c>
    </row>
    <row r="2105" spans="1:1" x14ac:dyDescent="0.2">
      <c r="A2105">
        <f t="shared" si="32"/>
        <v>0</v>
      </c>
    </row>
    <row r="2106" spans="1:1" x14ac:dyDescent="0.2">
      <c r="A2106">
        <f t="shared" si="32"/>
        <v>0</v>
      </c>
    </row>
    <row r="2107" spans="1:1" x14ac:dyDescent="0.2">
      <c r="A2107">
        <f t="shared" si="32"/>
        <v>0</v>
      </c>
    </row>
    <row r="2108" spans="1:1" x14ac:dyDescent="0.2">
      <c r="A2108">
        <f t="shared" si="32"/>
        <v>0</v>
      </c>
    </row>
    <row r="2109" spans="1:1" x14ac:dyDescent="0.2">
      <c r="A2109">
        <f t="shared" si="32"/>
        <v>0</v>
      </c>
    </row>
    <row r="2110" spans="1:1" x14ac:dyDescent="0.2">
      <c r="A2110">
        <f t="shared" si="32"/>
        <v>0</v>
      </c>
    </row>
    <row r="2111" spans="1:1" x14ac:dyDescent="0.2">
      <c r="A2111">
        <f t="shared" si="32"/>
        <v>0</v>
      </c>
    </row>
    <row r="2112" spans="1:1" x14ac:dyDescent="0.2">
      <c r="A2112">
        <f t="shared" si="32"/>
        <v>0</v>
      </c>
    </row>
    <row r="2113" spans="1:1" x14ac:dyDescent="0.2">
      <c r="A2113">
        <f t="shared" si="32"/>
        <v>0</v>
      </c>
    </row>
    <row r="2114" spans="1:1" x14ac:dyDescent="0.2">
      <c r="A2114">
        <f t="shared" si="32"/>
        <v>0</v>
      </c>
    </row>
    <row r="2115" spans="1:1" x14ac:dyDescent="0.2">
      <c r="A2115">
        <f t="shared" si="32"/>
        <v>0</v>
      </c>
    </row>
    <row r="2116" spans="1:1" x14ac:dyDescent="0.2">
      <c r="A2116">
        <f t="shared" ref="A2116:A2179" si="33">VALUE(B2116)</f>
        <v>0</v>
      </c>
    </row>
    <row r="2117" spans="1:1" x14ac:dyDescent="0.2">
      <c r="A2117">
        <f t="shared" si="33"/>
        <v>0</v>
      </c>
    </row>
    <row r="2118" spans="1:1" x14ac:dyDescent="0.2">
      <c r="A2118">
        <f t="shared" si="33"/>
        <v>0</v>
      </c>
    </row>
    <row r="2119" spans="1:1" x14ac:dyDescent="0.2">
      <c r="A2119">
        <f t="shared" si="33"/>
        <v>0</v>
      </c>
    </row>
    <row r="2120" spans="1:1" x14ac:dyDescent="0.2">
      <c r="A2120">
        <f t="shared" si="33"/>
        <v>0</v>
      </c>
    </row>
    <row r="2121" spans="1:1" x14ac:dyDescent="0.2">
      <c r="A2121">
        <f t="shared" si="33"/>
        <v>0</v>
      </c>
    </row>
    <row r="2122" spans="1:1" x14ac:dyDescent="0.2">
      <c r="A2122">
        <f t="shared" si="33"/>
        <v>0</v>
      </c>
    </row>
    <row r="2123" spans="1:1" x14ac:dyDescent="0.2">
      <c r="A2123">
        <f t="shared" si="33"/>
        <v>0</v>
      </c>
    </row>
    <row r="2124" spans="1:1" x14ac:dyDescent="0.2">
      <c r="A2124">
        <f t="shared" si="33"/>
        <v>0</v>
      </c>
    </row>
    <row r="2125" spans="1:1" x14ac:dyDescent="0.2">
      <c r="A2125">
        <f t="shared" si="33"/>
        <v>0</v>
      </c>
    </row>
    <row r="2126" spans="1:1" x14ac:dyDescent="0.2">
      <c r="A2126">
        <f t="shared" si="33"/>
        <v>0</v>
      </c>
    </row>
    <row r="2127" spans="1:1" x14ac:dyDescent="0.2">
      <c r="A2127">
        <f t="shared" si="33"/>
        <v>0</v>
      </c>
    </row>
    <row r="2128" spans="1:1" x14ac:dyDescent="0.2">
      <c r="A2128">
        <f t="shared" si="33"/>
        <v>0</v>
      </c>
    </row>
    <row r="2129" spans="1:1" x14ac:dyDescent="0.2">
      <c r="A2129">
        <f t="shared" si="33"/>
        <v>0</v>
      </c>
    </row>
    <row r="2130" spans="1:1" x14ac:dyDescent="0.2">
      <c r="A2130">
        <f t="shared" si="33"/>
        <v>0</v>
      </c>
    </row>
    <row r="2131" spans="1:1" x14ac:dyDescent="0.2">
      <c r="A2131">
        <f t="shared" si="33"/>
        <v>0</v>
      </c>
    </row>
    <row r="2132" spans="1:1" x14ac:dyDescent="0.2">
      <c r="A2132">
        <f t="shared" si="33"/>
        <v>0</v>
      </c>
    </row>
    <row r="2133" spans="1:1" x14ac:dyDescent="0.2">
      <c r="A2133">
        <f t="shared" si="33"/>
        <v>0</v>
      </c>
    </row>
    <row r="2134" spans="1:1" x14ac:dyDescent="0.2">
      <c r="A2134">
        <f t="shared" si="33"/>
        <v>0</v>
      </c>
    </row>
    <row r="2135" spans="1:1" x14ac:dyDescent="0.2">
      <c r="A2135">
        <f t="shared" si="33"/>
        <v>0</v>
      </c>
    </row>
    <row r="2136" spans="1:1" x14ac:dyDescent="0.2">
      <c r="A2136">
        <f t="shared" si="33"/>
        <v>0</v>
      </c>
    </row>
    <row r="2137" spans="1:1" x14ac:dyDescent="0.2">
      <c r="A2137">
        <f t="shared" si="33"/>
        <v>0</v>
      </c>
    </row>
    <row r="2138" spans="1:1" x14ac:dyDescent="0.2">
      <c r="A2138">
        <f t="shared" si="33"/>
        <v>0</v>
      </c>
    </row>
    <row r="2139" spans="1:1" x14ac:dyDescent="0.2">
      <c r="A2139">
        <f t="shared" si="33"/>
        <v>0</v>
      </c>
    </row>
    <row r="2140" spans="1:1" x14ac:dyDescent="0.2">
      <c r="A2140">
        <f t="shared" si="33"/>
        <v>0</v>
      </c>
    </row>
    <row r="2141" spans="1:1" x14ac:dyDescent="0.2">
      <c r="A2141">
        <f t="shared" si="33"/>
        <v>0</v>
      </c>
    </row>
    <row r="2142" spans="1:1" x14ac:dyDescent="0.2">
      <c r="A2142">
        <f t="shared" si="33"/>
        <v>0</v>
      </c>
    </row>
    <row r="2143" spans="1:1" x14ac:dyDescent="0.2">
      <c r="A2143">
        <f t="shared" si="33"/>
        <v>0</v>
      </c>
    </row>
    <row r="2144" spans="1:1" x14ac:dyDescent="0.2">
      <c r="A2144">
        <f t="shared" si="33"/>
        <v>0</v>
      </c>
    </row>
    <row r="2145" spans="1:1" x14ac:dyDescent="0.2">
      <c r="A2145">
        <f t="shared" si="33"/>
        <v>0</v>
      </c>
    </row>
    <row r="2146" spans="1:1" x14ac:dyDescent="0.2">
      <c r="A2146">
        <f t="shared" si="33"/>
        <v>0</v>
      </c>
    </row>
    <row r="2147" spans="1:1" x14ac:dyDescent="0.2">
      <c r="A2147">
        <f t="shared" si="33"/>
        <v>0</v>
      </c>
    </row>
    <row r="2148" spans="1:1" x14ac:dyDescent="0.2">
      <c r="A2148">
        <f t="shared" si="33"/>
        <v>0</v>
      </c>
    </row>
    <row r="2149" spans="1:1" x14ac:dyDescent="0.2">
      <c r="A2149">
        <f t="shared" si="33"/>
        <v>0</v>
      </c>
    </row>
    <row r="2150" spans="1:1" x14ac:dyDescent="0.2">
      <c r="A2150">
        <f t="shared" si="33"/>
        <v>0</v>
      </c>
    </row>
    <row r="2151" spans="1:1" x14ac:dyDescent="0.2">
      <c r="A2151">
        <f t="shared" si="33"/>
        <v>0</v>
      </c>
    </row>
    <row r="2152" spans="1:1" x14ac:dyDescent="0.2">
      <c r="A2152">
        <f t="shared" si="33"/>
        <v>0</v>
      </c>
    </row>
    <row r="2153" spans="1:1" x14ac:dyDescent="0.2">
      <c r="A2153">
        <f t="shared" si="33"/>
        <v>0</v>
      </c>
    </row>
    <row r="2154" spans="1:1" x14ac:dyDescent="0.2">
      <c r="A2154">
        <f t="shared" si="33"/>
        <v>0</v>
      </c>
    </row>
    <row r="2155" spans="1:1" x14ac:dyDescent="0.2">
      <c r="A2155">
        <f t="shared" si="33"/>
        <v>0</v>
      </c>
    </row>
    <row r="2156" spans="1:1" x14ac:dyDescent="0.2">
      <c r="A2156">
        <f t="shared" si="33"/>
        <v>0</v>
      </c>
    </row>
    <row r="2157" spans="1:1" x14ac:dyDescent="0.2">
      <c r="A2157">
        <f t="shared" si="33"/>
        <v>0</v>
      </c>
    </row>
    <row r="2158" spans="1:1" x14ac:dyDescent="0.2">
      <c r="A2158">
        <f t="shared" si="33"/>
        <v>0</v>
      </c>
    </row>
    <row r="2159" spans="1:1" x14ac:dyDescent="0.2">
      <c r="A2159">
        <f t="shared" si="33"/>
        <v>0</v>
      </c>
    </row>
    <row r="2160" spans="1:1" x14ac:dyDescent="0.2">
      <c r="A2160">
        <f t="shared" si="33"/>
        <v>0</v>
      </c>
    </row>
    <row r="2161" spans="1:1" x14ac:dyDescent="0.2">
      <c r="A2161">
        <f t="shared" si="33"/>
        <v>0</v>
      </c>
    </row>
    <row r="2162" spans="1:1" x14ac:dyDescent="0.2">
      <c r="A2162">
        <f t="shared" si="33"/>
        <v>0</v>
      </c>
    </row>
    <row r="2163" spans="1:1" x14ac:dyDescent="0.2">
      <c r="A2163">
        <f t="shared" si="33"/>
        <v>0</v>
      </c>
    </row>
    <row r="2164" spans="1:1" x14ac:dyDescent="0.2">
      <c r="A2164">
        <f t="shared" si="33"/>
        <v>0</v>
      </c>
    </row>
    <row r="2165" spans="1:1" x14ac:dyDescent="0.2">
      <c r="A2165">
        <f t="shared" si="33"/>
        <v>0</v>
      </c>
    </row>
    <row r="2166" spans="1:1" x14ac:dyDescent="0.2">
      <c r="A2166">
        <f t="shared" si="33"/>
        <v>0</v>
      </c>
    </row>
    <row r="2167" spans="1:1" x14ac:dyDescent="0.2">
      <c r="A2167">
        <f t="shared" si="33"/>
        <v>0</v>
      </c>
    </row>
    <row r="2168" spans="1:1" x14ac:dyDescent="0.2">
      <c r="A2168">
        <f t="shared" si="33"/>
        <v>0</v>
      </c>
    </row>
    <row r="2169" spans="1:1" x14ac:dyDescent="0.2">
      <c r="A2169">
        <f t="shared" si="33"/>
        <v>0</v>
      </c>
    </row>
    <row r="2170" spans="1:1" x14ac:dyDescent="0.2">
      <c r="A2170">
        <f t="shared" si="33"/>
        <v>0</v>
      </c>
    </row>
    <row r="2171" spans="1:1" x14ac:dyDescent="0.2">
      <c r="A2171">
        <f t="shared" si="33"/>
        <v>0</v>
      </c>
    </row>
    <row r="2172" spans="1:1" x14ac:dyDescent="0.2">
      <c r="A2172">
        <f t="shared" si="33"/>
        <v>0</v>
      </c>
    </row>
    <row r="2173" spans="1:1" x14ac:dyDescent="0.2">
      <c r="A2173">
        <f t="shared" si="33"/>
        <v>0</v>
      </c>
    </row>
    <row r="2174" spans="1:1" x14ac:dyDescent="0.2">
      <c r="A2174">
        <f t="shared" si="33"/>
        <v>0</v>
      </c>
    </row>
    <row r="2175" spans="1:1" x14ac:dyDescent="0.2">
      <c r="A2175">
        <f t="shared" si="33"/>
        <v>0</v>
      </c>
    </row>
    <row r="2176" spans="1:1" x14ac:dyDescent="0.2">
      <c r="A2176">
        <f t="shared" si="33"/>
        <v>0</v>
      </c>
    </row>
    <row r="2177" spans="1:1" x14ac:dyDescent="0.2">
      <c r="A2177">
        <f t="shared" si="33"/>
        <v>0</v>
      </c>
    </row>
    <row r="2178" spans="1:1" x14ac:dyDescent="0.2">
      <c r="A2178">
        <f t="shared" si="33"/>
        <v>0</v>
      </c>
    </row>
    <row r="2179" spans="1:1" x14ac:dyDescent="0.2">
      <c r="A2179">
        <f t="shared" si="33"/>
        <v>0</v>
      </c>
    </row>
    <row r="2180" spans="1:1" x14ac:dyDescent="0.2">
      <c r="A2180">
        <f t="shared" ref="A2180:A2206" si="34">VALUE(B2180)</f>
        <v>0</v>
      </c>
    </row>
    <row r="2181" spans="1:1" x14ac:dyDescent="0.2">
      <c r="A2181">
        <f t="shared" si="34"/>
        <v>0</v>
      </c>
    </row>
    <row r="2182" spans="1:1" x14ac:dyDescent="0.2">
      <c r="A2182">
        <f t="shared" si="34"/>
        <v>0</v>
      </c>
    </row>
    <row r="2183" spans="1:1" x14ac:dyDescent="0.2">
      <c r="A2183">
        <f t="shared" si="34"/>
        <v>0</v>
      </c>
    </row>
    <row r="2184" spans="1:1" x14ac:dyDescent="0.2">
      <c r="A2184">
        <f t="shared" si="34"/>
        <v>0</v>
      </c>
    </row>
    <row r="2185" spans="1:1" x14ac:dyDescent="0.2">
      <c r="A2185">
        <f t="shared" si="34"/>
        <v>0</v>
      </c>
    </row>
    <row r="2186" spans="1:1" x14ac:dyDescent="0.2">
      <c r="A2186">
        <f t="shared" si="34"/>
        <v>0</v>
      </c>
    </row>
    <row r="2187" spans="1:1" x14ac:dyDescent="0.2">
      <c r="A2187">
        <f t="shared" si="34"/>
        <v>0</v>
      </c>
    </row>
    <row r="2188" spans="1:1" x14ac:dyDescent="0.2">
      <c r="A2188">
        <f t="shared" si="34"/>
        <v>0</v>
      </c>
    </row>
    <row r="2189" spans="1:1" x14ac:dyDescent="0.2">
      <c r="A2189">
        <f t="shared" si="34"/>
        <v>0</v>
      </c>
    </row>
    <row r="2190" spans="1:1" x14ac:dyDescent="0.2">
      <c r="A2190">
        <f t="shared" si="34"/>
        <v>0</v>
      </c>
    </row>
    <row r="2191" spans="1:1" x14ac:dyDescent="0.2">
      <c r="A2191">
        <f t="shared" si="34"/>
        <v>0</v>
      </c>
    </row>
    <row r="2192" spans="1:1" x14ac:dyDescent="0.2">
      <c r="A2192">
        <f t="shared" si="34"/>
        <v>0</v>
      </c>
    </row>
    <row r="2193" spans="1:1" x14ac:dyDescent="0.2">
      <c r="A2193">
        <f t="shared" si="34"/>
        <v>0</v>
      </c>
    </row>
    <row r="2194" spans="1:1" x14ac:dyDescent="0.2">
      <c r="A2194">
        <f t="shared" si="34"/>
        <v>0</v>
      </c>
    </row>
    <row r="2195" spans="1:1" x14ac:dyDescent="0.2">
      <c r="A2195">
        <f t="shared" si="34"/>
        <v>0</v>
      </c>
    </row>
    <row r="2196" spans="1:1" x14ac:dyDescent="0.2">
      <c r="A2196">
        <f t="shared" si="34"/>
        <v>0</v>
      </c>
    </row>
    <row r="2197" spans="1:1" x14ac:dyDescent="0.2">
      <c r="A2197">
        <f t="shared" si="34"/>
        <v>0</v>
      </c>
    </row>
    <row r="2198" spans="1:1" x14ac:dyDescent="0.2">
      <c r="A2198">
        <f t="shared" si="34"/>
        <v>0</v>
      </c>
    </row>
    <row r="2199" spans="1:1" x14ac:dyDescent="0.2">
      <c r="A2199">
        <f t="shared" si="34"/>
        <v>0</v>
      </c>
    </row>
    <row r="2200" spans="1:1" x14ac:dyDescent="0.2">
      <c r="A2200">
        <f t="shared" si="34"/>
        <v>0</v>
      </c>
    </row>
    <row r="2201" spans="1:1" x14ac:dyDescent="0.2">
      <c r="A2201">
        <f t="shared" si="34"/>
        <v>0</v>
      </c>
    </row>
    <row r="2202" spans="1:1" x14ac:dyDescent="0.2">
      <c r="A2202">
        <f t="shared" si="34"/>
        <v>0</v>
      </c>
    </row>
    <row r="2203" spans="1:1" x14ac:dyDescent="0.2">
      <c r="A2203">
        <f t="shared" si="34"/>
        <v>0</v>
      </c>
    </row>
    <row r="2204" spans="1:1" x14ac:dyDescent="0.2">
      <c r="A2204">
        <f t="shared" si="34"/>
        <v>0</v>
      </c>
    </row>
    <row r="2205" spans="1:1" x14ac:dyDescent="0.2">
      <c r="A2205">
        <f t="shared" si="34"/>
        <v>0</v>
      </c>
    </row>
    <row r="2206" spans="1:1" x14ac:dyDescent="0.2">
      <c r="A2206">
        <f t="shared" si="34"/>
        <v>0</v>
      </c>
    </row>
  </sheetData>
  <mergeCells count="8">
    <mergeCell ref="H2:K2"/>
    <mergeCell ref="L2:Q2"/>
    <mergeCell ref="B2:B3"/>
    <mergeCell ref="C2:C3"/>
    <mergeCell ref="D2:D3"/>
    <mergeCell ref="E2:E3"/>
    <mergeCell ref="F2:F3"/>
    <mergeCell ref="G2:G3"/>
  </mergeCells>
  <conditionalFormatting sqref="E2:E998">
    <cfRule type="cellIs" dxfId="1" priority="3" operator="lessThan">
      <formula>7</formula>
    </cfRule>
  </conditionalFormatting>
  <conditionalFormatting sqref="E1:E1048576">
    <cfRule type="cellIs" dxfId="0" priority="1" operator="equal">
      <formula>"OUT"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210"/>
  <sheetViews>
    <sheetView workbookViewId="0">
      <selection activeCell="E12" sqref="E12"/>
    </sheetView>
  </sheetViews>
  <sheetFormatPr defaultRowHeight="14.25" x14ac:dyDescent="0.2"/>
  <cols>
    <col min="1" max="1" width="9" style="15"/>
    <col min="2" max="2" width="9" style="30"/>
    <col min="3" max="3" width="9" style="16"/>
    <col min="4" max="4" width="19" style="17" customWidth="1"/>
    <col min="5" max="5" width="9" style="17"/>
    <col min="6" max="6" width="13.125" style="19" customWidth="1"/>
    <col min="7" max="8" width="9" style="17"/>
    <col min="9" max="9" width="9" style="18"/>
    <col min="10" max="10" width="15.75" style="16" customWidth="1"/>
    <col min="11" max="11" width="9" style="17"/>
    <col min="12" max="12" width="9" style="18"/>
    <col min="13" max="13" width="15.75" style="16" customWidth="1"/>
    <col min="14" max="14" width="9" style="17"/>
    <col min="15" max="15" width="9" style="18"/>
    <col min="16" max="16" width="15.75" style="16" customWidth="1"/>
    <col min="17" max="17" width="9" style="17"/>
    <col min="18" max="18" width="9" style="18"/>
    <col min="19" max="19" width="15.75" style="16" customWidth="1"/>
    <col min="20" max="20" width="9" style="17"/>
    <col min="21" max="21" width="9" style="18"/>
    <col min="22" max="22" width="15.75" style="16" customWidth="1"/>
    <col min="23" max="23" width="9" style="17"/>
    <col min="24" max="24" width="9" style="18"/>
    <col min="25" max="26" width="9" style="15"/>
  </cols>
  <sheetData>
    <row r="1" spans="1:26" x14ac:dyDescent="0.2">
      <c r="A1" s="20">
        <f>COUNTA(A2:A1000)+2</f>
        <v>211</v>
      </c>
      <c r="B1" s="28"/>
      <c r="C1" s="141" t="s">
        <v>1633</v>
      </c>
      <c r="D1" s="141"/>
      <c r="E1" s="141"/>
      <c r="F1" s="141"/>
      <c r="G1" s="141"/>
      <c r="H1" s="141"/>
      <c r="I1" s="141"/>
      <c r="J1" s="141" t="s">
        <v>1627</v>
      </c>
      <c r="K1" s="141"/>
      <c r="L1" s="141"/>
      <c r="M1" s="141" t="s">
        <v>1629</v>
      </c>
      <c r="N1" s="141"/>
      <c r="O1" s="141"/>
      <c r="P1" s="141" t="s">
        <v>1630</v>
      </c>
      <c r="Q1" s="141"/>
      <c r="R1" s="141"/>
      <c r="S1" s="141" t="s">
        <v>1631</v>
      </c>
      <c r="T1" s="141"/>
      <c r="U1" s="141"/>
      <c r="V1" s="141" t="s">
        <v>1632</v>
      </c>
      <c r="W1" s="141"/>
      <c r="X1" s="141"/>
      <c r="Y1" s="21"/>
      <c r="Z1" s="22"/>
    </row>
    <row r="2" spans="1:26" ht="15" thickBot="1" x14ac:dyDescent="0.25">
      <c r="A2" s="23" t="s">
        <v>20</v>
      </c>
      <c r="B2" s="29" t="s">
        <v>1634</v>
      </c>
      <c r="C2" s="24" t="s">
        <v>1626</v>
      </c>
      <c r="D2" s="24" t="s">
        <v>35</v>
      </c>
      <c r="E2" s="24" t="s">
        <v>7</v>
      </c>
      <c r="F2" s="25" t="s">
        <v>8</v>
      </c>
      <c r="G2" s="24" t="s">
        <v>14</v>
      </c>
      <c r="H2" s="24" t="s">
        <v>15</v>
      </c>
      <c r="I2" s="24" t="s">
        <v>1635</v>
      </c>
      <c r="J2" s="26" t="s">
        <v>1628</v>
      </c>
      <c r="K2" s="26" t="s">
        <v>3</v>
      </c>
      <c r="L2" s="26" t="s">
        <v>4</v>
      </c>
      <c r="M2" s="26" t="s">
        <v>1628</v>
      </c>
      <c r="N2" s="26" t="s">
        <v>3</v>
      </c>
      <c r="O2" s="26" t="s">
        <v>4</v>
      </c>
      <c r="P2" s="26" t="s">
        <v>1628</v>
      </c>
      <c r="Q2" s="26" t="s">
        <v>3</v>
      </c>
      <c r="R2" s="26" t="s">
        <v>4</v>
      </c>
      <c r="S2" s="26" t="s">
        <v>1628</v>
      </c>
      <c r="T2" s="26" t="s">
        <v>3</v>
      </c>
      <c r="U2" s="26" t="s">
        <v>4</v>
      </c>
      <c r="V2" s="26" t="s">
        <v>1628</v>
      </c>
      <c r="W2" s="26" t="s">
        <v>3</v>
      </c>
      <c r="X2" s="26" t="s">
        <v>4</v>
      </c>
      <c r="Y2" s="26" t="s">
        <v>25</v>
      </c>
      <c r="Z2" s="27" t="s">
        <v>26</v>
      </c>
    </row>
    <row r="3" spans="1:26" x14ac:dyDescent="0.2">
      <c r="A3" s="15">
        <v>31</v>
      </c>
      <c r="B3" s="30">
        <v>42747.981138773146</v>
      </c>
      <c r="C3" s="16">
        <v>1701011</v>
      </c>
      <c r="D3" s="17" t="s">
        <v>1619</v>
      </c>
      <c r="E3" s="17" t="s">
        <v>263</v>
      </c>
      <c r="F3" s="19">
        <v>899822449</v>
      </c>
      <c r="G3" s="17" t="s">
        <v>1637</v>
      </c>
      <c r="H3" s="17" t="s">
        <v>1620</v>
      </c>
      <c r="I3" s="18" t="s">
        <v>1638</v>
      </c>
      <c r="J3" s="16" t="s">
        <v>1636</v>
      </c>
      <c r="K3" s="17">
        <v>1</v>
      </c>
      <c r="L3" s="18">
        <v>50000</v>
      </c>
      <c r="M3" s="16" t="s">
        <v>40</v>
      </c>
      <c r="N3" s="17">
        <v>0</v>
      </c>
      <c r="O3" s="18">
        <v>0</v>
      </c>
      <c r="P3" s="16" t="s">
        <v>40</v>
      </c>
      <c r="Q3" s="17">
        <v>0</v>
      </c>
      <c r="R3" s="18">
        <v>0</v>
      </c>
      <c r="S3" s="16" t="s">
        <v>40</v>
      </c>
      <c r="T3" s="17">
        <v>0</v>
      </c>
      <c r="U3" s="18">
        <v>0</v>
      </c>
      <c r="V3" s="16" t="s">
        <v>40</v>
      </c>
      <c r="W3" s="17">
        <v>0</v>
      </c>
      <c r="X3" s="18">
        <v>0</v>
      </c>
      <c r="Y3" s="15">
        <v>0</v>
      </c>
      <c r="Z3" s="15">
        <v>50000</v>
      </c>
    </row>
    <row r="4" spans="1:26" x14ac:dyDescent="0.2">
      <c r="A4" s="15">
        <v>31</v>
      </c>
      <c r="B4" s="30">
        <v>42747.981788078701</v>
      </c>
      <c r="C4" s="16">
        <v>1701011</v>
      </c>
      <c r="D4" s="17" t="s">
        <v>1619</v>
      </c>
      <c r="E4" s="17" t="s">
        <v>263</v>
      </c>
      <c r="F4" s="19">
        <v>899822449</v>
      </c>
      <c r="G4" s="17" t="s">
        <v>1637</v>
      </c>
      <c r="H4" s="17" t="s">
        <v>1620</v>
      </c>
      <c r="I4" s="18" t="s">
        <v>1638</v>
      </c>
      <c r="J4" s="16" t="s">
        <v>1636</v>
      </c>
      <c r="K4" s="17">
        <v>1</v>
      </c>
      <c r="L4" s="18">
        <v>50000</v>
      </c>
      <c r="M4" s="16" t="s">
        <v>40</v>
      </c>
      <c r="N4" s="17">
        <v>0</v>
      </c>
      <c r="O4" s="18">
        <v>0</v>
      </c>
      <c r="P4" s="16" t="s">
        <v>40</v>
      </c>
      <c r="Q4" s="17">
        <v>0</v>
      </c>
      <c r="R4" s="18">
        <v>0</v>
      </c>
      <c r="S4" s="16" t="s">
        <v>40</v>
      </c>
      <c r="T4" s="17">
        <v>0</v>
      </c>
      <c r="U4" s="18">
        <v>0</v>
      </c>
      <c r="V4" s="16" t="s">
        <v>40</v>
      </c>
      <c r="W4" s="17">
        <v>0</v>
      </c>
      <c r="X4" s="18">
        <v>0</v>
      </c>
      <c r="Y4" s="15">
        <v>0</v>
      </c>
      <c r="Z4" s="15">
        <v>50000</v>
      </c>
    </row>
    <row r="5" spans="1:26" x14ac:dyDescent="0.2">
      <c r="A5" s="15">
        <v>32</v>
      </c>
      <c r="B5" s="30">
        <v>42748.383883101851</v>
      </c>
      <c r="C5" s="16">
        <v>1609039</v>
      </c>
      <c r="D5" s="17" t="s">
        <v>1006</v>
      </c>
      <c r="E5" s="17" t="s">
        <v>286</v>
      </c>
      <c r="F5" s="19">
        <v>813558069</v>
      </c>
      <c r="G5" s="17" t="s">
        <v>1640</v>
      </c>
      <c r="H5" s="17" t="s">
        <v>1529</v>
      </c>
      <c r="I5" s="18" t="s">
        <v>1641</v>
      </c>
      <c r="J5" s="16" t="s">
        <v>1639</v>
      </c>
      <c r="K5" s="17">
        <v>1</v>
      </c>
      <c r="L5" s="18">
        <v>1600</v>
      </c>
      <c r="M5" s="16" t="s">
        <v>40</v>
      </c>
      <c r="N5" s="17">
        <v>0</v>
      </c>
      <c r="O5" s="18">
        <v>0</v>
      </c>
      <c r="P5" s="16" t="s">
        <v>40</v>
      </c>
      <c r="Q5" s="17">
        <v>0</v>
      </c>
      <c r="R5" s="18">
        <v>0</v>
      </c>
      <c r="S5" s="16" t="s">
        <v>40</v>
      </c>
      <c r="T5" s="17">
        <v>0</v>
      </c>
      <c r="U5" s="18">
        <v>0</v>
      </c>
      <c r="V5" s="16" t="s">
        <v>40</v>
      </c>
      <c r="W5" s="17">
        <v>0</v>
      </c>
      <c r="X5" s="18">
        <v>0</v>
      </c>
      <c r="Y5" s="15">
        <v>0</v>
      </c>
      <c r="Z5" s="15">
        <v>1600</v>
      </c>
    </row>
    <row r="6" spans="1:26" x14ac:dyDescent="0.2">
      <c r="A6" s="15">
        <v>32</v>
      </c>
      <c r="B6" s="30">
        <v>42748.716645717592</v>
      </c>
      <c r="C6" s="16">
        <v>1701066</v>
      </c>
      <c r="D6" s="17" t="s">
        <v>1644</v>
      </c>
      <c r="E6" s="17" t="s">
        <v>40</v>
      </c>
      <c r="F6" s="19">
        <v>0</v>
      </c>
      <c r="G6" s="17" t="s">
        <v>1647</v>
      </c>
      <c r="H6" s="17" t="s">
        <v>1645</v>
      </c>
      <c r="I6" s="18" t="s">
        <v>1648</v>
      </c>
      <c r="J6" s="16" t="s">
        <v>1646</v>
      </c>
      <c r="K6" s="17">
        <v>1</v>
      </c>
      <c r="L6" s="18">
        <v>5000</v>
      </c>
      <c r="M6" s="16" t="s">
        <v>40</v>
      </c>
      <c r="N6" s="17">
        <v>0</v>
      </c>
      <c r="O6" s="18">
        <v>0</v>
      </c>
      <c r="P6" s="16" t="s">
        <v>40</v>
      </c>
      <c r="Q6" s="17">
        <v>0</v>
      </c>
      <c r="R6" s="18">
        <v>0</v>
      </c>
      <c r="S6" s="16" t="s">
        <v>40</v>
      </c>
      <c r="T6" s="17">
        <v>0</v>
      </c>
      <c r="U6" s="18">
        <v>0</v>
      </c>
      <c r="V6" s="16" t="s">
        <v>40</v>
      </c>
      <c r="W6" s="17">
        <v>0</v>
      </c>
      <c r="X6" s="18">
        <v>0</v>
      </c>
      <c r="Y6" s="15">
        <v>0</v>
      </c>
      <c r="Z6" s="15">
        <v>5000</v>
      </c>
    </row>
    <row r="7" spans="1:26" x14ac:dyDescent="0.2">
      <c r="A7" s="15">
        <v>37</v>
      </c>
      <c r="B7" s="30">
        <v>42752.464334722223</v>
      </c>
      <c r="C7" s="16">
        <v>1701012</v>
      </c>
      <c r="D7" s="17" t="s">
        <v>755</v>
      </c>
      <c r="E7" s="17" t="s">
        <v>263</v>
      </c>
      <c r="F7" s="19">
        <v>891222680</v>
      </c>
      <c r="G7" s="17" t="s">
        <v>1650</v>
      </c>
      <c r="H7" s="17" t="s">
        <v>1621</v>
      </c>
      <c r="I7" s="18" t="s">
        <v>1651</v>
      </c>
      <c r="J7" s="16" t="s">
        <v>1649</v>
      </c>
      <c r="K7" s="17">
        <v>1</v>
      </c>
      <c r="L7" s="18">
        <v>3000</v>
      </c>
      <c r="M7" s="16" t="s">
        <v>40</v>
      </c>
      <c r="N7" s="17">
        <v>0</v>
      </c>
      <c r="O7" s="18">
        <v>0</v>
      </c>
      <c r="P7" s="16" t="s">
        <v>40</v>
      </c>
      <c r="Q7" s="17">
        <v>0</v>
      </c>
      <c r="R7" s="18">
        <v>0</v>
      </c>
      <c r="S7" s="16" t="s">
        <v>40</v>
      </c>
      <c r="T7" s="17">
        <v>0</v>
      </c>
      <c r="U7" s="18">
        <v>0</v>
      </c>
      <c r="V7" s="16" t="s">
        <v>40</v>
      </c>
      <c r="W7" s="17">
        <v>0</v>
      </c>
      <c r="X7" s="18">
        <v>0</v>
      </c>
      <c r="Y7" s="15">
        <v>0</v>
      </c>
      <c r="Z7" s="15">
        <v>3000</v>
      </c>
    </row>
    <row r="8" spans="1:26" x14ac:dyDescent="0.2">
      <c r="A8" s="15">
        <v>38</v>
      </c>
      <c r="B8" s="30">
        <v>42755.738225231478</v>
      </c>
      <c r="C8" s="16">
        <v>1701035</v>
      </c>
      <c r="D8" s="17" t="s">
        <v>822</v>
      </c>
      <c r="E8" s="17" t="s">
        <v>233</v>
      </c>
      <c r="F8" s="19">
        <v>819217204</v>
      </c>
      <c r="G8" s="17" t="s">
        <v>1654</v>
      </c>
      <c r="H8" s="17" t="s">
        <v>823</v>
      </c>
      <c r="I8" s="18" t="s">
        <v>1655</v>
      </c>
      <c r="J8" s="16" t="s">
        <v>1652</v>
      </c>
      <c r="K8" s="17">
        <v>1</v>
      </c>
      <c r="L8" s="18">
        <v>1000</v>
      </c>
      <c r="M8" s="16" t="s">
        <v>1653</v>
      </c>
      <c r="N8" s="17">
        <v>1</v>
      </c>
      <c r="O8" s="18">
        <v>4500</v>
      </c>
      <c r="P8" s="16" t="s">
        <v>40</v>
      </c>
      <c r="Q8" s="17">
        <v>0</v>
      </c>
      <c r="R8" s="18">
        <v>0</v>
      </c>
      <c r="S8" s="16" t="s">
        <v>40</v>
      </c>
      <c r="T8" s="17">
        <v>0</v>
      </c>
      <c r="U8" s="18">
        <v>0</v>
      </c>
      <c r="V8" s="16" t="s">
        <v>40</v>
      </c>
      <c r="W8" s="17">
        <v>0</v>
      </c>
      <c r="X8" s="18">
        <v>0</v>
      </c>
      <c r="Y8" s="15">
        <v>0</v>
      </c>
      <c r="Z8" s="15">
        <v>5500</v>
      </c>
    </row>
    <row r="9" spans="1:26" x14ac:dyDescent="0.2">
      <c r="A9" s="15">
        <v>39</v>
      </c>
      <c r="B9" s="30">
        <v>42760.691946180559</v>
      </c>
      <c r="C9" s="16">
        <v>1701078</v>
      </c>
      <c r="D9" s="17" t="s">
        <v>1658</v>
      </c>
      <c r="E9" s="17" t="s">
        <v>305</v>
      </c>
      <c r="F9" s="19">
        <v>957583883</v>
      </c>
      <c r="G9" s="17" t="s">
        <v>1669</v>
      </c>
      <c r="H9" s="17" t="s">
        <v>1659</v>
      </c>
      <c r="I9" s="18" t="s">
        <v>1670</v>
      </c>
      <c r="J9" s="16" t="s">
        <v>1668</v>
      </c>
      <c r="K9" s="17">
        <v>1</v>
      </c>
      <c r="L9" s="18">
        <v>2800</v>
      </c>
      <c r="M9" s="16" t="s">
        <v>40</v>
      </c>
      <c r="N9" s="17">
        <v>0</v>
      </c>
      <c r="O9" s="18">
        <v>0</v>
      </c>
      <c r="P9" s="16" t="s">
        <v>40</v>
      </c>
      <c r="Q9" s="17">
        <v>0</v>
      </c>
      <c r="R9" s="18">
        <v>0</v>
      </c>
      <c r="S9" s="16" t="s">
        <v>40</v>
      </c>
      <c r="T9" s="17">
        <v>0</v>
      </c>
      <c r="U9" s="18">
        <v>0</v>
      </c>
      <c r="V9" s="16" t="s">
        <v>40</v>
      </c>
      <c r="W9" s="17">
        <v>0</v>
      </c>
      <c r="X9" s="18">
        <v>0</v>
      </c>
      <c r="Y9" s="15">
        <v>0</v>
      </c>
      <c r="Z9" s="15">
        <v>2800</v>
      </c>
    </row>
    <row r="10" spans="1:26" x14ac:dyDescent="0.2">
      <c r="A10" s="15">
        <v>40</v>
      </c>
      <c r="B10" s="30">
        <v>42760.696027314814</v>
      </c>
      <c r="C10" s="16">
        <v>1701026</v>
      </c>
      <c r="D10" s="17" t="s">
        <v>1624</v>
      </c>
      <c r="E10" s="17" t="s">
        <v>286</v>
      </c>
      <c r="F10" s="19">
        <v>890558072</v>
      </c>
      <c r="G10" s="17" t="s">
        <v>1672</v>
      </c>
      <c r="H10" s="17" t="s">
        <v>1625</v>
      </c>
      <c r="I10" s="18" t="s">
        <v>1673</v>
      </c>
      <c r="J10" s="16" t="s">
        <v>1671</v>
      </c>
      <c r="K10" s="17">
        <v>1</v>
      </c>
      <c r="L10" s="18">
        <v>4000</v>
      </c>
      <c r="M10" s="16" t="s">
        <v>40</v>
      </c>
      <c r="N10" s="17">
        <v>0</v>
      </c>
      <c r="O10" s="18">
        <v>0</v>
      </c>
      <c r="P10" s="16" t="s">
        <v>40</v>
      </c>
      <c r="Q10" s="17">
        <v>0</v>
      </c>
      <c r="R10" s="18">
        <v>0</v>
      </c>
      <c r="S10" s="16" t="s">
        <v>40</v>
      </c>
      <c r="T10" s="17">
        <v>0</v>
      </c>
      <c r="U10" s="18">
        <v>0</v>
      </c>
      <c r="V10" s="16" t="s">
        <v>40</v>
      </c>
      <c r="W10" s="17">
        <v>0</v>
      </c>
      <c r="X10" s="18">
        <v>0</v>
      </c>
      <c r="Y10" s="15">
        <v>0</v>
      </c>
      <c r="Z10" s="15">
        <v>4000</v>
      </c>
    </row>
    <row r="11" spans="1:26" x14ac:dyDescent="0.2">
      <c r="A11" s="15">
        <v>41</v>
      </c>
      <c r="B11" s="30">
        <v>42762.448266435182</v>
      </c>
      <c r="C11" s="16">
        <v>1701007</v>
      </c>
      <c r="D11" s="17" t="s">
        <v>1613</v>
      </c>
      <c r="E11" s="17" t="s">
        <v>40</v>
      </c>
      <c r="F11" s="19">
        <v>847233455</v>
      </c>
      <c r="G11" s="17" t="s">
        <v>1675</v>
      </c>
      <c r="H11" s="17" t="s">
        <v>1614</v>
      </c>
      <c r="I11" s="18" t="s">
        <v>1676</v>
      </c>
      <c r="J11" s="16" t="s">
        <v>1674</v>
      </c>
      <c r="K11" s="17">
        <v>1</v>
      </c>
      <c r="L11" s="18">
        <v>2800</v>
      </c>
      <c r="M11" s="16" t="s">
        <v>40</v>
      </c>
      <c r="N11" s="17">
        <v>0</v>
      </c>
      <c r="O11" s="18">
        <v>0</v>
      </c>
      <c r="P11" s="16" t="s">
        <v>40</v>
      </c>
      <c r="Q11" s="17">
        <v>0</v>
      </c>
      <c r="R11" s="18">
        <v>0</v>
      </c>
      <c r="S11" s="16" t="s">
        <v>40</v>
      </c>
      <c r="T11" s="17">
        <v>0</v>
      </c>
      <c r="U11" s="18">
        <v>0</v>
      </c>
      <c r="V11" s="16" t="s">
        <v>40</v>
      </c>
      <c r="W11" s="17">
        <v>0</v>
      </c>
      <c r="X11" s="18">
        <v>0</v>
      </c>
      <c r="Y11" s="15">
        <v>600</v>
      </c>
      <c r="Z11" s="15">
        <v>2200</v>
      </c>
    </row>
    <row r="12" spans="1:26" x14ac:dyDescent="0.2">
      <c r="A12" s="15">
        <v>42</v>
      </c>
      <c r="B12" s="30">
        <v>42762.464263425929</v>
      </c>
      <c r="C12" s="16">
        <v>1701009</v>
      </c>
      <c r="D12" s="17" t="s">
        <v>1615</v>
      </c>
      <c r="E12" s="17" t="s">
        <v>40</v>
      </c>
      <c r="F12" s="19">
        <v>9098625279</v>
      </c>
      <c r="G12" s="17" t="s">
        <v>1679</v>
      </c>
      <c r="H12" s="17" t="s">
        <v>1616</v>
      </c>
      <c r="I12" s="18" t="s">
        <v>1680</v>
      </c>
      <c r="J12" s="16" t="s">
        <v>1677</v>
      </c>
      <c r="K12" s="17">
        <v>1</v>
      </c>
      <c r="L12" s="18">
        <v>8000</v>
      </c>
      <c r="M12" s="16" t="s">
        <v>1678</v>
      </c>
      <c r="N12" s="17">
        <v>1</v>
      </c>
      <c r="O12" s="18">
        <v>6300</v>
      </c>
      <c r="P12" s="16" t="s">
        <v>40</v>
      </c>
      <c r="Q12" s="17">
        <v>0</v>
      </c>
      <c r="R12" s="18">
        <v>0</v>
      </c>
      <c r="S12" s="16" t="s">
        <v>40</v>
      </c>
      <c r="T12" s="17">
        <v>0</v>
      </c>
      <c r="U12" s="18">
        <v>0</v>
      </c>
      <c r="V12" s="16" t="s">
        <v>40</v>
      </c>
      <c r="W12" s="17">
        <v>0</v>
      </c>
      <c r="X12" s="18">
        <v>0</v>
      </c>
      <c r="Y12" s="15">
        <v>0</v>
      </c>
      <c r="Z12" s="15">
        <v>14300</v>
      </c>
    </row>
    <row r="13" spans="1:26" x14ac:dyDescent="0.2">
      <c r="A13" s="15">
        <v>43</v>
      </c>
      <c r="B13" s="30">
        <v>42762.628637615744</v>
      </c>
      <c r="C13" s="16">
        <v>1701010</v>
      </c>
      <c r="D13" s="17" t="s">
        <v>1617</v>
      </c>
      <c r="E13" s="17" t="s">
        <v>286</v>
      </c>
      <c r="F13" s="19">
        <v>890092153</v>
      </c>
      <c r="G13" s="17" t="s">
        <v>1681</v>
      </c>
      <c r="H13" s="17" t="s">
        <v>1618</v>
      </c>
      <c r="I13" s="18" t="s">
        <v>1682</v>
      </c>
      <c r="J13" s="16" t="s">
        <v>1677</v>
      </c>
      <c r="K13" s="17">
        <v>1</v>
      </c>
      <c r="L13" s="18">
        <v>2000</v>
      </c>
      <c r="M13" s="16" t="s">
        <v>40</v>
      </c>
      <c r="N13" s="17">
        <v>0</v>
      </c>
      <c r="O13" s="18">
        <v>0</v>
      </c>
      <c r="P13" s="16" t="s">
        <v>40</v>
      </c>
      <c r="Q13" s="17">
        <v>0</v>
      </c>
      <c r="R13" s="18">
        <v>0</v>
      </c>
      <c r="S13" s="16" t="s">
        <v>40</v>
      </c>
      <c r="T13" s="17">
        <v>0</v>
      </c>
      <c r="U13" s="18">
        <v>0</v>
      </c>
      <c r="V13" s="16" t="s">
        <v>40</v>
      </c>
      <c r="W13" s="17">
        <v>0</v>
      </c>
      <c r="X13" s="18">
        <v>0</v>
      </c>
      <c r="Y13" s="15">
        <v>0</v>
      </c>
      <c r="Z13" s="15">
        <v>2000</v>
      </c>
    </row>
    <row r="14" spans="1:26" x14ac:dyDescent="0.2">
      <c r="A14" s="15">
        <v>44</v>
      </c>
      <c r="B14" s="30">
        <v>42767.550665740739</v>
      </c>
      <c r="C14" s="16">
        <v>1701031</v>
      </c>
      <c r="D14" s="17" t="s">
        <v>1642</v>
      </c>
      <c r="E14" s="17" t="s">
        <v>40</v>
      </c>
      <c r="F14" s="19">
        <v>918010200</v>
      </c>
      <c r="G14" s="17" t="s">
        <v>1683</v>
      </c>
      <c r="H14" s="17" t="s">
        <v>1643</v>
      </c>
      <c r="I14" s="18" t="s">
        <v>1684</v>
      </c>
      <c r="J14" s="16" t="s">
        <v>1671</v>
      </c>
      <c r="K14" s="17">
        <v>1</v>
      </c>
      <c r="L14" s="18">
        <v>4000</v>
      </c>
      <c r="M14" s="16" t="s">
        <v>40</v>
      </c>
      <c r="N14" s="17">
        <v>0</v>
      </c>
      <c r="O14" s="18">
        <v>0</v>
      </c>
      <c r="P14" s="16" t="s">
        <v>40</v>
      </c>
      <c r="Q14" s="17">
        <v>0</v>
      </c>
      <c r="R14" s="18">
        <v>0</v>
      </c>
      <c r="S14" s="16" t="s">
        <v>40</v>
      </c>
      <c r="T14" s="17">
        <v>0</v>
      </c>
      <c r="U14" s="18">
        <v>0</v>
      </c>
      <c r="V14" s="16" t="s">
        <v>40</v>
      </c>
      <c r="W14" s="17">
        <v>0</v>
      </c>
      <c r="X14" s="18">
        <v>0</v>
      </c>
      <c r="Y14" s="15">
        <v>0</v>
      </c>
      <c r="Z14" s="15">
        <v>4000</v>
      </c>
    </row>
    <row r="15" spans="1:26" x14ac:dyDescent="0.2">
      <c r="A15" s="15">
        <v>45</v>
      </c>
      <c r="B15" s="30">
        <v>42767.566903009261</v>
      </c>
      <c r="C15" s="16">
        <v>1702006</v>
      </c>
      <c r="D15" s="17" t="s">
        <v>1690</v>
      </c>
      <c r="E15" s="17" t="s">
        <v>305</v>
      </c>
      <c r="F15" s="19">
        <v>926872544</v>
      </c>
      <c r="G15" s="17" t="s">
        <v>1693</v>
      </c>
      <c r="H15" s="17" t="s">
        <v>1691</v>
      </c>
      <c r="I15" s="18" t="s">
        <v>1694</v>
      </c>
      <c r="J15" s="16" t="s">
        <v>1692</v>
      </c>
      <c r="K15" s="17">
        <v>1</v>
      </c>
      <c r="L15" s="18">
        <v>3000</v>
      </c>
      <c r="M15" s="16" t="s">
        <v>40</v>
      </c>
      <c r="N15" s="17">
        <v>0</v>
      </c>
      <c r="O15" s="18">
        <v>0</v>
      </c>
      <c r="P15" s="16" t="s">
        <v>40</v>
      </c>
      <c r="Q15" s="17">
        <v>0</v>
      </c>
      <c r="R15" s="18">
        <v>0</v>
      </c>
      <c r="S15" s="16" t="s">
        <v>40</v>
      </c>
      <c r="T15" s="17">
        <v>0</v>
      </c>
      <c r="U15" s="18">
        <v>0</v>
      </c>
      <c r="V15" s="16" t="s">
        <v>40</v>
      </c>
      <c r="W15" s="17">
        <v>0</v>
      </c>
      <c r="X15" s="18">
        <v>0</v>
      </c>
      <c r="Y15" s="15">
        <v>0</v>
      </c>
      <c r="Z15" s="15">
        <v>3000</v>
      </c>
    </row>
    <row r="16" spans="1:26" x14ac:dyDescent="0.2">
      <c r="A16" s="15">
        <v>45</v>
      </c>
      <c r="B16" s="30">
        <v>42770.459319560185</v>
      </c>
      <c r="C16" s="16">
        <v>1701040</v>
      </c>
      <c r="D16" s="17" t="s">
        <v>1534</v>
      </c>
      <c r="E16" s="17" t="s">
        <v>286</v>
      </c>
      <c r="F16" s="19">
        <v>843832419</v>
      </c>
      <c r="G16" s="17" t="s">
        <v>1696</v>
      </c>
      <c r="H16" s="17" t="s">
        <v>1535</v>
      </c>
      <c r="I16" s="18" t="s">
        <v>1655</v>
      </c>
      <c r="J16" s="16" t="s">
        <v>1695</v>
      </c>
      <c r="K16" s="17">
        <v>1</v>
      </c>
      <c r="L16" s="18">
        <v>1000</v>
      </c>
      <c r="M16" s="16" t="s">
        <v>40</v>
      </c>
      <c r="N16" s="17">
        <v>0</v>
      </c>
      <c r="O16" s="18">
        <v>0</v>
      </c>
      <c r="P16" s="16" t="s">
        <v>40</v>
      </c>
      <c r="Q16" s="17">
        <v>0</v>
      </c>
      <c r="R16" s="18">
        <v>0</v>
      </c>
      <c r="S16" s="16" t="s">
        <v>40</v>
      </c>
      <c r="T16" s="17">
        <v>0</v>
      </c>
      <c r="U16" s="18">
        <v>0</v>
      </c>
      <c r="V16" s="16" t="s">
        <v>40</v>
      </c>
      <c r="W16" s="17">
        <v>0</v>
      </c>
      <c r="X16" s="18">
        <v>0</v>
      </c>
      <c r="Y16" s="15">
        <v>0</v>
      </c>
      <c r="Z16" s="15">
        <v>1000</v>
      </c>
    </row>
    <row r="17" spans="1:26" x14ac:dyDescent="0.2">
      <c r="A17" s="15">
        <v>45</v>
      </c>
      <c r="B17" s="30">
        <v>42770.479910069444</v>
      </c>
      <c r="C17" s="16">
        <v>1701077</v>
      </c>
      <c r="D17" s="17" t="s">
        <v>1656</v>
      </c>
      <c r="E17" s="17" t="s">
        <v>286</v>
      </c>
      <c r="F17" s="19">
        <v>894971525</v>
      </c>
      <c r="G17" s="17" t="s">
        <v>1697</v>
      </c>
      <c r="H17" s="17" t="s">
        <v>1657</v>
      </c>
      <c r="I17" s="18" t="s">
        <v>1698</v>
      </c>
      <c r="J17" s="16" t="s">
        <v>1671</v>
      </c>
      <c r="K17" s="17">
        <v>1</v>
      </c>
      <c r="L17" s="18">
        <v>4000</v>
      </c>
      <c r="M17" s="16" t="s">
        <v>40</v>
      </c>
      <c r="N17" s="17">
        <v>0</v>
      </c>
      <c r="O17" s="18">
        <v>0</v>
      </c>
      <c r="P17" s="16" t="s">
        <v>40</v>
      </c>
      <c r="Q17" s="17">
        <v>0</v>
      </c>
      <c r="R17" s="18">
        <v>0</v>
      </c>
      <c r="S17" s="16" t="s">
        <v>40</v>
      </c>
      <c r="T17" s="17">
        <v>0</v>
      </c>
      <c r="U17" s="18">
        <v>0</v>
      </c>
      <c r="V17" s="16" t="s">
        <v>40</v>
      </c>
      <c r="W17" s="17">
        <v>0</v>
      </c>
      <c r="X17" s="18">
        <v>0</v>
      </c>
      <c r="Y17" s="15">
        <v>0</v>
      </c>
      <c r="Z17" s="15">
        <v>4000</v>
      </c>
    </row>
    <row r="18" spans="1:26" x14ac:dyDescent="0.2">
      <c r="A18" s="15">
        <v>45</v>
      </c>
      <c r="B18" s="30">
        <v>42772.68630833333</v>
      </c>
      <c r="C18" s="16">
        <v>1701025</v>
      </c>
      <c r="D18" s="17" t="s">
        <v>1622</v>
      </c>
      <c r="E18" s="17" t="s">
        <v>305</v>
      </c>
      <c r="F18" s="19">
        <v>852211665</v>
      </c>
      <c r="G18" s="17" t="s">
        <v>1681</v>
      </c>
      <c r="H18" s="17" t="s">
        <v>1623</v>
      </c>
      <c r="I18" s="18" t="s">
        <v>1699</v>
      </c>
      <c r="J18" s="16" t="s">
        <v>1677</v>
      </c>
      <c r="K18" s="17">
        <v>1</v>
      </c>
      <c r="L18" s="18">
        <v>15000</v>
      </c>
      <c r="M18" s="16" t="s">
        <v>40</v>
      </c>
      <c r="N18" s="17">
        <v>0</v>
      </c>
      <c r="O18" s="18">
        <v>0</v>
      </c>
      <c r="P18" s="16" t="s">
        <v>40</v>
      </c>
      <c r="Q18" s="17">
        <v>0</v>
      </c>
      <c r="R18" s="18">
        <v>0</v>
      </c>
      <c r="S18" s="16" t="s">
        <v>40</v>
      </c>
      <c r="T18" s="17">
        <v>0</v>
      </c>
      <c r="U18" s="18">
        <v>0</v>
      </c>
      <c r="V18" s="16" t="s">
        <v>40</v>
      </c>
      <c r="W18" s="17">
        <v>0</v>
      </c>
      <c r="X18" s="18">
        <v>0</v>
      </c>
      <c r="Y18" s="15">
        <v>0</v>
      </c>
      <c r="Z18" s="15">
        <v>15000</v>
      </c>
    </row>
    <row r="19" spans="1:26" x14ac:dyDescent="0.2">
      <c r="A19" s="15">
        <v>46</v>
      </c>
      <c r="B19" s="30">
        <v>42772.70908576389</v>
      </c>
      <c r="C19" s="16">
        <v>1701120</v>
      </c>
      <c r="D19" s="17" t="s">
        <v>1663</v>
      </c>
      <c r="E19" s="17" t="s">
        <v>263</v>
      </c>
      <c r="F19" s="19">
        <v>802949872</v>
      </c>
      <c r="G19" s="17" t="s">
        <v>1703</v>
      </c>
      <c r="H19" s="17" t="s">
        <v>1664</v>
      </c>
      <c r="I19" s="18" t="s">
        <v>1648</v>
      </c>
      <c r="J19" s="16" t="s">
        <v>1700</v>
      </c>
      <c r="K19" s="17">
        <v>1</v>
      </c>
      <c r="L19" s="18">
        <v>2500</v>
      </c>
      <c r="M19" s="16" t="s">
        <v>1701</v>
      </c>
      <c r="N19" s="17">
        <v>1</v>
      </c>
      <c r="O19" s="18">
        <v>2500</v>
      </c>
      <c r="P19" s="16" t="s">
        <v>1702</v>
      </c>
      <c r="Q19" s="17">
        <v>1</v>
      </c>
      <c r="R19" s="18">
        <v>1000</v>
      </c>
      <c r="S19" s="16" t="s">
        <v>40</v>
      </c>
      <c r="T19" s="17">
        <v>0</v>
      </c>
      <c r="U19" s="18">
        <v>0</v>
      </c>
      <c r="V19" s="16" t="s">
        <v>40</v>
      </c>
      <c r="W19" s="17">
        <v>0</v>
      </c>
      <c r="X19" s="18">
        <v>0</v>
      </c>
      <c r="Y19" s="15">
        <v>0</v>
      </c>
      <c r="Z19" s="15">
        <v>6000</v>
      </c>
    </row>
    <row r="20" spans="1:26" x14ac:dyDescent="0.2">
      <c r="A20" s="15">
        <v>47</v>
      </c>
      <c r="B20" s="30">
        <v>42772.728714004632</v>
      </c>
      <c r="C20" s="16">
        <v>1701083</v>
      </c>
      <c r="D20" s="17" t="s">
        <v>1660</v>
      </c>
      <c r="E20" s="17" t="s">
        <v>40</v>
      </c>
      <c r="F20" s="19">
        <v>952495230</v>
      </c>
      <c r="G20" s="17" t="s">
        <v>1705</v>
      </c>
      <c r="H20" s="17" t="s">
        <v>344</v>
      </c>
      <c r="I20" s="18" t="s">
        <v>1706</v>
      </c>
      <c r="J20" s="16" t="s">
        <v>1704</v>
      </c>
      <c r="K20" s="17">
        <v>1</v>
      </c>
      <c r="L20" s="18">
        <v>8000</v>
      </c>
      <c r="M20" s="16" t="s">
        <v>40</v>
      </c>
      <c r="N20" s="17">
        <v>0</v>
      </c>
      <c r="O20" s="18">
        <v>0</v>
      </c>
      <c r="P20" s="16" t="s">
        <v>40</v>
      </c>
      <c r="Q20" s="17">
        <v>0</v>
      </c>
      <c r="R20" s="18">
        <v>0</v>
      </c>
      <c r="S20" s="16" t="s">
        <v>40</v>
      </c>
      <c r="T20" s="17">
        <v>0</v>
      </c>
      <c r="U20" s="18">
        <v>0</v>
      </c>
      <c r="V20" s="16" t="s">
        <v>40</v>
      </c>
      <c r="W20" s="17">
        <v>0</v>
      </c>
      <c r="X20" s="18">
        <v>0</v>
      </c>
      <c r="Y20" s="15">
        <v>0</v>
      </c>
      <c r="Z20" s="15">
        <v>8000</v>
      </c>
    </row>
    <row r="21" spans="1:26" x14ac:dyDescent="0.2">
      <c r="A21" s="15">
        <v>48</v>
      </c>
      <c r="B21" s="30">
        <v>42774.635908217591</v>
      </c>
      <c r="C21" s="16">
        <v>1702001</v>
      </c>
      <c r="D21" s="17" t="s">
        <v>1687</v>
      </c>
      <c r="E21" s="17" t="s">
        <v>305</v>
      </c>
      <c r="F21" s="19">
        <v>811724884</v>
      </c>
      <c r="G21" s="17" t="s">
        <v>1708</v>
      </c>
      <c r="H21" s="17" t="s">
        <v>1688</v>
      </c>
      <c r="I21" s="18" t="s">
        <v>1709</v>
      </c>
      <c r="J21" s="16" t="s">
        <v>1707</v>
      </c>
      <c r="K21" s="17">
        <v>1</v>
      </c>
      <c r="L21" s="18">
        <v>800</v>
      </c>
      <c r="M21" s="16" t="s">
        <v>40</v>
      </c>
      <c r="N21" s="17">
        <v>0</v>
      </c>
      <c r="O21" s="18">
        <v>0</v>
      </c>
      <c r="P21" s="16" t="s">
        <v>40</v>
      </c>
      <c r="Q21" s="17">
        <v>0</v>
      </c>
      <c r="R21" s="18">
        <v>0</v>
      </c>
      <c r="S21" s="16" t="s">
        <v>40</v>
      </c>
      <c r="T21" s="17">
        <v>0</v>
      </c>
      <c r="U21" s="18">
        <v>0</v>
      </c>
      <c r="V21" s="16" t="s">
        <v>40</v>
      </c>
      <c r="W21" s="17">
        <v>0</v>
      </c>
      <c r="X21" s="18">
        <v>0</v>
      </c>
      <c r="Y21" s="15">
        <v>0</v>
      </c>
      <c r="Z21" s="15">
        <v>800</v>
      </c>
    </row>
    <row r="22" spans="1:26" x14ac:dyDescent="0.2">
      <c r="A22" s="15">
        <v>49</v>
      </c>
      <c r="B22" s="30">
        <v>42774.747986111113</v>
      </c>
      <c r="C22" s="16">
        <v>1701121</v>
      </c>
      <c r="D22" s="17" t="s">
        <v>1665</v>
      </c>
      <c r="E22" s="17" t="s">
        <v>254</v>
      </c>
      <c r="F22" s="19">
        <v>945520315</v>
      </c>
      <c r="G22" s="17" t="s">
        <v>1712</v>
      </c>
      <c r="H22" s="17" t="s">
        <v>1666</v>
      </c>
      <c r="I22" s="18" t="s">
        <v>1713</v>
      </c>
      <c r="J22" s="16" t="s">
        <v>1710</v>
      </c>
      <c r="K22" s="17">
        <v>1</v>
      </c>
      <c r="L22" s="18">
        <v>1000</v>
      </c>
      <c r="M22" s="16" t="s">
        <v>1711</v>
      </c>
      <c r="N22" s="17">
        <v>1</v>
      </c>
      <c r="O22" s="18">
        <v>800</v>
      </c>
      <c r="P22" s="16" t="s">
        <v>40</v>
      </c>
      <c r="Q22" s="17">
        <v>0</v>
      </c>
      <c r="R22" s="18">
        <v>0</v>
      </c>
      <c r="S22" s="16" t="s">
        <v>40</v>
      </c>
      <c r="T22" s="17">
        <v>0</v>
      </c>
      <c r="U22" s="18">
        <v>0</v>
      </c>
      <c r="V22" s="16" t="s">
        <v>40</v>
      </c>
      <c r="W22" s="17">
        <v>0</v>
      </c>
      <c r="X22" s="18">
        <v>0</v>
      </c>
      <c r="Y22" s="15">
        <v>0</v>
      </c>
      <c r="Z22" s="15">
        <v>1800</v>
      </c>
    </row>
    <row r="23" spans="1:26" x14ac:dyDescent="0.2">
      <c r="A23" s="15">
        <v>50</v>
      </c>
      <c r="B23" s="30">
        <v>42776.428076620374</v>
      </c>
      <c r="C23" s="16">
        <v>1701084</v>
      </c>
      <c r="D23" s="17" t="s">
        <v>1661</v>
      </c>
      <c r="E23" s="17" t="s">
        <v>305</v>
      </c>
      <c r="F23" s="19">
        <v>821984425</v>
      </c>
      <c r="G23" s="17" t="s">
        <v>1714</v>
      </c>
      <c r="H23" s="17" t="s">
        <v>1662</v>
      </c>
      <c r="I23" s="18" t="s">
        <v>1715</v>
      </c>
      <c r="J23" s="16" t="s">
        <v>1677</v>
      </c>
      <c r="K23" s="17">
        <v>1</v>
      </c>
      <c r="L23" s="18">
        <v>6000</v>
      </c>
      <c r="M23" s="16" t="s">
        <v>40</v>
      </c>
      <c r="N23" s="17">
        <v>0</v>
      </c>
      <c r="O23" s="18">
        <v>0</v>
      </c>
      <c r="P23" s="16" t="s">
        <v>40</v>
      </c>
      <c r="Q23" s="17">
        <v>0</v>
      </c>
      <c r="R23" s="18">
        <v>0</v>
      </c>
      <c r="S23" s="16" t="s">
        <v>40</v>
      </c>
      <c r="T23" s="17">
        <v>0</v>
      </c>
      <c r="U23" s="18">
        <v>0</v>
      </c>
      <c r="V23" s="16" t="s">
        <v>40</v>
      </c>
      <c r="W23" s="17">
        <v>0</v>
      </c>
      <c r="X23" s="18">
        <v>0</v>
      </c>
      <c r="Y23" s="15">
        <v>0</v>
      </c>
      <c r="Z23" s="15">
        <v>6000</v>
      </c>
    </row>
    <row r="24" spans="1:26" x14ac:dyDescent="0.2">
      <c r="A24" s="15">
        <v>51</v>
      </c>
      <c r="B24" s="30">
        <v>42776.484263773149</v>
      </c>
      <c r="C24" s="16">
        <v>1701172</v>
      </c>
      <c r="D24" s="17" t="s">
        <v>1685</v>
      </c>
      <c r="E24" s="17" t="s">
        <v>243</v>
      </c>
      <c r="F24" s="19">
        <v>928294164</v>
      </c>
      <c r="G24" s="17" t="s">
        <v>1693</v>
      </c>
      <c r="H24" s="17" t="s">
        <v>1686</v>
      </c>
      <c r="I24" s="18" t="s">
        <v>1716</v>
      </c>
      <c r="J24" s="16" t="s">
        <v>1677</v>
      </c>
      <c r="K24" s="17">
        <v>1</v>
      </c>
      <c r="L24" s="18">
        <v>1000</v>
      </c>
      <c r="M24" s="16" t="s">
        <v>40</v>
      </c>
      <c r="N24" s="17">
        <v>0</v>
      </c>
      <c r="O24" s="18">
        <v>0</v>
      </c>
      <c r="P24" s="16" t="s">
        <v>40</v>
      </c>
      <c r="Q24" s="17">
        <v>0</v>
      </c>
      <c r="R24" s="18">
        <v>0</v>
      </c>
      <c r="S24" s="16" t="s">
        <v>40</v>
      </c>
      <c r="T24" s="17">
        <v>0</v>
      </c>
      <c r="U24" s="18">
        <v>0</v>
      </c>
      <c r="V24" s="16" t="s">
        <v>40</v>
      </c>
      <c r="W24" s="17">
        <v>0</v>
      </c>
      <c r="X24" s="18">
        <v>0</v>
      </c>
      <c r="Y24" s="15">
        <v>0</v>
      </c>
      <c r="Z24" s="15">
        <v>1000</v>
      </c>
    </row>
    <row r="25" spans="1:26" x14ac:dyDescent="0.2">
      <c r="A25" s="15">
        <v>51</v>
      </c>
      <c r="B25" s="30">
        <v>42777.685252083334</v>
      </c>
      <c r="D25" s="17" t="s">
        <v>1717</v>
      </c>
      <c r="E25" s="17" t="s">
        <v>1718</v>
      </c>
      <c r="F25" s="19">
        <v>864102280</v>
      </c>
      <c r="G25" s="17" t="s">
        <v>1723</v>
      </c>
      <c r="H25" s="17" t="s">
        <v>1689</v>
      </c>
      <c r="I25" s="18" t="s">
        <v>225</v>
      </c>
      <c r="J25" s="16" t="s">
        <v>1719</v>
      </c>
      <c r="K25" s="17">
        <v>1</v>
      </c>
      <c r="L25" s="18">
        <v>2500</v>
      </c>
      <c r="M25" s="16" t="s">
        <v>1720</v>
      </c>
      <c r="N25" s="17">
        <v>1</v>
      </c>
      <c r="O25" s="18">
        <v>2500</v>
      </c>
      <c r="P25" s="16" t="s">
        <v>1721</v>
      </c>
      <c r="Q25" s="17">
        <v>1</v>
      </c>
      <c r="R25" s="18">
        <v>2500</v>
      </c>
      <c r="S25" s="16" t="s">
        <v>1722</v>
      </c>
      <c r="T25" s="17">
        <v>1</v>
      </c>
      <c r="U25" s="18">
        <v>2800</v>
      </c>
      <c r="V25" s="16" t="s">
        <v>40</v>
      </c>
      <c r="W25" s="17">
        <v>0</v>
      </c>
      <c r="X25" s="18">
        <v>0</v>
      </c>
      <c r="Y25" s="15">
        <v>0</v>
      </c>
      <c r="Z25" s="15">
        <v>10300</v>
      </c>
    </row>
    <row r="26" spans="1:26" x14ac:dyDescent="0.2">
      <c r="A26" s="15">
        <v>52</v>
      </c>
      <c r="B26" s="30">
        <v>42777.700676388886</v>
      </c>
      <c r="D26" s="17" t="s">
        <v>1724</v>
      </c>
      <c r="E26" s="17" t="s">
        <v>1725</v>
      </c>
      <c r="F26" s="19">
        <v>890770627</v>
      </c>
      <c r="G26" s="17" t="s">
        <v>1728</v>
      </c>
      <c r="H26" s="17" t="s">
        <v>1667</v>
      </c>
      <c r="I26" s="18" t="s">
        <v>202</v>
      </c>
      <c r="J26" s="16" t="s">
        <v>1726</v>
      </c>
      <c r="K26" s="17">
        <v>1</v>
      </c>
      <c r="L26" s="18">
        <v>1000</v>
      </c>
      <c r="M26" s="16" t="s">
        <v>1727</v>
      </c>
      <c r="N26" s="17">
        <v>1</v>
      </c>
      <c r="O26" s="18">
        <v>1000</v>
      </c>
      <c r="P26" s="16" t="s">
        <v>40</v>
      </c>
      <c r="Q26" s="17">
        <v>0</v>
      </c>
      <c r="R26" s="18">
        <v>0</v>
      </c>
      <c r="S26" s="16" t="s">
        <v>40</v>
      </c>
      <c r="T26" s="17">
        <v>0</v>
      </c>
      <c r="U26" s="18">
        <v>0</v>
      </c>
      <c r="V26" s="16" t="s">
        <v>40</v>
      </c>
      <c r="W26" s="17">
        <v>0</v>
      </c>
      <c r="X26" s="18">
        <v>0</v>
      </c>
      <c r="Y26" s="15">
        <v>0</v>
      </c>
      <c r="Z26" s="15">
        <v>2000</v>
      </c>
    </row>
    <row r="27" spans="1:26" x14ac:dyDescent="0.2">
      <c r="A27" s="15">
        <v>53</v>
      </c>
      <c r="B27" s="30">
        <v>42779.69373136574</v>
      </c>
      <c r="C27" s="16">
        <v>1702030</v>
      </c>
      <c r="D27" s="17" t="s">
        <v>1783</v>
      </c>
      <c r="E27" s="17" t="s">
        <v>1784</v>
      </c>
      <c r="F27" s="19">
        <v>866691725</v>
      </c>
      <c r="G27" s="17" t="s">
        <v>1795</v>
      </c>
      <c r="H27" s="17" t="s">
        <v>1785</v>
      </c>
      <c r="I27" s="18" t="s">
        <v>1796</v>
      </c>
      <c r="J27" s="16" t="s">
        <v>1794</v>
      </c>
      <c r="K27" s="17">
        <v>1</v>
      </c>
      <c r="L27" s="18">
        <v>1000</v>
      </c>
      <c r="M27" s="16" t="s">
        <v>40</v>
      </c>
      <c r="N27" s="17">
        <v>0</v>
      </c>
      <c r="O27" s="18">
        <v>0</v>
      </c>
      <c r="P27" s="16" t="s">
        <v>40</v>
      </c>
      <c r="Q27" s="17">
        <v>0</v>
      </c>
      <c r="R27" s="18">
        <v>0</v>
      </c>
      <c r="S27" s="16" t="s">
        <v>40</v>
      </c>
      <c r="T27" s="17">
        <v>0</v>
      </c>
      <c r="U27" s="18">
        <v>0</v>
      </c>
      <c r="V27" s="16" t="s">
        <v>40</v>
      </c>
      <c r="W27" s="17">
        <v>0</v>
      </c>
      <c r="X27" s="18">
        <v>0</v>
      </c>
      <c r="Y27" s="15">
        <v>0</v>
      </c>
      <c r="Z27" s="15">
        <v>1000</v>
      </c>
    </row>
    <row r="28" spans="1:26" x14ac:dyDescent="0.2">
      <c r="A28" s="15">
        <v>54</v>
      </c>
      <c r="B28" s="30">
        <v>42780.358484606484</v>
      </c>
      <c r="C28" s="16">
        <v>1701050</v>
      </c>
      <c r="D28" s="17" t="s">
        <v>1733</v>
      </c>
      <c r="E28" s="17" t="s">
        <v>506</v>
      </c>
      <c r="F28" s="19">
        <v>937123093</v>
      </c>
      <c r="G28" s="17" t="s">
        <v>1798</v>
      </c>
      <c r="H28" s="17" t="s">
        <v>1734</v>
      </c>
      <c r="I28" s="18" t="s">
        <v>1799</v>
      </c>
      <c r="J28" s="16" t="s">
        <v>1797</v>
      </c>
      <c r="K28" s="17">
        <v>1</v>
      </c>
      <c r="L28" s="18">
        <v>1000</v>
      </c>
      <c r="M28" s="16" t="s">
        <v>40</v>
      </c>
      <c r="N28" s="17">
        <v>0</v>
      </c>
      <c r="O28" s="18">
        <v>0</v>
      </c>
      <c r="P28" s="16" t="s">
        <v>40</v>
      </c>
      <c r="Q28" s="17">
        <v>0</v>
      </c>
      <c r="R28" s="18">
        <v>0</v>
      </c>
      <c r="S28" s="16" t="s">
        <v>40</v>
      </c>
      <c r="T28" s="17">
        <v>0</v>
      </c>
      <c r="U28" s="18">
        <v>0</v>
      </c>
      <c r="V28" s="16" t="s">
        <v>40</v>
      </c>
      <c r="W28" s="17">
        <v>0</v>
      </c>
      <c r="X28" s="18">
        <v>0</v>
      </c>
      <c r="Y28" s="15">
        <v>0</v>
      </c>
      <c r="Z28" s="15">
        <v>1000</v>
      </c>
    </row>
    <row r="29" spans="1:26" x14ac:dyDescent="0.2">
      <c r="A29" s="15">
        <v>55</v>
      </c>
      <c r="B29" s="30">
        <v>42783.366824421297</v>
      </c>
      <c r="C29" s="16">
        <v>1702005</v>
      </c>
      <c r="D29" s="17" t="s">
        <v>1775</v>
      </c>
      <c r="E29" s="17" t="s">
        <v>286</v>
      </c>
      <c r="F29" s="19">
        <v>878064772</v>
      </c>
      <c r="G29" s="17" t="s">
        <v>1804</v>
      </c>
      <c r="H29" s="17" t="s">
        <v>1776</v>
      </c>
      <c r="I29" s="18" t="s">
        <v>1715</v>
      </c>
      <c r="J29" s="16" t="s">
        <v>1800</v>
      </c>
      <c r="K29" s="17">
        <v>1</v>
      </c>
      <c r="L29" s="18">
        <v>1200</v>
      </c>
      <c r="M29" s="16" t="s">
        <v>1801</v>
      </c>
      <c r="N29" s="17">
        <v>1</v>
      </c>
      <c r="O29" s="18">
        <v>5200</v>
      </c>
      <c r="P29" s="16" t="s">
        <v>1802</v>
      </c>
      <c r="Q29" s="17">
        <v>1</v>
      </c>
      <c r="R29" s="18">
        <v>300</v>
      </c>
      <c r="S29" s="16" t="s">
        <v>1803</v>
      </c>
      <c r="T29" s="17">
        <v>1</v>
      </c>
      <c r="U29" s="18">
        <v>600</v>
      </c>
      <c r="V29" s="16" t="s">
        <v>40</v>
      </c>
      <c r="W29" s="17">
        <v>0</v>
      </c>
      <c r="X29" s="18">
        <v>0</v>
      </c>
      <c r="Y29" s="15">
        <v>0</v>
      </c>
      <c r="Z29" s="15">
        <v>7300</v>
      </c>
    </row>
    <row r="30" spans="1:26" x14ac:dyDescent="0.2">
      <c r="A30" s="15">
        <v>56</v>
      </c>
      <c r="B30" s="30">
        <v>42784.389149074072</v>
      </c>
      <c r="C30" s="16">
        <v>1701088</v>
      </c>
      <c r="D30" s="17" t="s">
        <v>1745</v>
      </c>
      <c r="E30" s="17" t="s">
        <v>577</v>
      </c>
      <c r="F30" s="19">
        <v>851678357</v>
      </c>
      <c r="G30" s="17" t="s">
        <v>1811</v>
      </c>
      <c r="H30" s="17" t="s">
        <v>1746</v>
      </c>
      <c r="I30" s="18" t="s">
        <v>1680</v>
      </c>
      <c r="J30" s="16" t="s">
        <v>1671</v>
      </c>
      <c r="K30" s="17">
        <v>1</v>
      </c>
      <c r="L30" s="18">
        <v>6000</v>
      </c>
      <c r="M30" s="16" t="s">
        <v>1810</v>
      </c>
      <c r="N30" s="17">
        <v>1</v>
      </c>
      <c r="O30" s="18">
        <v>2500</v>
      </c>
      <c r="P30" s="16" t="s">
        <v>40</v>
      </c>
      <c r="Q30" s="17">
        <v>0</v>
      </c>
      <c r="R30" s="18">
        <v>0</v>
      </c>
      <c r="S30" s="16" t="s">
        <v>40</v>
      </c>
      <c r="T30" s="17">
        <v>0</v>
      </c>
      <c r="U30" s="18">
        <v>0</v>
      </c>
      <c r="V30" s="16" t="s">
        <v>40</v>
      </c>
      <c r="W30" s="17">
        <v>0</v>
      </c>
      <c r="X30" s="18">
        <v>0</v>
      </c>
      <c r="Y30" s="15">
        <v>0</v>
      </c>
      <c r="Z30" s="15">
        <v>8500</v>
      </c>
    </row>
    <row r="31" spans="1:26" x14ac:dyDescent="0.2">
      <c r="A31" s="15">
        <v>57</v>
      </c>
      <c r="B31" s="30">
        <v>42787.637081944442</v>
      </c>
      <c r="C31" s="16">
        <v>1702006</v>
      </c>
      <c r="D31" s="17" t="s">
        <v>1690</v>
      </c>
      <c r="E31" s="17" t="s">
        <v>305</v>
      </c>
      <c r="F31" s="19">
        <v>926872544</v>
      </c>
      <c r="G31" s="17" t="s">
        <v>1693</v>
      </c>
      <c r="H31" s="17" t="s">
        <v>1691</v>
      </c>
      <c r="I31" s="18" t="s">
        <v>1694</v>
      </c>
      <c r="J31" s="16" t="s">
        <v>1677</v>
      </c>
      <c r="K31" s="17">
        <v>1</v>
      </c>
      <c r="L31" s="18">
        <v>1000</v>
      </c>
      <c r="M31" s="16" t="s">
        <v>40</v>
      </c>
      <c r="N31" s="17">
        <v>0</v>
      </c>
      <c r="O31" s="18">
        <v>0</v>
      </c>
      <c r="P31" s="16" t="s">
        <v>40</v>
      </c>
      <c r="Q31" s="17">
        <v>0</v>
      </c>
      <c r="R31" s="18">
        <v>0</v>
      </c>
      <c r="S31" s="16" t="s">
        <v>40</v>
      </c>
      <c r="T31" s="17">
        <v>0</v>
      </c>
      <c r="U31" s="18">
        <v>0</v>
      </c>
      <c r="V31" s="16" t="s">
        <v>40</v>
      </c>
      <c r="W31" s="17">
        <v>0</v>
      </c>
      <c r="X31" s="18">
        <v>0</v>
      </c>
      <c r="Y31" s="15">
        <v>0</v>
      </c>
      <c r="Z31" s="15">
        <v>1000</v>
      </c>
    </row>
    <row r="32" spans="1:26" x14ac:dyDescent="0.2">
      <c r="A32" s="15">
        <v>58</v>
      </c>
      <c r="B32" s="30">
        <v>42789.670805902781</v>
      </c>
      <c r="D32" s="17" t="s">
        <v>1812</v>
      </c>
      <c r="E32" s="17">
        <v>0</v>
      </c>
      <c r="F32" s="19">
        <v>890691444</v>
      </c>
      <c r="G32" s="17" t="s">
        <v>1813</v>
      </c>
      <c r="H32" s="17" t="s">
        <v>1814</v>
      </c>
      <c r="I32" s="18" t="s">
        <v>159</v>
      </c>
      <c r="J32" s="16" t="s">
        <v>1815</v>
      </c>
      <c r="K32" s="17">
        <v>1</v>
      </c>
      <c r="L32" s="18">
        <v>2600</v>
      </c>
      <c r="M32" s="16" t="s">
        <v>1816</v>
      </c>
      <c r="N32" s="17">
        <v>1</v>
      </c>
      <c r="O32" s="18">
        <v>260</v>
      </c>
      <c r="P32" s="16" t="s">
        <v>1817</v>
      </c>
      <c r="Q32" s="17">
        <v>1</v>
      </c>
      <c r="R32" s="18">
        <v>350</v>
      </c>
      <c r="S32" s="16" t="s">
        <v>1818</v>
      </c>
      <c r="T32" s="17">
        <v>1</v>
      </c>
      <c r="U32" s="18">
        <v>40</v>
      </c>
      <c r="V32" s="16" t="s">
        <v>1803</v>
      </c>
      <c r="W32" s="17">
        <v>1</v>
      </c>
      <c r="X32" s="18">
        <v>300</v>
      </c>
      <c r="Y32" s="15">
        <v>0</v>
      </c>
      <c r="Z32" s="15">
        <v>3550</v>
      </c>
    </row>
    <row r="33" spans="1:26" x14ac:dyDescent="0.2">
      <c r="A33" s="15">
        <v>59</v>
      </c>
      <c r="B33" s="30">
        <v>42790.660818171295</v>
      </c>
      <c r="C33" s="16">
        <v>1701155</v>
      </c>
      <c r="D33" s="17" t="s">
        <v>1766</v>
      </c>
      <c r="E33" s="17" t="s">
        <v>286</v>
      </c>
      <c r="F33" s="19">
        <v>612195674</v>
      </c>
      <c r="G33" s="17" t="s">
        <v>1819</v>
      </c>
      <c r="H33" s="17" t="s">
        <v>1767</v>
      </c>
      <c r="I33" s="18" t="s">
        <v>1820</v>
      </c>
      <c r="J33" s="16" t="s">
        <v>1677</v>
      </c>
      <c r="K33" s="17">
        <v>1</v>
      </c>
      <c r="L33" s="18">
        <v>1000</v>
      </c>
      <c r="M33" s="16" t="s">
        <v>40</v>
      </c>
      <c r="N33" s="17">
        <v>0</v>
      </c>
      <c r="O33" s="18">
        <v>0</v>
      </c>
      <c r="P33" s="16" t="s">
        <v>40</v>
      </c>
      <c r="Q33" s="17">
        <v>0</v>
      </c>
      <c r="R33" s="18">
        <v>0</v>
      </c>
      <c r="S33" s="16" t="s">
        <v>40</v>
      </c>
      <c r="T33" s="17">
        <v>0</v>
      </c>
      <c r="U33" s="18">
        <v>0</v>
      </c>
      <c r="V33" s="16" t="s">
        <v>40</v>
      </c>
      <c r="W33" s="17">
        <v>0</v>
      </c>
      <c r="X33" s="18">
        <v>0</v>
      </c>
      <c r="Y33" s="15">
        <v>0</v>
      </c>
      <c r="Z33" s="15">
        <v>1000</v>
      </c>
    </row>
    <row r="34" spans="1:26" x14ac:dyDescent="0.2">
      <c r="A34" s="15">
        <v>60</v>
      </c>
      <c r="B34" s="30">
        <v>42791.640938657409</v>
      </c>
      <c r="C34" s="16">
        <v>1701143</v>
      </c>
      <c r="D34" s="17" t="s">
        <v>1761</v>
      </c>
      <c r="E34" s="17" t="s">
        <v>267</v>
      </c>
      <c r="F34" s="19">
        <v>924536550</v>
      </c>
      <c r="G34" s="17" t="s">
        <v>1823</v>
      </c>
      <c r="H34" s="17" t="s">
        <v>1762</v>
      </c>
      <c r="I34" s="18" t="s">
        <v>1824</v>
      </c>
      <c r="J34" s="16" t="s">
        <v>1821</v>
      </c>
      <c r="K34" s="17">
        <v>1</v>
      </c>
      <c r="L34" s="18">
        <v>3000</v>
      </c>
      <c r="M34" s="16" t="s">
        <v>1822</v>
      </c>
      <c r="N34" s="17">
        <v>1</v>
      </c>
      <c r="O34" s="18">
        <v>3000</v>
      </c>
      <c r="P34" s="16" t="s">
        <v>40</v>
      </c>
      <c r="Q34" s="17">
        <v>0</v>
      </c>
      <c r="R34" s="18">
        <v>0</v>
      </c>
      <c r="S34" s="16" t="s">
        <v>40</v>
      </c>
      <c r="T34" s="17">
        <v>0</v>
      </c>
      <c r="U34" s="18">
        <v>0</v>
      </c>
      <c r="V34" s="16" t="s">
        <v>40</v>
      </c>
      <c r="W34" s="17">
        <v>0</v>
      </c>
      <c r="X34" s="18">
        <v>0</v>
      </c>
      <c r="Y34" s="15">
        <v>0</v>
      </c>
      <c r="Z34" s="15">
        <v>6000</v>
      </c>
    </row>
    <row r="35" spans="1:26" x14ac:dyDescent="0.2">
      <c r="A35" s="15">
        <v>61</v>
      </c>
      <c r="B35" s="30">
        <v>42791.642137962961</v>
      </c>
      <c r="C35" s="16">
        <v>1701061</v>
      </c>
      <c r="D35" s="17" t="s">
        <v>1737</v>
      </c>
      <c r="E35" s="17" t="s">
        <v>625</v>
      </c>
      <c r="F35" s="19">
        <v>867528691</v>
      </c>
      <c r="G35" s="17" t="s">
        <v>1826</v>
      </c>
      <c r="H35" s="17" t="s">
        <v>1738</v>
      </c>
      <c r="I35" s="18" t="s">
        <v>1827</v>
      </c>
      <c r="J35" s="16" t="s">
        <v>1825</v>
      </c>
      <c r="K35" s="17">
        <v>1</v>
      </c>
      <c r="L35" s="18">
        <v>1000</v>
      </c>
      <c r="M35" s="16" t="s">
        <v>40</v>
      </c>
      <c r="N35" s="17">
        <v>0</v>
      </c>
      <c r="O35" s="18">
        <v>0</v>
      </c>
      <c r="P35" s="16" t="s">
        <v>40</v>
      </c>
      <c r="Q35" s="17">
        <v>0</v>
      </c>
      <c r="R35" s="18">
        <v>0</v>
      </c>
      <c r="S35" s="16" t="s">
        <v>40</v>
      </c>
      <c r="T35" s="17">
        <v>0</v>
      </c>
      <c r="U35" s="18">
        <v>0</v>
      </c>
      <c r="V35" s="16" t="s">
        <v>40</v>
      </c>
      <c r="W35" s="17">
        <v>0</v>
      </c>
      <c r="X35" s="18">
        <v>0</v>
      </c>
      <c r="Y35" s="15">
        <v>0</v>
      </c>
      <c r="Z35" s="15">
        <v>1000</v>
      </c>
    </row>
    <row r="36" spans="1:26" x14ac:dyDescent="0.2">
      <c r="A36" s="15">
        <v>62</v>
      </c>
      <c r="B36" s="30">
        <v>42794.666959722221</v>
      </c>
      <c r="C36" s="16">
        <v>1701128</v>
      </c>
      <c r="D36" s="17" t="s">
        <v>1756</v>
      </c>
      <c r="E36" s="17" t="s">
        <v>339</v>
      </c>
      <c r="F36" s="19">
        <v>819612232</v>
      </c>
      <c r="G36" s="17" t="s">
        <v>1831</v>
      </c>
      <c r="H36" s="17" t="s">
        <v>1757</v>
      </c>
      <c r="I36" s="18" t="s">
        <v>1709</v>
      </c>
      <c r="J36" s="16" t="s">
        <v>1828</v>
      </c>
      <c r="K36" s="17">
        <v>1</v>
      </c>
      <c r="L36" s="18">
        <v>1000</v>
      </c>
      <c r="M36" s="16" t="s">
        <v>1829</v>
      </c>
      <c r="N36" s="17">
        <v>1</v>
      </c>
      <c r="O36" s="18">
        <v>1200</v>
      </c>
      <c r="P36" s="16" t="s">
        <v>1830</v>
      </c>
      <c r="Q36" s="17">
        <v>1</v>
      </c>
      <c r="R36" s="18">
        <v>600</v>
      </c>
      <c r="S36" s="16" t="s">
        <v>40</v>
      </c>
      <c r="T36" s="17">
        <v>0</v>
      </c>
      <c r="U36" s="18">
        <v>0</v>
      </c>
      <c r="V36" s="16" t="s">
        <v>40</v>
      </c>
      <c r="W36" s="17">
        <v>0</v>
      </c>
      <c r="X36" s="18">
        <v>0</v>
      </c>
      <c r="Y36" s="15">
        <v>0</v>
      </c>
      <c r="Z36" s="15">
        <v>2800</v>
      </c>
    </row>
    <row r="37" spans="1:26" x14ac:dyDescent="0.2">
      <c r="A37" s="15">
        <v>63</v>
      </c>
      <c r="B37" s="30">
        <v>42795.560110648148</v>
      </c>
      <c r="C37" s="16">
        <v>1702033</v>
      </c>
      <c r="D37" s="17" t="s">
        <v>1786</v>
      </c>
      <c r="E37" s="17" t="s">
        <v>267</v>
      </c>
      <c r="F37" s="19">
        <v>614038762</v>
      </c>
      <c r="G37" s="17" t="s">
        <v>1832</v>
      </c>
      <c r="H37" s="17" t="s">
        <v>1787</v>
      </c>
      <c r="I37" s="18" t="s">
        <v>1833</v>
      </c>
      <c r="J37" s="16" t="s">
        <v>1671</v>
      </c>
      <c r="K37" s="17">
        <v>1</v>
      </c>
      <c r="L37" s="18">
        <v>2000</v>
      </c>
      <c r="M37" s="16" t="s">
        <v>40</v>
      </c>
      <c r="N37" s="17">
        <v>0</v>
      </c>
      <c r="O37" s="18">
        <v>0</v>
      </c>
      <c r="P37" s="16" t="s">
        <v>40</v>
      </c>
      <c r="Q37" s="17">
        <v>0</v>
      </c>
      <c r="R37" s="18">
        <v>0</v>
      </c>
      <c r="S37" s="16" t="s">
        <v>40</v>
      </c>
      <c r="T37" s="17">
        <v>0</v>
      </c>
      <c r="U37" s="18">
        <v>0</v>
      </c>
      <c r="V37" s="16" t="s">
        <v>40</v>
      </c>
      <c r="W37" s="17">
        <v>0</v>
      </c>
      <c r="X37" s="18">
        <v>0</v>
      </c>
      <c r="Y37" s="15">
        <v>0</v>
      </c>
      <c r="Z37" s="15">
        <v>2000</v>
      </c>
    </row>
    <row r="38" spans="1:26" x14ac:dyDescent="0.2">
      <c r="A38" s="15">
        <v>64</v>
      </c>
      <c r="B38" s="30">
        <v>42795.56448483796</v>
      </c>
      <c r="D38" s="17" t="s">
        <v>1834</v>
      </c>
      <c r="E38" s="17" t="s">
        <v>1836</v>
      </c>
      <c r="F38" s="19">
        <v>614038762</v>
      </c>
      <c r="G38" s="17" t="s">
        <v>1835</v>
      </c>
      <c r="H38" s="17" t="s">
        <v>1837</v>
      </c>
      <c r="I38" s="18" t="s">
        <v>159</v>
      </c>
      <c r="J38" s="16" t="s">
        <v>1838</v>
      </c>
      <c r="K38" s="17">
        <v>1</v>
      </c>
      <c r="L38" s="18">
        <v>10000</v>
      </c>
      <c r="M38" s="16" t="s">
        <v>40</v>
      </c>
      <c r="N38" s="17">
        <v>0</v>
      </c>
      <c r="O38" s="18">
        <v>0</v>
      </c>
      <c r="P38" s="16" t="s">
        <v>40</v>
      </c>
      <c r="Q38" s="17">
        <v>0</v>
      </c>
      <c r="R38" s="18">
        <v>0</v>
      </c>
      <c r="S38" s="16" t="s">
        <v>40</v>
      </c>
      <c r="T38" s="17">
        <v>0</v>
      </c>
      <c r="U38" s="18">
        <v>0</v>
      </c>
      <c r="V38" s="16" t="s">
        <v>40</v>
      </c>
      <c r="W38" s="17">
        <v>0</v>
      </c>
      <c r="X38" s="18">
        <v>0</v>
      </c>
      <c r="Y38" s="15">
        <v>0</v>
      </c>
      <c r="Z38" s="15">
        <v>10000</v>
      </c>
    </row>
    <row r="39" spans="1:26" x14ac:dyDescent="0.2">
      <c r="A39" s="15">
        <v>65</v>
      </c>
      <c r="B39" s="30">
        <v>42795.567842245371</v>
      </c>
      <c r="D39" s="17" t="s">
        <v>1834</v>
      </c>
      <c r="E39" s="17" t="s">
        <v>1836</v>
      </c>
      <c r="F39" s="19">
        <v>614038762</v>
      </c>
      <c r="G39" s="17" t="s">
        <v>1839</v>
      </c>
      <c r="H39" s="17" t="s">
        <v>1840</v>
      </c>
      <c r="I39" s="18" t="s">
        <v>159</v>
      </c>
      <c r="J39" s="16" t="s">
        <v>1841</v>
      </c>
      <c r="K39" s="17">
        <v>1</v>
      </c>
      <c r="L39" s="18">
        <v>10000</v>
      </c>
      <c r="M39" s="16" t="s">
        <v>40</v>
      </c>
      <c r="N39" s="17">
        <v>0</v>
      </c>
      <c r="O39" s="18">
        <v>0</v>
      </c>
      <c r="P39" s="16" t="s">
        <v>40</v>
      </c>
      <c r="Q39" s="17">
        <v>0</v>
      </c>
      <c r="R39" s="18">
        <v>0</v>
      </c>
      <c r="S39" s="16" t="s">
        <v>1842</v>
      </c>
      <c r="T39" s="17">
        <v>0</v>
      </c>
      <c r="U39" s="18">
        <v>0</v>
      </c>
      <c r="V39" s="16" t="s">
        <v>1843</v>
      </c>
      <c r="W39" s="17">
        <v>0</v>
      </c>
      <c r="X39" s="18">
        <v>0</v>
      </c>
      <c r="Y39" s="15">
        <v>1000</v>
      </c>
      <c r="Z39" s="15">
        <v>9000</v>
      </c>
    </row>
    <row r="40" spans="1:26" x14ac:dyDescent="0.2">
      <c r="A40" s="15">
        <v>66</v>
      </c>
      <c r="B40" s="30">
        <v>42795.684145486113</v>
      </c>
      <c r="C40" s="16">
        <v>1702012</v>
      </c>
      <c r="D40" s="17" t="s">
        <v>1779</v>
      </c>
      <c r="E40" s="17" t="s">
        <v>263</v>
      </c>
      <c r="F40" s="19">
        <v>924943311</v>
      </c>
      <c r="G40" s="17" t="s">
        <v>1844</v>
      </c>
      <c r="H40" s="17" t="s">
        <v>1780</v>
      </c>
      <c r="I40" s="18" t="s">
        <v>1845</v>
      </c>
      <c r="J40" s="16" t="s">
        <v>1671</v>
      </c>
      <c r="K40" s="17">
        <v>1</v>
      </c>
      <c r="L40" s="18">
        <v>2000</v>
      </c>
      <c r="M40" s="16" t="s">
        <v>40</v>
      </c>
      <c r="N40" s="17">
        <v>0</v>
      </c>
      <c r="O40" s="18">
        <v>0</v>
      </c>
      <c r="P40" s="16" t="s">
        <v>40</v>
      </c>
      <c r="Q40" s="17">
        <v>0</v>
      </c>
      <c r="R40" s="18">
        <v>0</v>
      </c>
      <c r="S40" s="16" t="s">
        <v>40</v>
      </c>
      <c r="T40" s="17">
        <v>0</v>
      </c>
      <c r="U40" s="18">
        <v>0</v>
      </c>
      <c r="V40" s="16" t="s">
        <v>40</v>
      </c>
      <c r="W40" s="17">
        <v>0</v>
      </c>
      <c r="X40" s="18">
        <v>0</v>
      </c>
      <c r="Y40" s="15">
        <v>0</v>
      </c>
      <c r="Z40" s="15">
        <v>2000</v>
      </c>
    </row>
    <row r="41" spans="1:26" x14ac:dyDescent="0.2">
      <c r="A41" s="15">
        <v>67</v>
      </c>
      <c r="B41" s="30">
        <v>42796.385924884256</v>
      </c>
      <c r="C41" s="16">
        <v>1702058</v>
      </c>
      <c r="D41" s="17" t="s">
        <v>1806</v>
      </c>
      <c r="E41" s="17" t="s">
        <v>305</v>
      </c>
      <c r="F41" s="19">
        <v>616388481</v>
      </c>
      <c r="G41" s="17" t="s">
        <v>1847</v>
      </c>
      <c r="H41" s="17" t="s">
        <v>1807</v>
      </c>
      <c r="I41" s="18" t="s">
        <v>1848</v>
      </c>
      <c r="J41" s="16" t="s">
        <v>1846</v>
      </c>
      <c r="K41" s="17">
        <v>1</v>
      </c>
      <c r="L41" s="18">
        <v>1000</v>
      </c>
      <c r="M41" s="16" t="s">
        <v>40</v>
      </c>
      <c r="N41" s="17">
        <v>0</v>
      </c>
      <c r="O41" s="18">
        <v>0</v>
      </c>
      <c r="P41" s="16" t="s">
        <v>40</v>
      </c>
      <c r="Q41" s="17">
        <v>0</v>
      </c>
      <c r="R41" s="18">
        <v>0</v>
      </c>
      <c r="S41" s="16" t="s">
        <v>40</v>
      </c>
      <c r="T41" s="17">
        <v>0</v>
      </c>
      <c r="U41" s="18">
        <v>0</v>
      </c>
      <c r="V41" s="16" t="s">
        <v>40</v>
      </c>
      <c r="W41" s="17">
        <v>0</v>
      </c>
      <c r="X41" s="18">
        <v>0</v>
      </c>
      <c r="Y41" s="15">
        <v>0</v>
      </c>
      <c r="Z41" s="15">
        <v>1000</v>
      </c>
    </row>
    <row r="42" spans="1:26" x14ac:dyDescent="0.2">
      <c r="A42" s="15">
        <v>68</v>
      </c>
      <c r="B42" s="30">
        <v>42796.387103703702</v>
      </c>
      <c r="C42" s="16">
        <v>1701023</v>
      </c>
      <c r="D42" s="17" t="s">
        <v>1730</v>
      </c>
      <c r="E42" s="17" t="s">
        <v>40</v>
      </c>
      <c r="F42" s="19">
        <v>998278836</v>
      </c>
      <c r="G42" s="17" t="s">
        <v>1850</v>
      </c>
      <c r="H42" s="17" t="s">
        <v>1731</v>
      </c>
      <c r="I42" s="18" t="s">
        <v>1851</v>
      </c>
      <c r="J42" s="16" t="s">
        <v>1849</v>
      </c>
      <c r="K42" s="17">
        <v>1</v>
      </c>
      <c r="L42" s="18">
        <v>1000</v>
      </c>
      <c r="M42" s="16" t="s">
        <v>40</v>
      </c>
      <c r="N42" s="17">
        <v>0</v>
      </c>
      <c r="O42" s="18">
        <v>0</v>
      </c>
      <c r="P42" s="16" t="s">
        <v>40</v>
      </c>
      <c r="Q42" s="17">
        <v>0</v>
      </c>
      <c r="R42" s="18">
        <v>0</v>
      </c>
      <c r="S42" s="16" t="s">
        <v>40</v>
      </c>
      <c r="T42" s="17">
        <v>0</v>
      </c>
      <c r="U42" s="18">
        <v>0</v>
      </c>
      <c r="V42" s="16" t="s">
        <v>40</v>
      </c>
      <c r="W42" s="17">
        <v>0</v>
      </c>
      <c r="X42" s="18">
        <v>0</v>
      </c>
      <c r="Y42" s="15">
        <v>0</v>
      </c>
      <c r="Z42" s="15">
        <v>1000</v>
      </c>
    </row>
    <row r="43" spans="1:26" x14ac:dyDescent="0.2">
      <c r="A43" s="15">
        <v>69</v>
      </c>
      <c r="B43" s="30">
        <v>42800.423151504627</v>
      </c>
      <c r="C43" s="16">
        <v>1702078</v>
      </c>
      <c r="D43" s="17" t="e">
        <v>#N/A</v>
      </c>
      <c r="E43" s="17" t="e">
        <v>#N/A</v>
      </c>
      <c r="F43" s="19" t="e">
        <v>#N/A</v>
      </c>
      <c r="G43" s="17" t="e">
        <v>#N/A</v>
      </c>
      <c r="H43" s="17" t="e">
        <v>#N/A</v>
      </c>
      <c r="I43" s="18" t="e">
        <v>#N/A</v>
      </c>
      <c r="J43" s="16" t="s">
        <v>1855</v>
      </c>
      <c r="K43" s="17">
        <v>1</v>
      </c>
      <c r="L43" s="18">
        <v>1337</v>
      </c>
      <c r="M43" s="16" t="s">
        <v>40</v>
      </c>
      <c r="N43" s="17">
        <v>0</v>
      </c>
      <c r="O43" s="18">
        <v>0</v>
      </c>
      <c r="P43" s="16" t="s">
        <v>40</v>
      </c>
      <c r="Q43" s="17">
        <v>0</v>
      </c>
      <c r="R43" s="18">
        <v>0</v>
      </c>
      <c r="S43" s="16" t="s">
        <v>40</v>
      </c>
      <c r="T43" s="17">
        <v>0</v>
      </c>
      <c r="U43" s="18">
        <v>0</v>
      </c>
      <c r="V43" s="16" t="s">
        <v>40</v>
      </c>
      <c r="W43" s="17">
        <v>0</v>
      </c>
      <c r="X43" s="18">
        <v>0</v>
      </c>
      <c r="Y43" s="15">
        <v>0</v>
      </c>
      <c r="Z43" s="15">
        <v>1337</v>
      </c>
    </row>
    <row r="44" spans="1:26" x14ac:dyDescent="0.2">
      <c r="A44" s="15">
        <v>70</v>
      </c>
      <c r="B44" s="30">
        <v>42800.425130439813</v>
      </c>
      <c r="D44" s="17" t="s">
        <v>1852</v>
      </c>
      <c r="E44" s="17" t="s">
        <v>1856</v>
      </c>
      <c r="F44" s="19">
        <v>882891974</v>
      </c>
      <c r="G44" s="17" t="s">
        <v>1853</v>
      </c>
      <c r="H44" s="17" t="s">
        <v>1854</v>
      </c>
      <c r="I44" s="18" t="s">
        <v>202</v>
      </c>
      <c r="J44" s="16" t="s">
        <v>1857</v>
      </c>
      <c r="K44" s="17">
        <v>1</v>
      </c>
      <c r="L44" s="18">
        <v>1337</v>
      </c>
      <c r="M44" s="16" t="s">
        <v>40</v>
      </c>
      <c r="N44" s="17">
        <v>0</v>
      </c>
      <c r="O44" s="18">
        <v>0</v>
      </c>
      <c r="P44" s="16" t="s">
        <v>40</v>
      </c>
      <c r="Q44" s="17">
        <v>0</v>
      </c>
      <c r="R44" s="18">
        <v>0</v>
      </c>
      <c r="S44" s="16" t="s">
        <v>40</v>
      </c>
      <c r="T44" s="17">
        <v>0</v>
      </c>
      <c r="U44" s="18">
        <v>0</v>
      </c>
      <c r="V44" s="16" t="s">
        <v>40</v>
      </c>
      <c r="W44" s="17">
        <v>0</v>
      </c>
      <c r="X44" s="18">
        <v>0</v>
      </c>
      <c r="Y44" s="15">
        <v>0</v>
      </c>
      <c r="Z44" s="15">
        <v>1337</v>
      </c>
    </row>
    <row r="45" spans="1:26" x14ac:dyDescent="0.2">
      <c r="A45" s="15">
        <v>71</v>
      </c>
      <c r="B45" s="30">
        <v>42800.730272685185</v>
      </c>
      <c r="C45" s="16">
        <v>1702011</v>
      </c>
      <c r="D45" s="17" t="s">
        <v>1778</v>
      </c>
      <c r="E45" s="17" t="s">
        <v>233</v>
      </c>
      <c r="F45" s="19">
        <v>827968559</v>
      </c>
      <c r="G45" s="17" t="s">
        <v>1844</v>
      </c>
      <c r="H45" s="17" t="s">
        <v>829</v>
      </c>
      <c r="I45" s="18" t="s">
        <v>1680</v>
      </c>
      <c r="J45" s="16" t="s">
        <v>1870</v>
      </c>
      <c r="K45" s="17">
        <v>1</v>
      </c>
      <c r="L45" s="18">
        <v>4000</v>
      </c>
      <c r="M45" s="16" t="s">
        <v>40</v>
      </c>
      <c r="N45" s="17">
        <v>0</v>
      </c>
      <c r="O45" s="18">
        <v>0</v>
      </c>
      <c r="P45" s="16" t="s">
        <v>40</v>
      </c>
      <c r="Q45" s="17">
        <v>0</v>
      </c>
      <c r="R45" s="18">
        <v>0</v>
      </c>
      <c r="S45" s="16" t="s">
        <v>40</v>
      </c>
      <c r="T45" s="17">
        <v>0</v>
      </c>
      <c r="U45" s="18">
        <v>0</v>
      </c>
      <c r="V45" s="16" t="s">
        <v>40</v>
      </c>
      <c r="W45" s="17">
        <v>0</v>
      </c>
      <c r="X45" s="18">
        <v>0</v>
      </c>
      <c r="Y45" s="15">
        <v>0</v>
      </c>
      <c r="Z45" s="15">
        <v>4000</v>
      </c>
    </row>
    <row r="46" spans="1:26" x14ac:dyDescent="0.2">
      <c r="A46" s="15">
        <v>72</v>
      </c>
      <c r="B46" s="30">
        <v>42803.713130439814</v>
      </c>
      <c r="C46" s="16">
        <v>1701163</v>
      </c>
      <c r="D46" s="17" t="s">
        <v>1768</v>
      </c>
      <c r="E46" s="17" t="s">
        <v>254</v>
      </c>
      <c r="F46" s="19">
        <v>917823353</v>
      </c>
      <c r="G46" s="17" t="s">
        <v>1873</v>
      </c>
      <c r="H46" s="17" t="s">
        <v>1769</v>
      </c>
      <c r="I46" s="18" t="s">
        <v>1874</v>
      </c>
      <c r="J46" s="16" t="s">
        <v>1871</v>
      </c>
      <c r="K46" s="17">
        <v>0.5</v>
      </c>
      <c r="L46" s="18">
        <v>2400</v>
      </c>
      <c r="M46" s="16" t="s">
        <v>1872</v>
      </c>
      <c r="N46" s="17">
        <v>1</v>
      </c>
      <c r="O46" s="18">
        <v>1000</v>
      </c>
      <c r="P46" s="16" t="s">
        <v>40</v>
      </c>
      <c r="Q46" s="17">
        <v>0</v>
      </c>
      <c r="R46" s="18">
        <v>0</v>
      </c>
      <c r="S46" s="16" t="s">
        <v>40</v>
      </c>
      <c r="T46" s="17">
        <v>0</v>
      </c>
      <c r="U46" s="18">
        <v>0</v>
      </c>
      <c r="V46" s="16" t="s">
        <v>40</v>
      </c>
      <c r="W46" s="17">
        <v>0</v>
      </c>
      <c r="X46" s="18">
        <v>0</v>
      </c>
      <c r="Y46" s="15">
        <v>0</v>
      </c>
      <c r="Z46" s="15">
        <v>2200</v>
      </c>
    </row>
    <row r="47" spans="1:26" x14ac:dyDescent="0.2">
      <c r="A47" s="15">
        <v>73</v>
      </c>
      <c r="B47" s="30">
        <v>42805.399978472225</v>
      </c>
      <c r="D47" s="17" t="s">
        <v>1875</v>
      </c>
      <c r="E47" s="17" t="s">
        <v>1877</v>
      </c>
      <c r="F47" s="19">
        <v>955375545</v>
      </c>
      <c r="G47" s="17" t="s">
        <v>1876</v>
      </c>
      <c r="H47" s="17" t="s">
        <v>1878</v>
      </c>
      <c r="I47" s="18" t="s">
        <v>207</v>
      </c>
      <c r="J47" s="16" t="s">
        <v>1879</v>
      </c>
      <c r="K47" s="17">
        <v>1</v>
      </c>
      <c r="L47" s="18">
        <v>1600</v>
      </c>
      <c r="M47" s="16" t="s">
        <v>40</v>
      </c>
      <c r="N47" s="17">
        <v>0</v>
      </c>
      <c r="O47" s="18">
        <v>0</v>
      </c>
      <c r="P47" s="16" t="s">
        <v>40</v>
      </c>
      <c r="Q47" s="17">
        <v>0</v>
      </c>
      <c r="R47" s="18">
        <v>0</v>
      </c>
      <c r="S47" s="16" t="s">
        <v>40</v>
      </c>
      <c r="T47" s="17">
        <v>0</v>
      </c>
      <c r="U47" s="18">
        <v>0</v>
      </c>
      <c r="V47" s="16" t="s">
        <v>40</v>
      </c>
      <c r="W47" s="17">
        <v>0</v>
      </c>
      <c r="X47" s="18">
        <v>0</v>
      </c>
      <c r="Y47" s="15">
        <v>0</v>
      </c>
      <c r="Z47" s="15">
        <v>1600</v>
      </c>
    </row>
    <row r="48" spans="1:26" x14ac:dyDescent="0.2">
      <c r="A48" s="15">
        <v>74</v>
      </c>
      <c r="B48" s="30">
        <v>42805.470385300927</v>
      </c>
      <c r="C48" s="16">
        <v>1701043</v>
      </c>
      <c r="D48" s="17" t="s">
        <v>1568</v>
      </c>
      <c r="E48" s="17" t="s">
        <v>222</v>
      </c>
      <c r="F48" s="19">
        <v>886836555</v>
      </c>
      <c r="G48" s="17" t="s">
        <v>1881</v>
      </c>
      <c r="H48" s="17" t="s">
        <v>1569</v>
      </c>
      <c r="I48" s="18" t="s">
        <v>1882</v>
      </c>
      <c r="J48" s="16" t="s">
        <v>1880</v>
      </c>
      <c r="K48" s="17">
        <v>1</v>
      </c>
      <c r="L48" s="18">
        <v>1600</v>
      </c>
      <c r="M48" s="16" t="s">
        <v>40</v>
      </c>
      <c r="N48" s="17">
        <v>0</v>
      </c>
      <c r="O48" s="18">
        <v>0</v>
      </c>
      <c r="P48" s="16" t="s">
        <v>40</v>
      </c>
      <c r="Q48" s="17">
        <v>0</v>
      </c>
      <c r="R48" s="18">
        <v>0</v>
      </c>
      <c r="S48" s="16" t="s">
        <v>40</v>
      </c>
      <c r="T48" s="17">
        <v>0</v>
      </c>
      <c r="U48" s="18">
        <v>0</v>
      </c>
      <c r="V48" s="16" t="s">
        <v>40</v>
      </c>
      <c r="W48" s="17">
        <v>0</v>
      </c>
      <c r="X48" s="18">
        <v>0</v>
      </c>
      <c r="Y48" s="15">
        <v>0</v>
      </c>
      <c r="Z48" s="15">
        <v>1600</v>
      </c>
    </row>
    <row r="49" spans="1:26" x14ac:dyDescent="0.2">
      <c r="A49" s="15">
        <v>75</v>
      </c>
      <c r="B49" s="30">
        <v>42811.547375810187</v>
      </c>
      <c r="C49" s="16">
        <v>1701090</v>
      </c>
      <c r="D49" s="17" t="s">
        <v>1747</v>
      </c>
      <c r="E49" s="17" t="s">
        <v>233</v>
      </c>
      <c r="F49" s="19">
        <v>835476595</v>
      </c>
      <c r="G49" s="17" t="s">
        <v>1884</v>
      </c>
      <c r="H49" s="17" t="s">
        <v>1748</v>
      </c>
      <c r="I49" s="18" t="s">
        <v>1655</v>
      </c>
      <c r="J49" s="16" t="s">
        <v>1883</v>
      </c>
      <c r="K49" s="17">
        <v>1</v>
      </c>
      <c r="L49" s="18">
        <v>3200</v>
      </c>
      <c r="M49" s="16" t="s">
        <v>40</v>
      </c>
      <c r="N49" s="17">
        <v>0</v>
      </c>
      <c r="O49" s="18">
        <v>0</v>
      </c>
      <c r="P49" s="16" t="s">
        <v>40</v>
      </c>
      <c r="Q49" s="17">
        <v>0</v>
      </c>
      <c r="R49" s="18">
        <v>0</v>
      </c>
      <c r="S49" s="16" t="s">
        <v>40</v>
      </c>
      <c r="T49" s="17">
        <v>0</v>
      </c>
      <c r="U49" s="18">
        <v>0</v>
      </c>
      <c r="V49" s="16" t="s">
        <v>40</v>
      </c>
      <c r="W49" s="17">
        <v>0</v>
      </c>
      <c r="X49" s="18">
        <v>0</v>
      </c>
      <c r="Y49" s="15">
        <v>0</v>
      </c>
      <c r="Z49" s="15">
        <v>3200</v>
      </c>
    </row>
    <row r="50" spans="1:26" x14ac:dyDescent="0.2">
      <c r="A50" s="15">
        <v>75</v>
      </c>
      <c r="B50" s="30">
        <v>42811.560745138886</v>
      </c>
      <c r="D50" s="17" t="s">
        <v>1885</v>
      </c>
      <c r="E50" s="17" t="s">
        <v>1886</v>
      </c>
      <c r="F50" s="19">
        <v>833001890</v>
      </c>
      <c r="G50" s="17" t="s">
        <v>1888</v>
      </c>
      <c r="H50" s="17" t="s">
        <v>1744</v>
      </c>
      <c r="I50" s="18" t="s">
        <v>207</v>
      </c>
      <c r="J50" s="16" t="s">
        <v>1887</v>
      </c>
      <c r="K50" s="17">
        <v>1</v>
      </c>
      <c r="L50" s="18">
        <v>1000</v>
      </c>
      <c r="M50" s="16" t="s">
        <v>40</v>
      </c>
      <c r="N50" s="17">
        <v>0</v>
      </c>
      <c r="O50" s="18">
        <v>0</v>
      </c>
      <c r="P50" s="16" t="s">
        <v>40</v>
      </c>
      <c r="Q50" s="17">
        <v>0</v>
      </c>
      <c r="R50" s="18">
        <v>0</v>
      </c>
      <c r="S50" s="16" t="s">
        <v>40</v>
      </c>
      <c r="T50" s="17">
        <v>0</v>
      </c>
      <c r="U50" s="18">
        <v>0</v>
      </c>
      <c r="V50" s="16" t="s">
        <v>40</v>
      </c>
      <c r="W50" s="17">
        <v>0</v>
      </c>
      <c r="X50" s="18">
        <v>0</v>
      </c>
      <c r="Y50" s="15">
        <v>0</v>
      </c>
      <c r="Z50" s="15">
        <v>1000</v>
      </c>
    </row>
    <row r="51" spans="1:26" x14ac:dyDescent="0.2">
      <c r="A51" s="15">
        <v>76</v>
      </c>
      <c r="B51" s="30">
        <v>42812.622015856483</v>
      </c>
      <c r="C51" s="16">
        <v>1701047</v>
      </c>
      <c r="D51" s="17" t="s">
        <v>1604</v>
      </c>
      <c r="E51" s="17" t="s">
        <v>1192</v>
      </c>
      <c r="F51" s="19">
        <v>806510700</v>
      </c>
      <c r="G51" s="17" t="s">
        <v>1898</v>
      </c>
      <c r="H51" s="17" t="s">
        <v>1605</v>
      </c>
      <c r="I51" s="18" t="s">
        <v>1899</v>
      </c>
      <c r="J51" s="16" t="s">
        <v>1825</v>
      </c>
      <c r="K51" s="17">
        <v>1</v>
      </c>
      <c r="L51" s="18">
        <v>1000</v>
      </c>
      <c r="M51" s="16" t="s">
        <v>40</v>
      </c>
      <c r="N51" s="17">
        <v>0</v>
      </c>
      <c r="O51" s="18">
        <v>0</v>
      </c>
      <c r="P51" s="16" t="s">
        <v>40</v>
      </c>
      <c r="Q51" s="17">
        <v>0</v>
      </c>
      <c r="R51" s="18">
        <v>0</v>
      </c>
      <c r="S51" s="16" t="s">
        <v>40</v>
      </c>
      <c r="T51" s="17">
        <v>0</v>
      </c>
      <c r="U51" s="18">
        <v>0</v>
      </c>
      <c r="V51" s="16" t="s">
        <v>40</v>
      </c>
      <c r="W51" s="17">
        <v>0</v>
      </c>
      <c r="X51" s="18">
        <v>0</v>
      </c>
      <c r="Y51" s="15">
        <v>0</v>
      </c>
      <c r="Z51" s="15">
        <v>1000</v>
      </c>
    </row>
    <row r="52" spans="1:26" x14ac:dyDescent="0.2">
      <c r="A52" s="15">
        <v>77</v>
      </c>
      <c r="B52" s="30">
        <v>42812.62461608796</v>
      </c>
      <c r="C52" s="16">
        <v>1703028</v>
      </c>
      <c r="D52" s="17" t="s">
        <v>1891</v>
      </c>
      <c r="E52" s="17" t="s">
        <v>40</v>
      </c>
      <c r="F52" s="19">
        <v>957421561</v>
      </c>
      <c r="G52" s="17" t="s">
        <v>1902</v>
      </c>
      <c r="H52" s="17" t="s">
        <v>1892</v>
      </c>
      <c r="I52" s="18" t="s">
        <v>1648</v>
      </c>
      <c r="J52" s="16" t="s">
        <v>1900</v>
      </c>
      <c r="K52" s="17">
        <v>0</v>
      </c>
      <c r="L52" s="18">
        <v>0</v>
      </c>
      <c r="M52" s="16" t="s">
        <v>1901</v>
      </c>
      <c r="N52" s="17">
        <v>1</v>
      </c>
      <c r="O52" s="18">
        <v>8000</v>
      </c>
      <c r="P52" s="16" t="s">
        <v>40</v>
      </c>
      <c r="Q52" s="17">
        <v>0</v>
      </c>
      <c r="R52" s="18">
        <v>0</v>
      </c>
      <c r="S52" s="16" t="s">
        <v>40</v>
      </c>
      <c r="T52" s="17">
        <v>0</v>
      </c>
      <c r="U52" s="18">
        <v>0</v>
      </c>
      <c r="V52" s="16" t="s">
        <v>40</v>
      </c>
      <c r="W52" s="17">
        <v>0</v>
      </c>
      <c r="X52" s="18">
        <v>0</v>
      </c>
      <c r="Y52" s="15">
        <v>0</v>
      </c>
      <c r="Z52" s="15">
        <v>8000</v>
      </c>
    </row>
    <row r="53" spans="1:26" x14ac:dyDescent="0.2">
      <c r="A53" s="15">
        <v>78</v>
      </c>
      <c r="B53" s="30">
        <v>42812.630091319443</v>
      </c>
      <c r="C53" s="16">
        <v>1703036</v>
      </c>
      <c r="D53" s="17" t="s">
        <v>1894</v>
      </c>
      <c r="E53" s="17" t="s">
        <v>233</v>
      </c>
      <c r="F53" s="19">
        <v>891557775</v>
      </c>
      <c r="G53" s="17" t="s">
        <v>1904</v>
      </c>
      <c r="H53" s="17" t="s">
        <v>1895</v>
      </c>
      <c r="I53" s="18" t="s">
        <v>1905</v>
      </c>
      <c r="J53" s="16" t="s">
        <v>1903</v>
      </c>
      <c r="K53" s="17">
        <v>1</v>
      </c>
      <c r="L53" s="18">
        <v>1000</v>
      </c>
      <c r="M53" s="16" t="s">
        <v>40</v>
      </c>
      <c r="N53" s="17">
        <v>0</v>
      </c>
      <c r="O53" s="18">
        <v>0</v>
      </c>
      <c r="P53" s="16" t="s">
        <v>40</v>
      </c>
      <c r="Q53" s="17">
        <v>0</v>
      </c>
      <c r="R53" s="18">
        <v>0</v>
      </c>
      <c r="S53" s="16" t="s">
        <v>40</v>
      </c>
      <c r="T53" s="17">
        <v>0</v>
      </c>
      <c r="U53" s="18">
        <v>0</v>
      </c>
      <c r="V53" s="16" t="s">
        <v>40</v>
      </c>
      <c r="W53" s="17">
        <v>0</v>
      </c>
      <c r="X53" s="18">
        <v>0</v>
      </c>
      <c r="Y53" s="15">
        <v>0</v>
      </c>
      <c r="Z53" s="15">
        <v>1000</v>
      </c>
    </row>
    <row r="54" spans="1:26" x14ac:dyDescent="0.2">
      <c r="A54" s="15">
        <v>79</v>
      </c>
      <c r="B54" s="30">
        <v>42814.689093634261</v>
      </c>
      <c r="C54" s="16">
        <v>1701033</v>
      </c>
      <c r="D54" s="17" t="s">
        <v>761</v>
      </c>
      <c r="E54" s="17" t="s">
        <v>222</v>
      </c>
      <c r="F54" s="19">
        <v>0</v>
      </c>
      <c r="G54" s="17" t="s">
        <v>1909</v>
      </c>
      <c r="H54" s="17" t="s">
        <v>762</v>
      </c>
      <c r="I54" s="18" t="s">
        <v>1910</v>
      </c>
      <c r="J54" s="16" t="s">
        <v>1908</v>
      </c>
      <c r="K54" s="17">
        <v>1</v>
      </c>
      <c r="L54" s="18">
        <v>1600</v>
      </c>
      <c r="M54" s="16" t="s">
        <v>40</v>
      </c>
      <c r="N54" s="17">
        <v>0</v>
      </c>
      <c r="O54" s="18">
        <v>0</v>
      </c>
      <c r="P54" s="16" t="s">
        <v>40</v>
      </c>
      <c r="Q54" s="17">
        <v>0</v>
      </c>
      <c r="R54" s="18">
        <v>0</v>
      </c>
      <c r="S54" s="16" t="s">
        <v>40</v>
      </c>
      <c r="T54" s="17">
        <v>0</v>
      </c>
      <c r="U54" s="18">
        <v>0</v>
      </c>
      <c r="V54" s="16" t="s">
        <v>40</v>
      </c>
      <c r="W54" s="17">
        <v>0</v>
      </c>
      <c r="X54" s="18">
        <v>0</v>
      </c>
      <c r="Y54" s="15">
        <v>0</v>
      </c>
      <c r="Z54" s="15">
        <v>1600</v>
      </c>
    </row>
    <row r="55" spans="1:26" x14ac:dyDescent="0.2">
      <c r="A55" s="15">
        <v>80</v>
      </c>
      <c r="B55" s="30">
        <v>42814.696993171296</v>
      </c>
      <c r="C55" s="16">
        <v>1701051</v>
      </c>
      <c r="D55" s="17" t="s">
        <v>1735</v>
      </c>
      <c r="E55" s="17" t="s">
        <v>254</v>
      </c>
      <c r="F55" s="19">
        <v>859367703</v>
      </c>
      <c r="G55" s="17" t="s">
        <v>1844</v>
      </c>
      <c r="H55" s="17" t="s">
        <v>1736</v>
      </c>
      <c r="I55" s="18" t="s">
        <v>1912</v>
      </c>
      <c r="J55" s="16" t="s">
        <v>1911</v>
      </c>
      <c r="K55" s="17">
        <v>1</v>
      </c>
      <c r="L55" s="18">
        <v>1600</v>
      </c>
      <c r="M55" s="16" t="s">
        <v>1671</v>
      </c>
      <c r="N55" s="17">
        <v>1</v>
      </c>
      <c r="O55" s="18">
        <v>1000</v>
      </c>
      <c r="P55" s="16" t="s">
        <v>40</v>
      </c>
      <c r="Q55" s="17">
        <v>0</v>
      </c>
      <c r="R55" s="18">
        <v>0</v>
      </c>
      <c r="S55" s="16" t="s">
        <v>40</v>
      </c>
      <c r="T55" s="17">
        <v>0</v>
      </c>
      <c r="U55" s="18">
        <v>0</v>
      </c>
      <c r="V55" s="16" t="s">
        <v>40</v>
      </c>
      <c r="W55" s="17">
        <v>0</v>
      </c>
      <c r="X55" s="18">
        <v>0</v>
      </c>
      <c r="Y55" s="15">
        <v>0</v>
      </c>
      <c r="Z55" s="15">
        <v>2600</v>
      </c>
    </row>
    <row r="56" spans="1:26" x14ac:dyDescent="0.2">
      <c r="A56" s="15">
        <v>81</v>
      </c>
      <c r="B56" s="30">
        <v>42814.713412731478</v>
      </c>
      <c r="C56" s="16">
        <v>1701037</v>
      </c>
      <c r="D56" s="17" t="s">
        <v>1458</v>
      </c>
      <c r="E56" s="17" t="s">
        <v>577</v>
      </c>
      <c r="F56" s="19">
        <v>911759160</v>
      </c>
      <c r="G56" s="17" t="s">
        <v>1914</v>
      </c>
      <c r="H56" s="17" t="s">
        <v>1459</v>
      </c>
      <c r="I56" s="18" t="s">
        <v>1915</v>
      </c>
      <c r="J56" s="16" t="s">
        <v>1913</v>
      </c>
      <c r="K56" s="17">
        <v>1</v>
      </c>
      <c r="L56" s="18">
        <v>1600</v>
      </c>
      <c r="M56" s="16" t="s">
        <v>40</v>
      </c>
      <c r="N56" s="17">
        <v>0</v>
      </c>
      <c r="O56" s="18">
        <v>0</v>
      </c>
      <c r="P56" s="16" t="s">
        <v>40</v>
      </c>
      <c r="Q56" s="17">
        <v>0</v>
      </c>
      <c r="R56" s="18">
        <v>0</v>
      </c>
      <c r="S56" s="16" t="s">
        <v>40</v>
      </c>
      <c r="T56" s="17">
        <v>0</v>
      </c>
      <c r="U56" s="18">
        <v>0</v>
      </c>
      <c r="V56" s="16" t="s">
        <v>40</v>
      </c>
      <c r="W56" s="17">
        <v>0</v>
      </c>
      <c r="X56" s="18">
        <v>0</v>
      </c>
      <c r="Y56" s="15">
        <v>0</v>
      </c>
      <c r="Z56" s="15">
        <v>1600</v>
      </c>
    </row>
    <row r="57" spans="1:26" x14ac:dyDescent="0.2">
      <c r="A57" s="15">
        <v>82</v>
      </c>
      <c r="B57" s="30">
        <v>42816.70773101852</v>
      </c>
      <c r="C57" s="16">
        <v>1701141</v>
      </c>
      <c r="D57" s="17" t="s">
        <v>1759</v>
      </c>
      <c r="E57" s="17" t="s">
        <v>286</v>
      </c>
      <c r="F57" s="19">
        <v>898626549</v>
      </c>
      <c r="G57" s="17" t="s">
        <v>1696</v>
      </c>
      <c r="H57" s="17" t="s">
        <v>1760</v>
      </c>
      <c r="I57" s="18" t="s">
        <v>1917</v>
      </c>
      <c r="J57" s="16" t="s">
        <v>1916</v>
      </c>
      <c r="K57" s="17">
        <v>1</v>
      </c>
      <c r="L57" s="18">
        <v>1000</v>
      </c>
      <c r="M57" s="16" t="s">
        <v>40</v>
      </c>
      <c r="N57" s="17">
        <v>0</v>
      </c>
      <c r="O57" s="18">
        <v>0</v>
      </c>
      <c r="P57" s="16" t="s">
        <v>40</v>
      </c>
      <c r="Q57" s="17">
        <v>0</v>
      </c>
      <c r="R57" s="18">
        <v>0</v>
      </c>
      <c r="S57" s="16" t="s">
        <v>40</v>
      </c>
      <c r="T57" s="17">
        <v>0</v>
      </c>
      <c r="U57" s="18">
        <v>0</v>
      </c>
      <c r="V57" s="16" t="s">
        <v>40</v>
      </c>
      <c r="W57" s="17">
        <v>0</v>
      </c>
      <c r="X57" s="18">
        <v>0</v>
      </c>
      <c r="Y57" s="15">
        <v>0</v>
      </c>
      <c r="Z57" s="15">
        <v>1000</v>
      </c>
    </row>
    <row r="58" spans="1:26" x14ac:dyDescent="0.2">
      <c r="A58" s="15">
        <v>83</v>
      </c>
      <c r="B58" s="30">
        <v>42816.712945254629</v>
      </c>
      <c r="C58" s="16">
        <v>1702062</v>
      </c>
      <c r="D58" s="17" t="s">
        <v>1808</v>
      </c>
      <c r="E58" s="17" t="s">
        <v>506</v>
      </c>
      <c r="F58" s="19">
        <v>929492079</v>
      </c>
      <c r="G58" s="17" t="s">
        <v>1898</v>
      </c>
      <c r="H58" s="17" t="s">
        <v>1809</v>
      </c>
      <c r="I58" s="18" t="s">
        <v>1918</v>
      </c>
      <c r="J58" s="16" t="s">
        <v>1671</v>
      </c>
      <c r="K58" s="17">
        <v>1</v>
      </c>
      <c r="L58" s="18">
        <v>7000</v>
      </c>
      <c r="M58" s="16" t="s">
        <v>40</v>
      </c>
      <c r="N58" s="17">
        <v>0</v>
      </c>
      <c r="O58" s="18">
        <v>0</v>
      </c>
      <c r="P58" s="16" t="s">
        <v>40</v>
      </c>
      <c r="Q58" s="17">
        <v>0</v>
      </c>
      <c r="R58" s="18">
        <v>0</v>
      </c>
      <c r="S58" s="16" t="s">
        <v>40</v>
      </c>
      <c r="T58" s="17">
        <v>0</v>
      </c>
      <c r="U58" s="18">
        <v>0</v>
      </c>
      <c r="V58" s="16" t="s">
        <v>40</v>
      </c>
      <c r="W58" s="17">
        <v>0</v>
      </c>
      <c r="X58" s="18">
        <v>0</v>
      </c>
      <c r="Y58" s="15">
        <v>0</v>
      </c>
      <c r="Z58" s="15">
        <v>7000</v>
      </c>
    </row>
    <row r="59" spans="1:26" x14ac:dyDescent="0.2">
      <c r="A59" s="15">
        <v>84</v>
      </c>
      <c r="B59" s="30">
        <v>42816.714497800924</v>
      </c>
      <c r="C59" s="16">
        <v>1702071</v>
      </c>
      <c r="D59" s="17" t="s">
        <v>1858</v>
      </c>
      <c r="E59" s="17" t="s">
        <v>492</v>
      </c>
      <c r="F59" s="19">
        <v>639606526</v>
      </c>
      <c r="G59" s="17" t="s">
        <v>1919</v>
      </c>
      <c r="H59" s="17" t="s">
        <v>1859</v>
      </c>
      <c r="I59" s="18" t="s">
        <v>1920</v>
      </c>
      <c r="J59" s="16" t="s">
        <v>1671</v>
      </c>
      <c r="K59" s="17">
        <v>1</v>
      </c>
      <c r="L59" s="18">
        <v>4000</v>
      </c>
      <c r="M59" s="16" t="s">
        <v>40</v>
      </c>
      <c r="N59" s="17">
        <v>0</v>
      </c>
      <c r="O59" s="18">
        <v>0</v>
      </c>
      <c r="P59" s="16" t="s">
        <v>40</v>
      </c>
      <c r="Q59" s="17">
        <v>0</v>
      </c>
      <c r="R59" s="18">
        <v>0</v>
      </c>
      <c r="S59" s="16" t="s">
        <v>40</v>
      </c>
      <c r="T59" s="17">
        <v>0</v>
      </c>
      <c r="U59" s="18">
        <v>0</v>
      </c>
      <c r="V59" s="16" t="s">
        <v>40</v>
      </c>
      <c r="W59" s="17">
        <v>0</v>
      </c>
      <c r="X59" s="18">
        <v>0</v>
      </c>
      <c r="Y59" s="15">
        <v>0</v>
      </c>
      <c r="Z59" s="15">
        <v>4000</v>
      </c>
    </row>
    <row r="60" spans="1:26" x14ac:dyDescent="0.2">
      <c r="A60" s="15">
        <v>85</v>
      </c>
      <c r="B60" s="30">
        <v>42822.555299421299</v>
      </c>
      <c r="C60" s="16">
        <v>1702024</v>
      </c>
      <c r="D60" s="17" t="s">
        <v>1781</v>
      </c>
      <c r="E60" s="17" t="s">
        <v>979</v>
      </c>
      <c r="F60" s="19">
        <v>819279293</v>
      </c>
      <c r="G60" s="17" t="s">
        <v>1922</v>
      </c>
      <c r="H60" s="17" t="s">
        <v>1782</v>
      </c>
      <c r="I60" s="18" t="s">
        <v>1923</v>
      </c>
      <c r="J60" s="16" t="s">
        <v>1921</v>
      </c>
      <c r="K60" s="17">
        <v>1</v>
      </c>
      <c r="L60" s="18">
        <v>1000</v>
      </c>
      <c r="M60" s="16" t="s">
        <v>40</v>
      </c>
      <c r="N60" s="17">
        <v>0</v>
      </c>
      <c r="O60" s="18">
        <v>0</v>
      </c>
      <c r="P60" s="16" t="s">
        <v>40</v>
      </c>
      <c r="Q60" s="17">
        <v>0</v>
      </c>
      <c r="R60" s="18">
        <v>0</v>
      </c>
      <c r="S60" s="16" t="s">
        <v>40</v>
      </c>
      <c r="T60" s="17">
        <v>0</v>
      </c>
      <c r="U60" s="18">
        <v>0</v>
      </c>
      <c r="V60" s="16" t="s">
        <v>40</v>
      </c>
      <c r="W60" s="17">
        <v>0</v>
      </c>
      <c r="X60" s="18">
        <v>0</v>
      </c>
      <c r="Y60" s="15">
        <v>0</v>
      </c>
      <c r="Z60" s="15">
        <v>1000</v>
      </c>
    </row>
    <row r="61" spans="1:26" x14ac:dyDescent="0.2">
      <c r="A61" s="15">
        <v>86</v>
      </c>
      <c r="B61" s="30">
        <v>42822.582779629629</v>
      </c>
      <c r="C61" s="16">
        <v>1702036</v>
      </c>
      <c r="D61" s="17" t="s">
        <v>1788</v>
      </c>
      <c r="E61" s="17" t="s">
        <v>263</v>
      </c>
      <c r="F61" s="19">
        <v>902469526</v>
      </c>
      <c r="G61" s="17" t="s">
        <v>1925</v>
      </c>
      <c r="H61" s="17" t="s">
        <v>1789</v>
      </c>
      <c r="I61" s="18" t="s">
        <v>1926</v>
      </c>
      <c r="J61" s="16" t="s">
        <v>1924</v>
      </c>
      <c r="K61" s="17">
        <v>1</v>
      </c>
      <c r="L61" s="18">
        <v>1000</v>
      </c>
      <c r="M61" s="16" t="s">
        <v>40</v>
      </c>
      <c r="N61" s="17">
        <v>0</v>
      </c>
      <c r="O61" s="18">
        <v>0</v>
      </c>
      <c r="P61" s="16" t="s">
        <v>40</v>
      </c>
      <c r="Q61" s="17">
        <v>0</v>
      </c>
      <c r="R61" s="18">
        <v>0</v>
      </c>
      <c r="S61" s="16" t="s">
        <v>40</v>
      </c>
      <c r="T61" s="17">
        <v>0</v>
      </c>
      <c r="U61" s="18">
        <v>0</v>
      </c>
      <c r="V61" s="16" t="s">
        <v>40</v>
      </c>
      <c r="W61" s="17">
        <v>0</v>
      </c>
      <c r="X61" s="18">
        <v>0</v>
      </c>
      <c r="Y61" s="15">
        <v>0</v>
      </c>
      <c r="Z61" s="15">
        <v>1000</v>
      </c>
    </row>
    <row r="62" spans="1:26" x14ac:dyDescent="0.2">
      <c r="A62" s="15">
        <v>87</v>
      </c>
      <c r="B62" s="30">
        <v>42822.736824884261</v>
      </c>
      <c r="C62" s="16">
        <v>1701045</v>
      </c>
      <c r="D62" s="17" t="s">
        <v>1577</v>
      </c>
      <c r="E62" s="17" t="s">
        <v>233</v>
      </c>
      <c r="F62" s="19">
        <v>824992957</v>
      </c>
      <c r="G62" s="17" t="s">
        <v>1927</v>
      </c>
      <c r="H62" s="17" t="s">
        <v>1578</v>
      </c>
      <c r="I62" s="18" t="s">
        <v>1915</v>
      </c>
      <c r="J62" s="16" t="s">
        <v>1924</v>
      </c>
      <c r="K62" s="17">
        <v>1</v>
      </c>
      <c r="L62" s="18">
        <v>900</v>
      </c>
      <c r="M62" s="16" t="s">
        <v>40</v>
      </c>
      <c r="N62" s="17">
        <v>0</v>
      </c>
      <c r="O62" s="18">
        <v>0</v>
      </c>
      <c r="P62" s="16" t="s">
        <v>40</v>
      </c>
      <c r="Q62" s="17">
        <v>0</v>
      </c>
      <c r="R62" s="18">
        <v>0</v>
      </c>
      <c r="S62" s="16" t="s">
        <v>40</v>
      </c>
      <c r="T62" s="17">
        <v>0</v>
      </c>
      <c r="U62" s="18">
        <v>0</v>
      </c>
      <c r="V62" s="16" t="s">
        <v>40</v>
      </c>
      <c r="W62" s="17">
        <v>0</v>
      </c>
      <c r="X62" s="18">
        <v>0</v>
      </c>
      <c r="Y62" s="15">
        <v>0</v>
      </c>
      <c r="Z62" s="15">
        <v>900</v>
      </c>
    </row>
    <row r="63" spans="1:26" x14ac:dyDescent="0.2">
      <c r="A63" s="15">
        <v>88</v>
      </c>
      <c r="B63" s="30">
        <v>42825.479355208336</v>
      </c>
      <c r="C63" s="16">
        <v>1701038</v>
      </c>
      <c r="D63" s="17" t="s">
        <v>1469</v>
      </c>
      <c r="E63" s="17" t="s">
        <v>1108</v>
      </c>
      <c r="F63" s="19">
        <v>618585878</v>
      </c>
      <c r="G63" s="17" t="s">
        <v>1930</v>
      </c>
      <c r="H63" s="17" t="s">
        <v>1470</v>
      </c>
      <c r="I63" s="18" t="s">
        <v>1931</v>
      </c>
      <c r="J63" s="16" t="s">
        <v>1928</v>
      </c>
      <c r="K63" s="17">
        <v>1</v>
      </c>
      <c r="L63" s="18">
        <v>2650</v>
      </c>
      <c r="M63" s="16" t="s">
        <v>1929</v>
      </c>
      <c r="N63" s="17">
        <v>1</v>
      </c>
      <c r="O63" s="18">
        <v>1500</v>
      </c>
      <c r="P63" s="16" t="s">
        <v>40</v>
      </c>
      <c r="Q63" s="17">
        <v>0</v>
      </c>
      <c r="R63" s="18">
        <v>0</v>
      </c>
      <c r="S63" s="16" t="s">
        <v>40</v>
      </c>
      <c r="T63" s="17">
        <v>0</v>
      </c>
      <c r="U63" s="18">
        <v>0</v>
      </c>
      <c r="V63" s="16" t="s">
        <v>40</v>
      </c>
      <c r="W63" s="17">
        <v>0</v>
      </c>
      <c r="X63" s="18">
        <v>0</v>
      </c>
      <c r="Y63" s="15">
        <v>0</v>
      </c>
      <c r="Z63" s="15">
        <v>4150</v>
      </c>
    </row>
    <row r="64" spans="1:26" x14ac:dyDescent="0.2">
      <c r="A64" s="15">
        <v>89</v>
      </c>
      <c r="B64" s="30">
        <v>42825.706189351855</v>
      </c>
      <c r="C64" s="16">
        <v>1701109</v>
      </c>
      <c r="D64" s="17" t="s">
        <v>1752</v>
      </c>
      <c r="E64" s="17" t="s">
        <v>452</v>
      </c>
      <c r="F64" s="19">
        <v>817509831</v>
      </c>
      <c r="G64" s="17" t="s">
        <v>1934</v>
      </c>
      <c r="H64" s="17" t="s">
        <v>1753</v>
      </c>
      <c r="I64" s="18" t="s">
        <v>1935</v>
      </c>
      <c r="J64" s="16" t="s">
        <v>1932</v>
      </c>
      <c r="K64" s="17">
        <v>1</v>
      </c>
      <c r="L64" s="18">
        <v>3000</v>
      </c>
      <c r="M64" s="16" t="s">
        <v>1933</v>
      </c>
      <c r="N64" s="17">
        <v>1</v>
      </c>
      <c r="O64" s="18">
        <v>3000</v>
      </c>
      <c r="P64" s="16" t="s">
        <v>40</v>
      </c>
      <c r="Q64" s="17">
        <v>0</v>
      </c>
      <c r="R64" s="18">
        <v>0</v>
      </c>
      <c r="S64" s="16" t="s">
        <v>40</v>
      </c>
      <c r="T64" s="17">
        <v>0</v>
      </c>
      <c r="U64" s="18">
        <v>0</v>
      </c>
      <c r="V64" s="16" t="s">
        <v>40</v>
      </c>
      <c r="W64" s="17">
        <v>0</v>
      </c>
      <c r="X64" s="18">
        <v>0</v>
      </c>
      <c r="Y64" s="15">
        <v>0</v>
      </c>
      <c r="Z64" s="15">
        <v>6000</v>
      </c>
    </row>
    <row r="65" spans="1:26" x14ac:dyDescent="0.2">
      <c r="A65" s="15">
        <v>90</v>
      </c>
      <c r="B65" s="30">
        <v>42830.43035289352</v>
      </c>
      <c r="C65" s="16">
        <v>1702048</v>
      </c>
      <c r="D65" s="17" t="s">
        <v>1791</v>
      </c>
      <c r="E65" s="17" t="s">
        <v>433</v>
      </c>
      <c r="F65" s="19">
        <v>900315120</v>
      </c>
      <c r="G65" s="17" t="s">
        <v>1939</v>
      </c>
      <c r="H65" s="17" t="s">
        <v>1792</v>
      </c>
      <c r="I65" s="18" t="s">
        <v>1940</v>
      </c>
      <c r="J65" s="16" t="s">
        <v>1938</v>
      </c>
      <c r="K65" s="17">
        <v>0.5</v>
      </c>
      <c r="L65" s="18">
        <v>4500</v>
      </c>
      <c r="M65" s="16" t="s">
        <v>40</v>
      </c>
      <c r="N65" s="17">
        <v>0</v>
      </c>
      <c r="O65" s="18">
        <v>0</v>
      </c>
      <c r="P65" s="16" t="s">
        <v>40</v>
      </c>
      <c r="Q65" s="17">
        <v>0</v>
      </c>
      <c r="R65" s="18">
        <v>0</v>
      </c>
      <c r="S65" s="16" t="s">
        <v>40</v>
      </c>
      <c r="T65" s="17">
        <v>0</v>
      </c>
      <c r="U65" s="18">
        <v>0</v>
      </c>
      <c r="V65" s="16" t="s">
        <v>40</v>
      </c>
      <c r="W65" s="17">
        <v>0</v>
      </c>
      <c r="X65" s="18">
        <v>0</v>
      </c>
      <c r="Y65" s="15">
        <v>0</v>
      </c>
      <c r="Z65" s="15">
        <v>2250</v>
      </c>
    </row>
    <row r="66" spans="1:26" x14ac:dyDescent="0.2">
      <c r="A66" s="15">
        <v>91</v>
      </c>
      <c r="B66" s="30">
        <v>42831.493948495372</v>
      </c>
      <c r="C66" s="16">
        <v>1701148</v>
      </c>
      <c r="D66" s="17" t="s">
        <v>1763</v>
      </c>
      <c r="E66" s="17" t="s">
        <v>305</v>
      </c>
      <c r="F66" s="19">
        <v>852347045</v>
      </c>
      <c r="G66" s="17" t="s">
        <v>1942</v>
      </c>
      <c r="H66" s="17" t="s">
        <v>1764</v>
      </c>
      <c r="I66" s="18" t="s">
        <v>1943</v>
      </c>
      <c r="J66" s="16" t="s">
        <v>1941</v>
      </c>
      <c r="K66" s="17">
        <v>1</v>
      </c>
      <c r="L66" s="18">
        <v>3800</v>
      </c>
      <c r="M66" s="16" t="s">
        <v>40</v>
      </c>
      <c r="N66" s="17">
        <v>0</v>
      </c>
      <c r="O66" s="18">
        <v>0</v>
      </c>
      <c r="P66" s="16" t="s">
        <v>40</v>
      </c>
      <c r="Q66" s="17">
        <v>0</v>
      </c>
      <c r="R66" s="18">
        <v>0</v>
      </c>
      <c r="S66" s="16" t="s">
        <v>40</v>
      </c>
      <c r="T66" s="17">
        <v>0</v>
      </c>
      <c r="U66" s="18">
        <v>0</v>
      </c>
      <c r="V66" s="16" t="s">
        <v>40</v>
      </c>
      <c r="W66" s="17">
        <v>0</v>
      </c>
      <c r="X66" s="18">
        <v>0</v>
      </c>
      <c r="Y66" s="15">
        <v>0</v>
      </c>
      <c r="Z66" s="15">
        <v>3800</v>
      </c>
    </row>
    <row r="67" spans="1:26" x14ac:dyDescent="0.2">
      <c r="A67" s="15">
        <v>92</v>
      </c>
      <c r="B67" s="30">
        <v>42831.502334027777</v>
      </c>
      <c r="C67" s="16">
        <v>1703051</v>
      </c>
      <c r="D67" s="17" t="s">
        <v>1896</v>
      </c>
      <c r="E67" s="17" t="s">
        <v>233</v>
      </c>
      <c r="F67" s="19">
        <v>863563641</v>
      </c>
      <c r="G67" s="17" t="s">
        <v>1945</v>
      </c>
      <c r="H67" s="17" t="s">
        <v>1897</v>
      </c>
      <c r="I67" s="18" t="s">
        <v>1648</v>
      </c>
      <c r="J67" s="16" t="s">
        <v>1944</v>
      </c>
      <c r="K67" s="17">
        <v>1</v>
      </c>
      <c r="L67" s="18">
        <v>3000</v>
      </c>
      <c r="M67" s="16" t="s">
        <v>40</v>
      </c>
      <c r="N67" s="17">
        <v>0</v>
      </c>
      <c r="O67" s="18">
        <v>0</v>
      </c>
      <c r="P67" s="16" t="s">
        <v>40</v>
      </c>
      <c r="Q67" s="17">
        <v>0</v>
      </c>
      <c r="R67" s="18">
        <v>0</v>
      </c>
      <c r="S67" s="16" t="s">
        <v>40</v>
      </c>
      <c r="T67" s="17">
        <v>0</v>
      </c>
      <c r="U67" s="18">
        <v>0</v>
      </c>
      <c r="V67" s="16" t="s">
        <v>40</v>
      </c>
      <c r="W67" s="17">
        <v>0</v>
      </c>
      <c r="X67" s="18">
        <v>0</v>
      </c>
      <c r="Y67" s="15">
        <v>0</v>
      </c>
      <c r="Z67" s="15">
        <v>3000</v>
      </c>
    </row>
    <row r="68" spans="1:26" x14ac:dyDescent="0.2">
      <c r="A68" s="15">
        <v>93</v>
      </c>
      <c r="B68" s="30">
        <v>42833.727122569442</v>
      </c>
      <c r="C68" s="16">
        <v>1703007</v>
      </c>
      <c r="D68" s="17" t="s">
        <v>1865</v>
      </c>
      <c r="E68" s="17" t="s">
        <v>233</v>
      </c>
      <c r="F68" s="19">
        <v>860217447</v>
      </c>
      <c r="G68" s="17" t="s">
        <v>1947</v>
      </c>
      <c r="H68" s="17" t="s">
        <v>1866</v>
      </c>
      <c r="I68" s="18" t="s">
        <v>1713</v>
      </c>
      <c r="J68" s="16" t="s">
        <v>1946</v>
      </c>
      <c r="K68" s="17">
        <v>1</v>
      </c>
      <c r="L68" s="18">
        <v>4000</v>
      </c>
      <c r="M68" s="16" t="s">
        <v>40</v>
      </c>
      <c r="N68" s="17">
        <v>0</v>
      </c>
      <c r="O68" s="18">
        <v>0</v>
      </c>
      <c r="P68" s="16" t="s">
        <v>40</v>
      </c>
      <c r="Q68" s="17">
        <v>0</v>
      </c>
      <c r="R68" s="18">
        <v>0</v>
      </c>
      <c r="S68" s="16" t="s">
        <v>40</v>
      </c>
      <c r="T68" s="17">
        <v>0</v>
      </c>
      <c r="U68" s="18">
        <v>0</v>
      </c>
      <c r="V68" s="16" t="s">
        <v>40</v>
      </c>
      <c r="W68" s="17">
        <v>0</v>
      </c>
      <c r="X68" s="18">
        <v>0</v>
      </c>
      <c r="Y68" s="15">
        <v>0</v>
      </c>
      <c r="Z68" s="15">
        <v>4000</v>
      </c>
    </row>
    <row r="69" spans="1:26" x14ac:dyDescent="0.2">
      <c r="A69" s="15">
        <v>94</v>
      </c>
      <c r="B69" s="30">
        <v>42835.705579398149</v>
      </c>
      <c r="C69" s="16">
        <v>1701166</v>
      </c>
      <c r="D69" s="17" t="s">
        <v>1771</v>
      </c>
      <c r="E69" s="17" t="s">
        <v>506</v>
      </c>
      <c r="F69" s="19">
        <v>863745359</v>
      </c>
      <c r="G69" s="17" t="s">
        <v>1950</v>
      </c>
      <c r="H69" s="17" t="s">
        <v>1772</v>
      </c>
      <c r="I69" s="18" t="s">
        <v>1715</v>
      </c>
      <c r="J69" s="16" t="s">
        <v>1948</v>
      </c>
      <c r="K69" s="17">
        <v>1</v>
      </c>
      <c r="L69" s="18">
        <v>2500</v>
      </c>
      <c r="M69" s="16" t="s">
        <v>1949</v>
      </c>
      <c r="N69" s="17">
        <v>1</v>
      </c>
      <c r="O69" s="18">
        <v>500</v>
      </c>
      <c r="P69" s="16" t="s">
        <v>40</v>
      </c>
      <c r="Q69" s="17">
        <v>0</v>
      </c>
      <c r="R69" s="18">
        <v>0</v>
      </c>
      <c r="S69" s="16" t="s">
        <v>40</v>
      </c>
      <c r="T69" s="17">
        <v>0</v>
      </c>
      <c r="U69" s="18">
        <v>0</v>
      </c>
      <c r="V69" s="16" t="s">
        <v>40</v>
      </c>
      <c r="W69" s="17">
        <v>0</v>
      </c>
      <c r="X69" s="18">
        <v>0</v>
      </c>
      <c r="Y69" s="15">
        <v>0</v>
      </c>
      <c r="Z69" s="15">
        <v>3000</v>
      </c>
    </row>
    <row r="70" spans="1:26" x14ac:dyDescent="0.2">
      <c r="A70" s="15">
        <v>95</v>
      </c>
      <c r="B70" s="30">
        <v>42845.402719560188</v>
      </c>
      <c r="C70" s="16">
        <v>1703010</v>
      </c>
      <c r="D70" s="17" t="s">
        <v>1867</v>
      </c>
      <c r="E70" s="17" t="s">
        <v>506</v>
      </c>
      <c r="F70" s="19">
        <v>856869172</v>
      </c>
      <c r="G70" s="17" t="s">
        <v>1919</v>
      </c>
      <c r="H70" s="17" t="s">
        <v>1868</v>
      </c>
      <c r="I70" s="18" t="s">
        <v>1952</v>
      </c>
      <c r="J70" s="16" t="s">
        <v>1951</v>
      </c>
      <c r="K70" s="17">
        <v>1</v>
      </c>
      <c r="L70" s="18">
        <v>200</v>
      </c>
      <c r="M70" s="16" t="s">
        <v>40</v>
      </c>
      <c r="N70" s="17">
        <v>0</v>
      </c>
      <c r="O70" s="18">
        <v>0</v>
      </c>
      <c r="P70" s="16" t="s">
        <v>40</v>
      </c>
      <c r="Q70" s="17">
        <v>0</v>
      </c>
      <c r="R70" s="18">
        <v>0</v>
      </c>
      <c r="S70" s="16" t="s">
        <v>40</v>
      </c>
      <c r="T70" s="17">
        <v>0</v>
      </c>
      <c r="U70" s="18">
        <v>0</v>
      </c>
      <c r="V70" s="16" t="s">
        <v>40</v>
      </c>
      <c r="W70" s="17">
        <v>0</v>
      </c>
      <c r="X70" s="18">
        <v>0</v>
      </c>
      <c r="Y70" s="15">
        <v>0</v>
      </c>
      <c r="Z70" s="15">
        <v>200</v>
      </c>
    </row>
    <row r="71" spans="1:26" x14ac:dyDescent="0.2">
      <c r="A71" s="15">
        <v>95</v>
      </c>
      <c r="B71" s="30">
        <v>42846.446124421294</v>
      </c>
      <c r="D71" s="17" t="s">
        <v>1954</v>
      </c>
      <c r="E71" s="17">
        <v>0</v>
      </c>
      <c r="F71" s="19">
        <v>876938859</v>
      </c>
      <c r="G71" s="17" t="s">
        <v>1955</v>
      </c>
      <c r="H71" s="17" t="s">
        <v>1956</v>
      </c>
      <c r="I71" s="18" t="s">
        <v>207</v>
      </c>
      <c r="J71" s="16" t="s">
        <v>1957</v>
      </c>
      <c r="K71" s="17">
        <v>1</v>
      </c>
      <c r="L71" s="18">
        <v>200</v>
      </c>
      <c r="M71" s="16" t="s">
        <v>40</v>
      </c>
      <c r="N71" s="17">
        <v>0</v>
      </c>
      <c r="O71" s="18">
        <v>0</v>
      </c>
      <c r="P71" s="16" t="s">
        <v>40</v>
      </c>
      <c r="Q71" s="17">
        <v>0</v>
      </c>
      <c r="R71" s="18">
        <v>0</v>
      </c>
      <c r="S71" s="16" t="s">
        <v>40</v>
      </c>
      <c r="T71" s="17">
        <v>0</v>
      </c>
      <c r="U71" s="18">
        <v>0</v>
      </c>
      <c r="V71" s="16" t="s">
        <v>40</v>
      </c>
      <c r="W71" s="17">
        <v>0</v>
      </c>
      <c r="X71" s="18">
        <v>0</v>
      </c>
      <c r="Y71" s="15">
        <v>0</v>
      </c>
      <c r="Z71" s="15">
        <v>200</v>
      </c>
    </row>
    <row r="72" spans="1:26" x14ac:dyDescent="0.2">
      <c r="A72" s="15">
        <v>96</v>
      </c>
      <c r="B72" s="30">
        <v>42850.55831122685</v>
      </c>
      <c r="C72" s="16">
        <v>1702057</v>
      </c>
      <c r="D72" s="17" t="s">
        <v>1805</v>
      </c>
      <c r="E72" s="17" t="s">
        <v>54</v>
      </c>
      <c r="F72" s="19" t="s">
        <v>72</v>
      </c>
      <c r="G72" s="17" t="s">
        <v>1958</v>
      </c>
      <c r="H72" s="17" t="s">
        <v>1120</v>
      </c>
      <c r="I72" s="18" t="s">
        <v>1715</v>
      </c>
      <c r="J72" s="16" t="s">
        <v>1677</v>
      </c>
      <c r="K72" s="17">
        <v>1</v>
      </c>
      <c r="L72" s="18">
        <v>3000</v>
      </c>
      <c r="M72" s="16" t="s">
        <v>40</v>
      </c>
      <c r="N72" s="17">
        <v>0</v>
      </c>
      <c r="O72" s="18">
        <v>0</v>
      </c>
      <c r="P72" s="16" t="s">
        <v>40</v>
      </c>
      <c r="Q72" s="17">
        <v>0</v>
      </c>
      <c r="R72" s="18">
        <v>0</v>
      </c>
      <c r="S72" s="16" t="s">
        <v>40</v>
      </c>
      <c r="T72" s="17">
        <v>0</v>
      </c>
      <c r="U72" s="18">
        <v>0</v>
      </c>
      <c r="V72" s="16" t="s">
        <v>40</v>
      </c>
      <c r="W72" s="17">
        <v>0</v>
      </c>
      <c r="X72" s="18">
        <v>0</v>
      </c>
      <c r="Y72" s="15">
        <v>0</v>
      </c>
      <c r="Z72" s="15">
        <v>3000</v>
      </c>
    </row>
    <row r="73" spans="1:26" x14ac:dyDescent="0.2">
      <c r="A73" s="15">
        <v>97</v>
      </c>
      <c r="B73" s="30">
        <v>42850.559531597224</v>
      </c>
      <c r="C73" s="16">
        <v>1701164</v>
      </c>
      <c r="D73" s="17" t="s">
        <v>1770</v>
      </c>
      <c r="E73" s="17" t="s">
        <v>47</v>
      </c>
      <c r="F73" s="19" t="s">
        <v>106</v>
      </c>
      <c r="G73" s="17" t="s">
        <v>1959</v>
      </c>
      <c r="H73" s="17">
        <v>42943</v>
      </c>
      <c r="I73" s="18" t="s">
        <v>1960</v>
      </c>
      <c r="J73" s="16" t="s">
        <v>1677</v>
      </c>
      <c r="K73" s="17">
        <v>1</v>
      </c>
      <c r="L73" s="18">
        <v>6000</v>
      </c>
      <c r="M73" s="16" t="s">
        <v>40</v>
      </c>
      <c r="N73" s="17">
        <v>0</v>
      </c>
      <c r="O73" s="18">
        <v>0</v>
      </c>
      <c r="P73" s="16" t="s">
        <v>40</v>
      </c>
      <c r="Q73" s="17">
        <v>0</v>
      </c>
      <c r="R73" s="18">
        <v>0</v>
      </c>
      <c r="S73" s="16" t="s">
        <v>40</v>
      </c>
      <c r="T73" s="17">
        <v>0</v>
      </c>
      <c r="U73" s="18">
        <v>0</v>
      </c>
      <c r="V73" s="16" t="s">
        <v>40</v>
      </c>
      <c r="W73" s="17">
        <v>0</v>
      </c>
      <c r="X73" s="18">
        <v>0</v>
      </c>
      <c r="Y73" s="15">
        <v>0</v>
      </c>
      <c r="Z73" s="15">
        <v>6000</v>
      </c>
    </row>
    <row r="74" spans="1:26" x14ac:dyDescent="0.2">
      <c r="A74" s="15">
        <v>98</v>
      </c>
      <c r="B74" s="30">
        <v>42851.677944097224</v>
      </c>
      <c r="D74" s="17" t="s">
        <v>1961</v>
      </c>
      <c r="E74" s="17" t="s">
        <v>1963</v>
      </c>
      <c r="F74" s="19">
        <v>898874821</v>
      </c>
      <c r="G74" s="17" t="s">
        <v>1962</v>
      </c>
      <c r="H74" s="17" t="s">
        <v>1965</v>
      </c>
      <c r="I74" s="18" t="s">
        <v>1964</v>
      </c>
      <c r="J74" s="16" t="s">
        <v>1966</v>
      </c>
      <c r="K74" s="17">
        <v>1</v>
      </c>
      <c r="L74" s="18">
        <v>7000</v>
      </c>
      <c r="M74" s="16" t="s">
        <v>1967</v>
      </c>
      <c r="N74" s="17">
        <v>1</v>
      </c>
      <c r="O74" s="18">
        <v>1250</v>
      </c>
      <c r="P74" s="16" t="s">
        <v>40</v>
      </c>
      <c r="Q74" s="17">
        <v>0</v>
      </c>
      <c r="R74" s="18">
        <v>0</v>
      </c>
      <c r="S74" s="16" t="s">
        <v>40</v>
      </c>
      <c r="T74" s="17">
        <v>0</v>
      </c>
      <c r="U74" s="18">
        <v>0</v>
      </c>
      <c r="V74" s="16" t="s">
        <v>40</v>
      </c>
      <c r="W74" s="17">
        <v>0</v>
      </c>
      <c r="X74" s="18">
        <v>0</v>
      </c>
      <c r="Y74" s="15">
        <v>0</v>
      </c>
      <c r="Z74" s="15">
        <v>8250</v>
      </c>
    </row>
    <row r="75" spans="1:26" x14ac:dyDescent="0.2">
      <c r="A75" s="15">
        <v>99</v>
      </c>
      <c r="B75" s="30">
        <v>42852.430659259262</v>
      </c>
      <c r="C75" s="16">
        <v>1701152</v>
      </c>
      <c r="D75" s="17" t="s">
        <v>1976</v>
      </c>
      <c r="E75" s="17" t="s">
        <v>492</v>
      </c>
      <c r="F75" s="19">
        <v>814089838</v>
      </c>
      <c r="G75" s="17" t="s">
        <v>2032</v>
      </c>
      <c r="H75" s="17" t="s">
        <v>1765</v>
      </c>
      <c r="I75" s="18" t="s">
        <v>2033</v>
      </c>
      <c r="J75" s="16" t="s">
        <v>2030</v>
      </c>
      <c r="K75" s="17">
        <v>1</v>
      </c>
      <c r="L75" s="18">
        <v>25000</v>
      </c>
      <c r="M75" s="16" t="s">
        <v>2031</v>
      </c>
      <c r="N75" s="17">
        <v>1</v>
      </c>
      <c r="O75" s="18">
        <v>1000</v>
      </c>
      <c r="P75" s="16" t="s">
        <v>40</v>
      </c>
      <c r="Q75" s="17">
        <v>0</v>
      </c>
      <c r="R75" s="18">
        <v>0</v>
      </c>
      <c r="S75" s="16" t="s">
        <v>40</v>
      </c>
      <c r="T75" s="17">
        <v>0</v>
      </c>
      <c r="U75" s="18">
        <v>0</v>
      </c>
      <c r="V75" s="16" t="s">
        <v>40</v>
      </c>
      <c r="W75" s="17">
        <v>0</v>
      </c>
      <c r="X75" s="18">
        <v>0</v>
      </c>
      <c r="Y75" s="15">
        <v>0</v>
      </c>
      <c r="Z75" s="15">
        <v>26000</v>
      </c>
    </row>
    <row r="76" spans="1:26" x14ac:dyDescent="0.2">
      <c r="A76" s="15">
        <v>100</v>
      </c>
      <c r="B76" s="30">
        <v>42853.412864120372</v>
      </c>
      <c r="C76" s="16">
        <v>1702052</v>
      </c>
      <c r="D76" s="17" t="s">
        <v>1984</v>
      </c>
      <c r="E76" s="17" t="s">
        <v>305</v>
      </c>
      <c r="F76" s="19">
        <v>814092549</v>
      </c>
      <c r="G76" s="17" t="s">
        <v>2034</v>
      </c>
      <c r="H76" s="17" t="s">
        <v>1793</v>
      </c>
      <c r="I76" s="18" t="s">
        <v>2035</v>
      </c>
      <c r="J76" s="16" t="s">
        <v>1671</v>
      </c>
      <c r="K76" s="17">
        <v>1</v>
      </c>
      <c r="L76" s="18">
        <v>6000</v>
      </c>
      <c r="M76" s="16" t="s">
        <v>40</v>
      </c>
      <c r="N76" s="17">
        <v>0</v>
      </c>
      <c r="O76" s="18">
        <v>0</v>
      </c>
      <c r="P76" s="16" t="s">
        <v>40</v>
      </c>
      <c r="Q76" s="17">
        <v>0</v>
      </c>
      <c r="R76" s="18">
        <v>0</v>
      </c>
      <c r="S76" s="16" t="s">
        <v>40</v>
      </c>
      <c r="T76" s="17">
        <v>0</v>
      </c>
      <c r="U76" s="18">
        <v>0</v>
      </c>
      <c r="V76" s="16" t="s">
        <v>40</v>
      </c>
      <c r="W76" s="17">
        <v>0</v>
      </c>
      <c r="X76" s="18">
        <v>0</v>
      </c>
      <c r="Y76" s="15">
        <v>0</v>
      </c>
      <c r="Z76" s="15">
        <v>6000</v>
      </c>
    </row>
    <row r="77" spans="1:26" x14ac:dyDescent="0.2">
      <c r="A77" s="15">
        <v>101</v>
      </c>
      <c r="B77" s="30">
        <v>42854.489674537035</v>
      </c>
      <c r="C77" s="16">
        <v>1702004</v>
      </c>
      <c r="D77" s="17" t="s">
        <v>1977</v>
      </c>
      <c r="E77" s="17" t="s">
        <v>506</v>
      </c>
      <c r="F77" s="19">
        <v>942410947</v>
      </c>
      <c r="G77" s="17" t="s">
        <v>2037</v>
      </c>
      <c r="H77" s="17" t="s">
        <v>1774</v>
      </c>
      <c r="I77" s="18" t="s">
        <v>2038</v>
      </c>
      <c r="J77" s="16" t="s">
        <v>1671</v>
      </c>
      <c r="K77" s="17">
        <v>1</v>
      </c>
      <c r="L77" s="18">
        <v>4000</v>
      </c>
      <c r="M77" s="16" t="s">
        <v>2036</v>
      </c>
      <c r="N77" s="17">
        <v>1</v>
      </c>
      <c r="O77" s="18">
        <v>3000</v>
      </c>
      <c r="P77" s="16" t="s">
        <v>40</v>
      </c>
      <c r="Q77" s="17">
        <v>0</v>
      </c>
      <c r="R77" s="18">
        <v>0</v>
      </c>
      <c r="S77" s="16" t="s">
        <v>40</v>
      </c>
      <c r="T77" s="17">
        <v>0</v>
      </c>
      <c r="U77" s="18">
        <v>0</v>
      </c>
      <c r="V77" s="16" t="s">
        <v>40</v>
      </c>
      <c r="W77" s="17">
        <v>0</v>
      </c>
      <c r="X77" s="18">
        <v>0</v>
      </c>
      <c r="Y77" s="15">
        <v>0</v>
      </c>
      <c r="Z77" s="15">
        <v>7000</v>
      </c>
    </row>
    <row r="78" spans="1:26" x14ac:dyDescent="0.2">
      <c r="A78" s="15">
        <v>102</v>
      </c>
      <c r="B78" s="30">
        <v>42859.388989004627</v>
      </c>
      <c r="C78" s="16">
        <v>1702099</v>
      </c>
      <c r="D78" s="17" t="s">
        <v>1993</v>
      </c>
      <c r="E78" s="17" t="s">
        <v>286</v>
      </c>
      <c r="F78" s="19">
        <v>890661784</v>
      </c>
      <c r="G78" s="17" t="s">
        <v>2040</v>
      </c>
      <c r="H78" s="17" t="s">
        <v>1994</v>
      </c>
      <c r="I78" s="18" t="s">
        <v>1851</v>
      </c>
      <c r="J78" s="16" t="s">
        <v>2039</v>
      </c>
      <c r="K78" s="17">
        <v>1</v>
      </c>
      <c r="L78" s="18">
        <v>2000</v>
      </c>
      <c r="M78" s="16" t="s">
        <v>40</v>
      </c>
      <c r="N78" s="17">
        <v>0</v>
      </c>
      <c r="O78" s="18">
        <v>0</v>
      </c>
      <c r="P78" s="16" t="s">
        <v>40</v>
      </c>
      <c r="Q78" s="17">
        <v>0</v>
      </c>
      <c r="R78" s="18">
        <v>0</v>
      </c>
      <c r="S78" s="16" t="s">
        <v>40</v>
      </c>
      <c r="T78" s="17">
        <v>0</v>
      </c>
      <c r="U78" s="18">
        <v>0</v>
      </c>
      <c r="V78" s="16" t="s">
        <v>40</v>
      </c>
      <c r="W78" s="17">
        <v>0</v>
      </c>
      <c r="X78" s="18">
        <v>0</v>
      </c>
      <c r="Y78" s="15">
        <v>0</v>
      </c>
      <c r="Z78" s="15">
        <v>2000</v>
      </c>
    </row>
    <row r="79" spans="1:26" x14ac:dyDescent="0.2">
      <c r="A79" s="15">
        <v>102</v>
      </c>
      <c r="B79" s="30">
        <v>42859.398376157405</v>
      </c>
      <c r="C79" s="16">
        <v>1702073</v>
      </c>
      <c r="D79" s="17" t="s">
        <v>1987</v>
      </c>
      <c r="E79" s="17" t="s">
        <v>286</v>
      </c>
      <c r="F79" s="19">
        <v>898229896</v>
      </c>
      <c r="G79" s="17" t="s">
        <v>2042</v>
      </c>
      <c r="H79" s="17" t="s">
        <v>1860</v>
      </c>
      <c r="I79" s="18" t="s">
        <v>2043</v>
      </c>
      <c r="J79" s="16" t="s">
        <v>2041</v>
      </c>
      <c r="K79" s="17">
        <v>1</v>
      </c>
      <c r="L79" s="18">
        <v>2500</v>
      </c>
      <c r="M79" s="16" t="s">
        <v>40</v>
      </c>
      <c r="N79" s="17">
        <v>0</v>
      </c>
      <c r="O79" s="18">
        <v>0</v>
      </c>
      <c r="P79" s="16" t="s">
        <v>40</v>
      </c>
      <c r="Q79" s="17">
        <v>0</v>
      </c>
      <c r="R79" s="18">
        <v>0</v>
      </c>
      <c r="S79" s="16" t="s">
        <v>40</v>
      </c>
      <c r="T79" s="17">
        <v>0</v>
      </c>
      <c r="U79" s="18">
        <v>0</v>
      </c>
      <c r="V79" s="16" t="s">
        <v>40</v>
      </c>
      <c r="W79" s="17">
        <v>0</v>
      </c>
      <c r="X79" s="18">
        <v>0</v>
      </c>
      <c r="Y79" s="15">
        <v>0</v>
      </c>
      <c r="Z79" s="15">
        <v>2500</v>
      </c>
    </row>
    <row r="80" spans="1:26" x14ac:dyDescent="0.2">
      <c r="A80" s="15">
        <v>102</v>
      </c>
      <c r="B80" s="30">
        <v>42861.438109490744</v>
      </c>
      <c r="C80" s="16">
        <v>1701036</v>
      </c>
      <c r="D80" s="17" t="s">
        <v>1301</v>
      </c>
      <c r="E80" s="17" t="s">
        <v>429</v>
      </c>
      <c r="F80" s="19">
        <v>850656325</v>
      </c>
      <c r="G80" s="17" t="s">
        <v>2054</v>
      </c>
      <c r="H80" s="17" t="s">
        <v>1302</v>
      </c>
      <c r="I80" s="18" t="s">
        <v>2055</v>
      </c>
      <c r="J80" s="16" t="s">
        <v>1938</v>
      </c>
      <c r="K80" s="17">
        <v>0.5</v>
      </c>
      <c r="L80" s="18">
        <v>3000</v>
      </c>
      <c r="M80" s="16" t="s">
        <v>2053</v>
      </c>
      <c r="N80" s="17">
        <v>1</v>
      </c>
      <c r="O80" s="18">
        <v>1000</v>
      </c>
      <c r="P80" s="16" t="s">
        <v>1828</v>
      </c>
      <c r="Q80" s="17">
        <v>1</v>
      </c>
      <c r="R80" s="18">
        <v>890</v>
      </c>
      <c r="S80" s="16" t="s">
        <v>1829</v>
      </c>
      <c r="T80" s="17">
        <v>1</v>
      </c>
      <c r="U80" s="18">
        <v>1000</v>
      </c>
      <c r="V80" s="16" t="s">
        <v>1830</v>
      </c>
      <c r="W80" s="17">
        <v>1</v>
      </c>
      <c r="X80" s="18">
        <v>600</v>
      </c>
      <c r="Y80" s="15">
        <v>0</v>
      </c>
      <c r="Z80" s="15">
        <v>4990</v>
      </c>
    </row>
    <row r="81" spans="1:26" x14ac:dyDescent="0.2">
      <c r="A81" s="15">
        <v>103</v>
      </c>
      <c r="B81" s="30">
        <v>42861.680984143517</v>
      </c>
      <c r="D81" s="17" t="s">
        <v>2059</v>
      </c>
      <c r="E81" s="17" t="s">
        <v>2061</v>
      </c>
      <c r="F81" s="19">
        <v>0</v>
      </c>
      <c r="G81" s="17" t="s">
        <v>2060</v>
      </c>
      <c r="H81" s="17" t="s">
        <v>2062</v>
      </c>
      <c r="I81" s="18" t="s">
        <v>159</v>
      </c>
      <c r="J81" s="16" t="s">
        <v>2056</v>
      </c>
      <c r="K81" s="17">
        <v>1</v>
      </c>
      <c r="L81" s="18">
        <v>560</v>
      </c>
      <c r="M81" s="16" t="s">
        <v>2057</v>
      </c>
      <c r="N81" s="17">
        <v>1</v>
      </c>
      <c r="O81" s="18">
        <v>280</v>
      </c>
      <c r="P81" s="16" t="s">
        <v>2058</v>
      </c>
      <c r="Q81" s="17">
        <v>1</v>
      </c>
      <c r="R81" s="18">
        <v>25000</v>
      </c>
      <c r="S81" s="16" t="s">
        <v>40</v>
      </c>
      <c r="T81" s="17">
        <v>0</v>
      </c>
      <c r="U81" s="18">
        <v>0</v>
      </c>
      <c r="V81" s="16" t="s">
        <v>40</v>
      </c>
      <c r="W81" s="17">
        <v>0</v>
      </c>
      <c r="X81" s="18">
        <v>0</v>
      </c>
      <c r="Y81" s="15">
        <v>0</v>
      </c>
      <c r="Z81" s="15">
        <v>25840</v>
      </c>
    </row>
    <row r="82" spans="1:26" x14ac:dyDescent="0.2">
      <c r="A82" s="15">
        <v>104</v>
      </c>
      <c r="B82" s="30">
        <v>42861.683474189813</v>
      </c>
      <c r="D82" s="17" t="s">
        <v>2059</v>
      </c>
      <c r="E82" s="17" t="s">
        <v>2061</v>
      </c>
      <c r="F82" s="19">
        <v>875602663</v>
      </c>
      <c r="G82" s="17" t="s">
        <v>2060</v>
      </c>
      <c r="H82" s="17" t="s">
        <v>2062</v>
      </c>
      <c r="I82" s="18" t="s">
        <v>159</v>
      </c>
      <c r="J82" s="16" t="s">
        <v>2063</v>
      </c>
      <c r="K82" s="17">
        <v>1</v>
      </c>
      <c r="L82" s="18">
        <v>560</v>
      </c>
      <c r="M82" s="16" t="s">
        <v>2057</v>
      </c>
      <c r="N82" s="17">
        <v>1</v>
      </c>
      <c r="O82" s="18">
        <v>280</v>
      </c>
      <c r="P82" s="16" t="s">
        <v>2058</v>
      </c>
      <c r="Q82" s="17">
        <v>1</v>
      </c>
      <c r="R82" s="18">
        <v>25000</v>
      </c>
      <c r="S82" s="16" t="s">
        <v>40</v>
      </c>
      <c r="T82" s="17">
        <v>0</v>
      </c>
      <c r="U82" s="18">
        <v>0</v>
      </c>
      <c r="V82" s="16" t="s">
        <v>40</v>
      </c>
      <c r="W82" s="17">
        <v>0</v>
      </c>
      <c r="X82" s="18">
        <v>0</v>
      </c>
      <c r="Y82" s="15">
        <v>0</v>
      </c>
      <c r="Z82" s="15">
        <v>25840</v>
      </c>
    </row>
    <row r="83" spans="1:26" x14ac:dyDescent="0.2">
      <c r="A83" s="15">
        <v>105</v>
      </c>
      <c r="B83" s="30">
        <v>42861.687812962962</v>
      </c>
      <c r="D83" s="17" t="s">
        <v>2064</v>
      </c>
      <c r="E83" s="17" t="s">
        <v>2061</v>
      </c>
      <c r="F83" s="19">
        <v>875602663</v>
      </c>
      <c r="G83" s="17" t="s">
        <v>2060</v>
      </c>
      <c r="H83" s="17" t="s">
        <v>1937</v>
      </c>
      <c r="I83" s="18" t="s">
        <v>159</v>
      </c>
      <c r="J83" s="16" t="s">
        <v>2065</v>
      </c>
      <c r="K83" s="17">
        <v>1</v>
      </c>
      <c r="L83" s="18">
        <v>560</v>
      </c>
      <c r="M83" s="16" t="s">
        <v>2057</v>
      </c>
      <c r="N83" s="17">
        <v>1</v>
      </c>
      <c r="O83" s="18">
        <v>280</v>
      </c>
      <c r="P83" s="16" t="s">
        <v>2058</v>
      </c>
      <c r="Q83" s="17">
        <v>1</v>
      </c>
      <c r="R83" s="18">
        <v>25000</v>
      </c>
      <c r="S83" s="16" t="s">
        <v>40</v>
      </c>
      <c r="T83" s="17">
        <v>0</v>
      </c>
      <c r="U83" s="18">
        <v>0</v>
      </c>
      <c r="V83" s="16" t="s">
        <v>40</v>
      </c>
      <c r="W83" s="17">
        <v>0</v>
      </c>
      <c r="X83" s="18">
        <v>0</v>
      </c>
      <c r="Y83" s="15">
        <v>0</v>
      </c>
      <c r="Z83" s="15">
        <v>25840</v>
      </c>
    </row>
    <row r="84" spans="1:26" x14ac:dyDescent="0.2">
      <c r="A84" s="15">
        <v>106</v>
      </c>
      <c r="B84" s="30">
        <v>42861.688392129632</v>
      </c>
      <c r="D84" s="17">
        <v>0</v>
      </c>
      <c r="E84" s="17">
        <v>0</v>
      </c>
      <c r="F84" s="19">
        <v>0</v>
      </c>
      <c r="G84" s="17" t="s">
        <v>40</v>
      </c>
      <c r="H84" s="17">
        <v>0</v>
      </c>
      <c r="I84" s="18">
        <v>0</v>
      </c>
      <c r="J84" s="16" t="s">
        <v>40</v>
      </c>
      <c r="K84" s="17">
        <v>0</v>
      </c>
      <c r="L84" s="18">
        <v>0</v>
      </c>
      <c r="M84" s="16" t="s">
        <v>40</v>
      </c>
      <c r="N84" s="17">
        <v>0</v>
      </c>
      <c r="O84" s="18">
        <v>0</v>
      </c>
      <c r="P84" s="16" t="s">
        <v>40</v>
      </c>
      <c r="Q84" s="17">
        <v>0</v>
      </c>
      <c r="R84" s="18">
        <v>0</v>
      </c>
      <c r="S84" s="16" t="s">
        <v>40</v>
      </c>
      <c r="T84" s="17">
        <v>0</v>
      </c>
      <c r="U84" s="18">
        <v>0</v>
      </c>
      <c r="V84" s="16" t="s">
        <v>40</v>
      </c>
      <c r="W84" s="17">
        <v>0</v>
      </c>
      <c r="X84" s="18">
        <v>0</v>
      </c>
      <c r="Y84" s="15">
        <v>0</v>
      </c>
      <c r="Z84" s="15">
        <v>0</v>
      </c>
    </row>
    <row r="85" spans="1:26" x14ac:dyDescent="0.2">
      <c r="A85" s="15">
        <v>107</v>
      </c>
      <c r="B85" s="30">
        <v>42861.688982060186</v>
      </c>
      <c r="D85" s="17" t="s">
        <v>2059</v>
      </c>
      <c r="E85" s="17">
        <v>0</v>
      </c>
      <c r="F85" s="19">
        <v>0</v>
      </c>
      <c r="G85" s="17" t="s">
        <v>40</v>
      </c>
      <c r="H85" s="17">
        <v>0</v>
      </c>
      <c r="I85" s="18">
        <v>0</v>
      </c>
      <c r="J85" s="16" t="s">
        <v>40</v>
      </c>
      <c r="K85" s="17">
        <v>0</v>
      </c>
      <c r="L85" s="18">
        <v>0</v>
      </c>
      <c r="M85" s="16" t="s">
        <v>40</v>
      </c>
      <c r="N85" s="17">
        <v>0</v>
      </c>
      <c r="O85" s="18">
        <v>0</v>
      </c>
      <c r="P85" s="16" t="s">
        <v>40</v>
      </c>
      <c r="Q85" s="17">
        <v>0</v>
      </c>
      <c r="R85" s="18">
        <v>0</v>
      </c>
      <c r="S85" s="16" t="s">
        <v>40</v>
      </c>
      <c r="T85" s="17">
        <v>0</v>
      </c>
      <c r="U85" s="18">
        <v>0</v>
      </c>
      <c r="V85" s="16" t="s">
        <v>40</v>
      </c>
      <c r="W85" s="17">
        <v>0</v>
      </c>
      <c r="X85" s="18">
        <v>0</v>
      </c>
      <c r="Y85" s="15">
        <v>0</v>
      </c>
      <c r="Z85" s="15">
        <v>0</v>
      </c>
    </row>
    <row r="86" spans="1:26" x14ac:dyDescent="0.2">
      <c r="A86" s="15">
        <v>108</v>
      </c>
      <c r="B86" s="30">
        <v>42861.692085763891</v>
      </c>
      <c r="D86" s="17" t="s">
        <v>2059</v>
      </c>
      <c r="E86" s="17" t="s">
        <v>2061</v>
      </c>
      <c r="F86" s="19">
        <v>875602663</v>
      </c>
      <c r="G86" s="17" t="s">
        <v>2060</v>
      </c>
      <c r="H86" s="17" t="s">
        <v>1937</v>
      </c>
      <c r="I86" s="18" t="s">
        <v>159</v>
      </c>
      <c r="J86" s="16" t="s">
        <v>2063</v>
      </c>
      <c r="K86" s="17">
        <v>1</v>
      </c>
      <c r="L86" s="18">
        <v>560</v>
      </c>
      <c r="M86" s="16" t="s">
        <v>2057</v>
      </c>
      <c r="N86" s="17">
        <v>1</v>
      </c>
      <c r="O86" s="18">
        <v>280</v>
      </c>
      <c r="P86" s="16" t="s">
        <v>2066</v>
      </c>
      <c r="Q86" s="17">
        <v>1</v>
      </c>
      <c r="R86" s="18">
        <v>25000</v>
      </c>
      <c r="S86" s="16" t="s">
        <v>40</v>
      </c>
      <c r="T86" s="17">
        <v>0</v>
      </c>
      <c r="U86" s="18">
        <v>0</v>
      </c>
      <c r="V86" s="16" t="s">
        <v>40</v>
      </c>
      <c r="W86" s="17">
        <v>0</v>
      </c>
      <c r="X86" s="18">
        <v>0</v>
      </c>
      <c r="Y86" s="15">
        <v>0</v>
      </c>
      <c r="Z86" s="15">
        <v>25840</v>
      </c>
    </row>
    <row r="87" spans="1:26" x14ac:dyDescent="0.2">
      <c r="A87" s="15">
        <v>109</v>
      </c>
      <c r="B87" s="30">
        <v>42868.452963888885</v>
      </c>
      <c r="D87" s="17" t="s">
        <v>2067</v>
      </c>
      <c r="E87" s="17" t="s">
        <v>2068</v>
      </c>
      <c r="F87" s="19">
        <v>814392770</v>
      </c>
      <c r="G87" s="17" t="s">
        <v>1955</v>
      </c>
      <c r="H87" s="17" t="s">
        <v>2047</v>
      </c>
      <c r="I87" s="18" t="s">
        <v>202</v>
      </c>
      <c r="J87" s="16" t="s">
        <v>2069</v>
      </c>
      <c r="K87" s="17">
        <v>1</v>
      </c>
      <c r="L87" s="18">
        <v>2000</v>
      </c>
      <c r="M87" s="16" t="s">
        <v>40</v>
      </c>
      <c r="N87" s="17">
        <v>0</v>
      </c>
      <c r="O87" s="18">
        <v>0</v>
      </c>
      <c r="P87" s="16" t="s">
        <v>40</v>
      </c>
      <c r="Q87" s="17">
        <v>0</v>
      </c>
      <c r="R87" s="18">
        <v>0</v>
      </c>
      <c r="S87" s="16" t="s">
        <v>40</v>
      </c>
      <c r="T87" s="17">
        <v>0</v>
      </c>
      <c r="U87" s="18">
        <v>0</v>
      </c>
      <c r="V87" s="16" t="s">
        <v>40</v>
      </c>
      <c r="W87" s="17">
        <v>0</v>
      </c>
      <c r="X87" s="18">
        <v>0</v>
      </c>
      <c r="Y87" s="15">
        <v>0</v>
      </c>
      <c r="Z87" s="15">
        <v>2000</v>
      </c>
    </row>
    <row r="88" spans="1:26" x14ac:dyDescent="0.2">
      <c r="A88" s="15">
        <v>110</v>
      </c>
      <c r="B88" s="30">
        <v>42868.483753009263</v>
      </c>
      <c r="D88" s="17" t="s">
        <v>2070</v>
      </c>
      <c r="E88" s="17" t="s">
        <v>2072</v>
      </c>
      <c r="F88" s="19">
        <v>909581846</v>
      </c>
      <c r="G88" s="17" t="s">
        <v>2071</v>
      </c>
      <c r="H88" s="17" t="s">
        <v>2048</v>
      </c>
      <c r="I88" s="18" t="s">
        <v>1729</v>
      </c>
      <c r="J88" s="16" t="s">
        <v>2073</v>
      </c>
      <c r="K88" s="17">
        <v>1</v>
      </c>
      <c r="L88" s="18">
        <v>2000</v>
      </c>
      <c r="M88" s="16" t="s">
        <v>40</v>
      </c>
      <c r="N88" s="17">
        <v>0</v>
      </c>
      <c r="O88" s="18">
        <v>0</v>
      </c>
      <c r="P88" s="16" t="s">
        <v>40</v>
      </c>
      <c r="Q88" s="17">
        <v>0</v>
      </c>
      <c r="R88" s="18">
        <v>0</v>
      </c>
      <c r="S88" s="16" t="s">
        <v>40</v>
      </c>
      <c r="T88" s="17">
        <v>0</v>
      </c>
      <c r="U88" s="18">
        <v>0</v>
      </c>
      <c r="V88" s="16" t="s">
        <v>40</v>
      </c>
      <c r="W88" s="17">
        <v>0</v>
      </c>
      <c r="X88" s="18">
        <v>0</v>
      </c>
      <c r="Y88" s="15">
        <v>0</v>
      </c>
      <c r="Z88" s="15">
        <v>2000</v>
      </c>
    </row>
    <row r="89" spans="1:26" x14ac:dyDescent="0.2">
      <c r="A89" s="15">
        <v>111</v>
      </c>
      <c r="B89" s="30">
        <v>42868.621733217595</v>
      </c>
      <c r="D89" s="17" t="s">
        <v>159</v>
      </c>
      <c r="E89" s="17" t="s">
        <v>2076</v>
      </c>
      <c r="F89" s="19">
        <v>818112705</v>
      </c>
      <c r="G89" s="17" t="s">
        <v>2074</v>
      </c>
      <c r="H89" s="17" t="s">
        <v>2075</v>
      </c>
      <c r="I89" s="18" t="s">
        <v>159</v>
      </c>
      <c r="J89" s="16" t="s">
        <v>2077</v>
      </c>
      <c r="K89" s="17">
        <v>1</v>
      </c>
      <c r="L89" s="18">
        <v>2500</v>
      </c>
      <c r="M89" s="16" t="s">
        <v>2078</v>
      </c>
      <c r="N89" s="17">
        <v>1</v>
      </c>
      <c r="O89" s="18">
        <v>800</v>
      </c>
      <c r="P89" s="16" t="s">
        <v>2079</v>
      </c>
      <c r="Q89" s="17">
        <v>1</v>
      </c>
      <c r="R89" s="18">
        <v>800</v>
      </c>
      <c r="S89" s="16" t="s">
        <v>1803</v>
      </c>
      <c r="T89" s="17">
        <v>1</v>
      </c>
      <c r="U89" s="18">
        <v>800</v>
      </c>
      <c r="V89" s="16" t="s">
        <v>40</v>
      </c>
      <c r="W89" s="17">
        <v>0</v>
      </c>
      <c r="X89" s="18">
        <v>0</v>
      </c>
      <c r="Y89" s="15">
        <v>0</v>
      </c>
      <c r="Z89" s="15">
        <v>4900</v>
      </c>
    </row>
    <row r="90" spans="1:26" x14ac:dyDescent="0.2">
      <c r="A90" s="15">
        <v>112</v>
      </c>
      <c r="B90" s="30">
        <v>42872.595435648145</v>
      </c>
      <c r="C90" s="16">
        <v>1702082</v>
      </c>
      <c r="D90" s="17" t="s">
        <v>1988</v>
      </c>
      <c r="E90" s="17" t="s">
        <v>305</v>
      </c>
      <c r="F90" s="19">
        <v>915758564</v>
      </c>
      <c r="G90" s="17" t="s">
        <v>2082</v>
      </c>
      <c r="H90" s="17" t="s">
        <v>1862</v>
      </c>
      <c r="I90" s="18" t="s">
        <v>1709</v>
      </c>
      <c r="J90" s="16" t="s">
        <v>2080</v>
      </c>
      <c r="K90" s="17">
        <v>0</v>
      </c>
      <c r="L90" s="18">
        <v>1300</v>
      </c>
      <c r="M90" s="16" t="s">
        <v>2081</v>
      </c>
      <c r="N90" s="17">
        <v>1</v>
      </c>
      <c r="O90" s="18">
        <v>4000</v>
      </c>
      <c r="P90" s="16" t="s">
        <v>40</v>
      </c>
      <c r="Q90" s="17">
        <v>0</v>
      </c>
      <c r="R90" s="18">
        <v>0</v>
      </c>
      <c r="S90" s="16" t="s">
        <v>40</v>
      </c>
      <c r="T90" s="17">
        <v>0</v>
      </c>
      <c r="U90" s="18">
        <v>0</v>
      </c>
      <c r="V90" s="16" t="s">
        <v>40</v>
      </c>
      <c r="W90" s="17">
        <v>0</v>
      </c>
      <c r="X90" s="18">
        <v>0</v>
      </c>
      <c r="Y90" s="15">
        <v>0</v>
      </c>
      <c r="Z90" s="15">
        <v>5300</v>
      </c>
    </row>
    <row r="91" spans="1:26" x14ac:dyDescent="0.2">
      <c r="A91" s="15">
        <v>113</v>
      </c>
      <c r="B91" s="30">
        <v>42872.705068750001</v>
      </c>
      <c r="C91" s="16">
        <v>1703016</v>
      </c>
      <c r="D91" s="17" t="s">
        <v>1998</v>
      </c>
      <c r="E91" s="17" t="s">
        <v>305</v>
      </c>
      <c r="F91" s="19">
        <v>892089224</v>
      </c>
      <c r="G91" s="17" t="s">
        <v>2101</v>
      </c>
      <c r="H91" s="17" t="s">
        <v>1999</v>
      </c>
      <c r="I91" s="18" t="s">
        <v>1715</v>
      </c>
      <c r="J91" s="16" t="s">
        <v>2100</v>
      </c>
      <c r="K91" s="17">
        <v>1</v>
      </c>
      <c r="L91" s="18">
        <v>2000</v>
      </c>
      <c r="M91" s="16" t="s">
        <v>40</v>
      </c>
      <c r="N91" s="17">
        <v>0</v>
      </c>
      <c r="O91" s="18">
        <v>0</v>
      </c>
      <c r="P91" s="16" t="s">
        <v>40</v>
      </c>
      <c r="Q91" s="17">
        <v>0</v>
      </c>
      <c r="R91" s="18">
        <v>0</v>
      </c>
      <c r="S91" s="16" t="s">
        <v>40</v>
      </c>
      <c r="T91" s="17">
        <v>0</v>
      </c>
      <c r="U91" s="18">
        <v>0</v>
      </c>
      <c r="V91" s="16" t="s">
        <v>40</v>
      </c>
      <c r="W91" s="17">
        <v>0</v>
      </c>
      <c r="X91" s="18">
        <v>0</v>
      </c>
      <c r="Y91" s="15">
        <v>0</v>
      </c>
      <c r="Z91" s="15">
        <v>5300</v>
      </c>
    </row>
    <row r="92" spans="1:26" x14ac:dyDescent="0.2">
      <c r="A92" s="15">
        <v>114</v>
      </c>
      <c r="B92" s="30">
        <v>42874.703643402776</v>
      </c>
      <c r="C92" s="16">
        <v>1702067</v>
      </c>
      <c r="D92" s="17" t="s">
        <v>1985</v>
      </c>
      <c r="E92" s="17" t="s">
        <v>263</v>
      </c>
      <c r="F92" s="19">
        <v>898197795</v>
      </c>
      <c r="G92" s="17" t="s">
        <v>2108</v>
      </c>
      <c r="H92" s="17" t="s">
        <v>1986</v>
      </c>
      <c r="I92" s="18" t="s">
        <v>1699</v>
      </c>
      <c r="J92" s="16" t="s">
        <v>2102</v>
      </c>
      <c r="K92" s="17">
        <v>0.5</v>
      </c>
      <c r="L92" s="18">
        <v>1500</v>
      </c>
      <c r="M92" s="16" t="s">
        <v>40</v>
      </c>
      <c r="N92" s="17">
        <v>0</v>
      </c>
      <c r="O92" s="18">
        <v>0</v>
      </c>
      <c r="P92" s="16" t="s">
        <v>40</v>
      </c>
      <c r="Q92" s="17">
        <v>0</v>
      </c>
      <c r="R92" s="18">
        <v>0</v>
      </c>
      <c r="S92" s="16" t="s">
        <v>40</v>
      </c>
      <c r="T92" s="17">
        <v>0</v>
      </c>
      <c r="U92" s="18">
        <v>0</v>
      </c>
      <c r="V92" s="16" t="s">
        <v>40</v>
      </c>
      <c r="W92" s="17">
        <v>0</v>
      </c>
      <c r="X92" s="18">
        <v>0</v>
      </c>
      <c r="Y92" s="15">
        <v>0</v>
      </c>
      <c r="Z92" s="15">
        <v>750</v>
      </c>
    </row>
    <row r="93" spans="1:26" x14ac:dyDescent="0.2">
      <c r="A93" s="15">
        <v>115</v>
      </c>
      <c r="B93" s="30">
        <v>42875.41116354167</v>
      </c>
      <c r="D93" s="17" t="s">
        <v>2109</v>
      </c>
      <c r="E93" s="17" t="s">
        <v>2111</v>
      </c>
      <c r="F93" s="19">
        <v>879676971</v>
      </c>
      <c r="G93" s="17" t="s">
        <v>2110</v>
      </c>
      <c r="H93" s="17" t="s">
        <v>1538</v>
      </c>
      <c r="I93" s="18" t="s">
        <v>207</v>
      </c>
      <c r="J93" s="16" t="s">
        <v>2112</v>
      </c>
      <c r="K93" s="17">
        <v>1</v>
      </c>
      <c r="L93" s="18">
        <v>2800</v>
      </c>
      <c r="M93" s="16" t="s">
        <v>40</v>
      </c>
      <c r="N93" s="17">
        <v>0</v>
      </c>
      <c r="O93" s="18">
        <v>0</v>
      </c>
      <c r="P93" s="16" t="s">
        <v>40</v>
      </c>
      <c r="Q93" s="17">
        <v>0</v>
      </c>
      <c r="R93" s="18">
        <v>0</v>
      </c>
      <c r="S93" s="16" t="s">
        <v>40</v>
      </c>
      <c r="T93" s="17">
        <v>0</v>
      </c>
      <c r="U93" s="18">
        <v>0</v>
      </c>
      <c r="V93" s="16" t="s">
        <v>40</v>
      </c>
      <c r="W93" s="17">
        <v>0</v>
      </c>
      <c r="X93" s="18">
        <v>0</v>
      </c>
      <c r="Y93" s="15">
        <v>0</v>
      </c>
      <c r="Z93" s="15">
        <v>2800</v>
      </c>
    </row>
    <row r="94" spans="1:26" x14ac:dyDescent="0.2">
      <c r="A94" s="15">
        <v>116</v>
      </c>
      <c r="B94" s="30">
        <v>42879.528756828702</v>
      </c>
      <c r="D94" s="17" t="s">
        <v>159</v>
      </c>
      <c r="E94" s="17">
        <v>0</v>
      </c>
      <c r="F94" s="19">
        <v>0</v>
      </c>
      <c r="G94" s="17" t="s">
        <v>2113</v>
      </c>
      <c r="H94" s="17">
        <v>0</v>
      </c>
      <c r="I94" s="18">
        <v>0</v>
      </c>
      <c r="J94" s="16" t="s">
        <v>2114</v>
      </c>
      <c r="K94" s="17">
        <v>1</v>
      </c>
      <c r="L94" s="18">
        <v>2280</v>
      </c>
      <c r="M94" s="16" t="s">
        <v>2115</v>
      </c>
      <c r="N94" s="17">
        <v>2</v>
      </c>
      <c r="O94" s="18">
        <v>350</v>
      </c>
      <c r="P94" s="16" t="s">
        <v>2116</v>
      </c>
      <c r="Q94" s="17">
        <v>1</v>
      </c>
      <c r="R94" s="18">
        <v>1380</v>
      </c>
      <c r="S94" s="16" t="s">
        <v>2117</v>
      </c>
      <c r="T94" s="17">
        <v>1</v>
      </c>
      <c r="U94" s="18">
        <v>800</v>
      </c>
      <c r="V94" s="16" t="s">
        <v>1803</v>
      </c>
      <c r="W94" s="17">
        <v>1</v>
      </c>
      <c r="X94" s="18">
        <v>800</v>
      </c>
      <c r="Y94" s="15">
        <v>0</v>
      </c>
      <c r="Z94" s="15">
        <v>5960</v>
      </c>
    </row>
    <row r="95" spans="1:26" x14ac:dyDescent="0.2">
      <c r="A95" s="15">
        <v>117</v>
      </c>
      <c r="B95" s="30">
        <v>42880.719431712962</v>
      </c>
      <c r="C95" s="16">
        <v>1705028</v>
      </c>
      <c r="D95" s="17" t="s">
        <v>2086</v>
      </c>
      <c r="E95" s="17" t="s">
        <v>506</v>
      </c>
      <c r="F95" s="19">
        <v>843309064</v>
      </c>
      <c r="G95" s="17" t="s">
        <v>1681</v>
      </c>
      <c r="H95" s="17" t="s">
        <v>2087</v>
      </c>
      <c r="I95" s="18" t="s">
        <v>2118</v>
      </c>
      <c r="J95" s="16" t="s">
        <v>1928</v>
      </c>
      <c r="K95" s="17">
        <v>1</v>
      </c>
      <c r="L95" s="18">
        <v>1000</v>
      </c>
      <c r="M95" s="16" t="s">
        <v>40</v>
      </c>
      <c r="N95" s="17">
        <v>0</v>
      </c>
      <c r="P95" s="16" t="s">
        <v>40</v>
      </c>
      <c r="Q95" s="17">
        <v>0</v>
      </c>
      <c r="R95" s="18">
        <v>0</v>
      </c>
      <c r="S95" s="16" t="s">
        <v>40</v>
      </c>
      <c r="T95" s="17">
        <v>0</v>
      </c>
      <c r="U95" s="18">
        <v>0</v>
      </c>
      <c r="V95" s="16" t="s">
        <v>40</v>
      </c>
      <c r="W95" s="17">
        <v>0</v>
      </c>
      <c r="X95" s="18">
        <v>0</v>
      </c>
      <c r="Y95" s="15">
        <v>0</v>
      </c>
      <c r="Z95" s="15">
        <v>1000</v>
      </c>
    </row>
    <row r="96" spans="1:26" x14ac:dyDescent="0.2">
      <c r="A96" s="15">
        <v>118</v>
      </c>
      <c r="B96" s="30">
        <v>42881.432218055554</v>
      </c>
      <c r="C96" s="16">
        <v>1701020</v>
      </c>
      <c r="D96" s="17" t="s">
        <v>1969</v>
      </c>
      <c r="E96" s="17" t="s">
        <v>305</v>
      </c>
      <c r="F96" s="19">
        <v>879286872</v>
      </c>
      <c r="G96" s="17" t="s">
        <v>2120</v>
      </c>
      <c r="H96" s="17" t="s">
        <v>1970</v>
      </c>
      <c r="I96" s="18" t="s">
        <v>2121</v>
      </c>
      <c r="J96" s="16" t="s">
        <v>1671</v>
      </c>
      <c r="K96" s="17">
        <v>1</v>
      </c>
      <c r="L96" s="18">
        <v>6000</v>
      </c>
      <c r="M96" s="16" t="s">
        <v>2119</v>
      </c>
      <c r="N96" s="17">
        <v>1</v>
      </c>
      <c r="O96" s="18">
        <v>1800</v>
      </c>
      <c r="P96" s="16" t="s">
        <v>40</v>
      </c>
      <c r="Q96" s="17">
        <v>0</v>
      </c>
      <c r="R96" s="18">
        <v>0</v>
      </c>
      <c r="S96" s="16" t="s">
        <v>40</v>
      </c>
      <c r="T96" s="17">
        <v>0</v>
      </c>
      <c r="U96" s="18">
        <v>0</v>
      </c>
      <c r="V96" s="16" t="s">
        <v>40</v>
      </c>
      <c r="W96" s="17">
        <v>0</v>
      </c>
      <c r="X96" s="18">
        <v>0</v>
      </c>
      <c r="Y96" s="15">
        <v>0</v>
      </c>
      <c r="Z96" s="15">
        <v>7800</v>
      </c>
    </row>
    <row r="97" spans="1:26" x14ac:dyDescent="0.2">
      <c r="A97" s="15">
        <v>119</v>
      </c>
      <c r="B97" s="30">
        <v>42882.375208333331</v>
      </c>
      <c r="C97" s="16">
        <v>1703071</v>
      </c>
      <c r="D97" s="17" t="s">
        <v>2015</v>
      </c>
      <c r="E97" s="17" t="s">
        <v>263</v>
      </c>
      <c r="F97" s="19">
        <v>882237699</v>
      </c>
      <c r="G97" s="17" t="s">
        <v>2124</v>
      </c>
      <c r="H97" s="17" t="s">
        <v>2016</v>
      </c>
      <c r="I97" s="18" t="s">
        <v>2125</v>
      </c>
      <c r="J97" s="16" t="s">
        <v>2123</v>
      </c>
      <c r="K97" s="17">
        <v>1</v>
      </c>
      <c r="L97" s="18">
        <v>25000</v>
      </c>
      <c r="M97" s="16" t="s">
        <v>40</v>
      </c>
      <c r="N97" s="17">
        <v>0</v>
      </c>
      <c r="P97" s="16" t="s">
        <v>40</v>
      </c>
      <c r="Q97" s="17">
        <v>0</v>
      </c>
      <c r="R97" s="18">
        <v>0</v>
      </c>
      <c r="S97" s="16" t="s">
        <v>40</v>
      </c>
      <c r="T97" s="17">
        <v>0</v>
      </c>
      <c r="U97" s="18">
        <v>0</v>
      </c>
      <c r="V97" s="16" t="s">
        <v>40</v>
      </c>
      <c r="W97" s="17">
        <v>0</v>
      </c>
      <c r="X97" s="18">
        <v>0</v>
      </c>
      <c r="Y97" s="15">
        <v>0</v>
      </c>
      <c r="Z97" s="15">
        <v>25000</v>
      </c>
    </row>
    <row r="98" spans="1:26" x14ac:dyDescent="0.2">
      <c r="A98" s="15">
        <v>120</v>
      </c>
      <c r="B98" s="30">
        <v>42882.424994444445</v>
      </c>
      <c r="C98" s="16">
        <v>1703063</v>
      </c>
      <c r="D98" s="17" t="s">
        <v>2010</v>
      </c>
      <c r="E98" s="17" t="s">
        <v>1179</v>
      </c>
      <c r="F98" s="19">
        <v>862520221</v>
      </c>
      <c r="G98" s="17" t="s">
        <v>2128</v>
      </c>
      <c r="H98" s="17" t="s">
        <v>2011</v>
      </c>
      <c r="I98" s="18" t="s">
        <v>2129</v>
      </c>
      <c r="J98" s="16" t="s">
        <v>2126</v>
      </c>
      <c r="K98" s="17">
        <v>1</v>
      </c>
      <c r="L98" s="18">
        <v>250</v>
      </c>
      <c r="M98" s="16" t="s">
        <v>1652</v>
      </c>
      <c r="N98" s="17">
        <v>1</v>
      </c>
      <c r="O98" s="18">
        <v>600</v>
      </c>
      <c r="P98" s="16" t="s">
        <v>2127</v>
      </c>
      <c r="Q98" s="17">
        <v>0.5</v>
      </c>
      <c r="R98" s="18">
        <v>5800</v>
      </c>
      <c r="S98" s="16" t="s">
        <v>40</v>
      </c>
      <c r="T98" s="17">
        <v>0</v>
      </c>
      <c r="U98" s="18">
        <v>0</v>
      </c>
      <c r="V98" s="16" t="s">
        <v>40</v>
      </c>
      <c r="W98" s="17">
        <v>0</v>
      </c>
      <c r="X98" s="18">
        <v>0</v>
      </c>
      <c r="Y98" s="15">
        <v>0</v>
      </c>
      <c r="Z98" s="15">
        <v>3750</v>
      </c>
    </row>
    <row r="99" spans="1:26" x14ac:dyDescent="0.2">
      <c r="A99" s="15">
        <v>121</v>
      </c>
      <c r="B99" s="30">
        <v>42885.412260069446</v>
      </c>
      <c r="D99" s="17">
        <v>0</v>
      </c>
      <c r="E99" s="17">
        <v>0</v>
      </c>
      <c r="F99" s="19">
        <v>0</v>
      </c>
      <c r="G99" s="17" t="s">
        <v>40</v>
      </c>
      <c r="H99" s="17">
        <v>0</v>
      </c>
      <c r="I99" s="18">
        <v>0</v>
      </c>
      <c r="J99" s="16" t="s">
        <v>2136</v>
      </c>
      <c r="K99" s="17">
        <v>1</v>
      </c>
      <c r="L99" s="18">
        <v>1000</v>
      </c>
      <c r="M99" s="16" t="s">
        <v>40</v>
      </c>
      <c r="N99" s="17">
        <v>0</v>
      </c>
      <c r="P99" s="16" t="s">
        <v>40</v>
      </c>
      <c r="Q99" s="17">
        <v>0</v>
      </c>
      <c r="R99" s="18">
        <v>0</v>
      </c>
      <c r="S99" s="16" t="s">
        <v>40</v>
      </c>
      <c r="T99" s="17">
        <v>0</v>
      </c>
      <c r="U99" s="18">
        <v>0</v>
      </c>
      <c r="V99" s="16" t="s">
        <v>40</v>
      </c>
      <c r="W99" s="17">
        <v>0</v>
      </c>
      <c r="X99" s="18">
        <v>0</v>
      </c>
      <c r="Y99" s="15">
        <v>0</v>
      </c>
      <c r="Z99" s="15">
        <v>1000</v>
      </c>
    </row>
    <row r="100" spans="1:26" x14ac:dyDescent="0.2">
      <c r="A100" s="15">
        <v>122</v>
      </c>
      <c r="B100" s="30">
        <v>42885.44061041667</v>
      </c>
      <c r="D100" s="17" t="s">
        <v>2137</v>
      </c>
      <c r="E100" s="17" t="s">
        <v>2138</v>
      </c>
      <c r="F100" s="19">
        <v>891090696</v>
      </c>
      <c r="G100" s="17" t="s">
        <v>1839</v>
      </c>
      <c r="H100" s="17" t="s">
        <v>2139</v>
      </c>
      <c r="I100" s="18" t="s">
        <v>202</v>
      </c>
      <c r="J100" s="16" t="s">
        <v>2136</v>
      </c>
      <c r="K100" s="17">
        <v>1</v>
      </c>
      <c r="L100" s="18">
        <v>1000</v>
      </c>
      <c r="M100" s="16" t="s">
        <v>40</v>
      </c>
      <c r="N100" s="17">
        <v>0</v>
      </c>
      <c r="P100" s="16" t="s">
        <v>40</v>
      </c>
      <c r="Q100" s="17">
        <v>0</v>
      </c>
      <c r="R100" s="18">
        <v>0</v>
      </c>
      <c r="S100" s="16" t="s">
        <v>40</v>
      </c>
      <c r="T100" s="17">
        <v>0</v>
      </c>
      <c r="U100" s="18">
        <v>0</v>
      </c>
      <c r="V100" s="16" t="s">
        <v>40</v>
      </c>
      <c r="W100" s="17">
        <v>0</v>
      </c>
      <c r="X100" s="18">
        <v>0</v>
      </c>
      <c r="Y100" s="15">
        <v>0</v>
      </c>
      <c r="Z100" s="15">
        <v>1000</v>
      </c>
    </row>
    <row r="101" spans="1:26" x14ac:dyDescent="0.2">
      <c r="A101" s="15">
        <v>123</v>
      </c>
      <c r="B101" s="30">
        <v>42885.491779398151</v>
      </c>
      <c r="D101" s="17" t="s">
        <v>2140</v>
      </c>
      <c r="E101" s="17" t="s">
        <v>2141</v>
      </c>
      <c r="F101" s="19">
        <v>839154308</v>
      </c>
      <c r="G101" s="17" t="s">
        <v>2144</v>
      </c>
      <c r="H101" s="17" t="s">
        <v>2142</v>
      </c>
      <c r="I101" s="18" t="s">
        <v>202</v>
      </c>
      <c r="J101" s="16" t="s">
        <v>2143</v>
      </c>
      <c r="K101" s="17">
        <v>1</v>
      </c>
      <c r="L101" s="18">
        <v>5000</v>
      </c>
      <c r="M101" s="16" t="s">
        <v>40</v>
      </c>
      <c r="N101" s="17">
        <v>0</v>
      </c>
      <c r="P101" s="16" t="s">
        <v>40</v>
      </c>
      <c r="Q101" s="17">
        <v>0</v>
      </c>
      <c r="R101" s="18">
        <v>0</v>
      </c>
      <c r="S101" s="16" t="s">
        <v>40</v>
      </c>
      <c r="T101" s="17">
        <v>0</v>
      </c>
      <c r="U101" s="18">
        <v>0</v>
      </c>
      <c r="V101" s="16" t="s">
        <v>40</v>
      </c>
      <c r="W101" s="17">
        <v>0</v>
      </c>
      <c r="X101" s="18">
        <v>0</v>
      </c>
      <c r="Y101" s="15">
        <v>0</v>
      </c>
      <c r="Z101" s="15">
        <v>5000</v>
      </c>
    </row>
    <row r="102" spans="1:26" x14ac:dyDescent="0.2">
      <c r="A102" s="15">
        <v>124</v>
      </c>
      <c r="B102" s="30">
        <v>42885.741789699074</v>
      </c>
      <c r="D102" s="17" t="s">
        <v>2145</v>
      </c>
      <c r="E102" s="17" t="s">
        <v>2147</v>
      </c>
      <c r="F102" s="19">
        <v>984573719</v>
      </c>
      <c r="G102" s="17" t="s">
        <v>2146</v>
      </c>
      <c r="H102" s="17" t="s">
        <v>2148</v>
      </c>
      <c r="I102" s="18" t="s">
        <v>337</v>
      </c>
      <c r="J102" s="16" t="s">
        <v>2149</v>
      </c>
      <c r="K102" s="17">
        <v>1</v>
      </c>
      <c r="L102" s="18">
        <v>2800</v>
      </c>
      <c r="M102" s="16" t="s">
        <v>2150</v>
      </c>
      <c r="N102" s="17">
        <v>1</v>
      </c>
      <c r="O102" s="18">
        <v>2200</v>
      </c>
      <c r="P102" s="16" t="s">
        <v>40</v>
      </c>
      <c r="Q102" s="17">
        <v>0</v>
      </c>
      <c r="R102" s="18">
        <v>0</v>
      </c>
      <c r="S102" s="16" t="s">
        <v>40</v>
      </c>
      <c r="T102" s="17">
        <v>0</v>
      </c>
      <c r="U102" s="18">
        <v>0</v>
      </c>
      <c r="V102" s="16" t="s">
        <v>40</v>
      </c>
      <c r="W102" s="17">
        <v>0</v>
      </c>
      <c r="X102" s="18">
        <v>0</v>
      </c>
      <c r="Y102" s="15">
        <v>0</v>
      </c>
      <c r="Z102" s="15">
        <v>5000</v>
      </c>
    </row>
    <row r="103" spans="1:26" x14ac:dyDescent="0.2">
      <c r="A103" s="15">
        <v>125</v>
      </c>
      <c r="B103" s="30">
        <v>42886.706589467591</v>
      </c>
      <c r="C103" s="16">
        <v>1703050</v>
      </c>
      <c r="D103" s="17" t="s">
        <v>2006</v>
      </c>
      <c r="E103" s="17" t="s">
        <v>979</v>
      </c>
      <c r="F103" s="19">
        <v>944930087</v>
      </c>
      <c r="G103" s="17" t="s">
        <v>2152</v>
      </c>
      <c r="H103" s="17" t="s">
        <v>2007</v>
      </c>
      <c r="I103" s="18" t="s">
        <v>2153</v>
      </c>
      <c r="J103" s="16" t="s">
        <v>2151</v>
      </c>
      <c r="K103" s="17">
        <v>1</v>
      </c>
      <c r="L103" s="18">
        <v>1000</v>
      </c>
      <c r="M103" s="16" t="s">
        <v>40</v>
      </c>
      <c r="N103" s="17">
        <v>0</v>
      </c>
      <c r="P103" s="16" t="s">
        <v>40</v>
      </c>
      <c r="Q103" s="17">
        <v>0</v>
      </c>
      <c r="R103" s="18">
        <v>0</v>
      </c>
      <c r="S103" s="16" t="s">
        <v>40</v>
      </c>
      <c r="T103" s="17">
        <v>0</v>
      </c>
      <c r="U103" s="18">
        <v>0</v>
      </c>
      <c r="V103" s="16" t="s">
        <v>40</v>
      </c>
      <c r="W103" s="17">
        <v>0</v>
      </c>
      <c r="X103" s="18">
        <v>0</v>
      </c>
      <c r="Y103" s="15">
        <v>0</v>
      </c>
      <c r="Z103" s="15">
        <v>1000</v>
      </c>
    </row>
    <row r="104" spans="1:26" x14ac:dyDescent="0.2">
      <c r="A104" s="15">
        <v>126</v>
      </c>
      <c r="B104" s="30">
        <v>42887.684432986112</v>
      </c>
      <c r="C104" s="16">
        <v>1702084</v>
      </c>
      <c r="D104" s="17" t="s">
        <v>1989</v>
      </c>
      <c r="E104" s="17" t="s">
        <v>286</v>
      </c>
      <c r="F104" s="19">
        <v>894949490</v>
      </c>
      <c r="G104" s="17" t="s">
        <v>2154</v>
      </c>
      <c r="H104" s="17" t="s">
        <v>1990</v>
      </c>
      <c r="I104" s="18" t="s">
        <v>2155</v>
      </c>
      <c r="J104" s="16" t="s">
        <v>1671</v>
      </c>
      <c r="K104" s="17">
        <v>1</v>
      </c>
      <c r="L104" s="18">
        <v>4000</v>
      </c>
      <c r="M104" s="16" t="s">
        <v>40</v>
      </c>
      <c r="N104" s="17">
        <v>0</v>
      </c>
      <c r="P104" s="16" t="s">
        <v>40</v>
      </c>
      <c r="Q104" s="17">
        <v>0</v>
      </c>
      <c r="R104" s="18">
        <v>0</v>
      </c>
      <c r="S104" s="16" t="s">
        <v>40</v>
      </c>
      <c r="T104" s="17">
        <v>0</v>
      </c>
      <c r="U104" s="18">
        <v>0</v>
      </c>
      <c r="V104" s="16" t="s">
        <v>40</v>
      </c>
      <c r="W104" s="17">
        <v>0</v>
      </c>
      <c r="X104" s="18">
        <v>0</v>
      </c>
      <c r="Y104" s="15">
        <v>0</v>
      </c>
      <c r="Z104" s="15">
        <v>4000</v>
      </c>
    </row>
    <row r="105" spans="1:26" x14ac:dyDescent="0.2">
      <c r="A105" s="15">
        <v>127</v>
      </c>
      <c r="B105" s="30">
        <v>42888.72039224537</v>
      </c>
      <c r="C105" s="16">
        <v>1705029</v>
      </c>
      <c r="D105" s="17" t="s">
        <v>2088</v>
      </c>
      <c r="E105" s="17" t="s">
        <v>263</v>
      </c>
      <c r="F105" s="19">
        <v>868977366</v>
      </c>
      <c r="G105" s="17" t="s">
        <v>1881</v>
      </c>
      <c r="H105" s="17" t="s">
        <v>2089</v>
      </c>
      <c r="I105" s="18" t="s">
        <v>2163</v>
      </c>
      <c r="J105" s="16" t="s">
        <v>2161</v>
      </c>
      <c r="K105" s="17">
        <v>1</v>
      </c>
      <c r="L105" s="18">
        <v>8000</v>
      </c>
      <c r="M105" s="16" t="s">
        <v>2162</v>
      </c>
      <c r="N105" s="17">
        <v>1</v>
      </c>
      <c r="O105" s="18">
        <v>4000</v>
      </c>
      <c r="P105" s="16" t="s">
        <v>40</v>
      </c>
      <c r="Q105" s="17">
        <v>0</v>
      </c>
      <c r="R105" s="18">
        <v>0</v>
      </c>
      <c r="S105" s="16" t="s">
        <v>40</v>
      </c>
      <c r="T105" s="17">
        <v>0</v>
      </c>
      <c r="U105" s="18">
        <v>0</v>
      </c>
      <c r="V105" s="16" t="s">
        <v>40</v>
      </c>
      <c r="W105" s="17">
        <v>0</v>
      </c>
      <c r="X105" s="18">
        <v>0</v>
      </c>
      <c r="Y105" s="15">
        <v>0</v>
      </c>
      <c r="Z105" s="15">
        <v>12000</v>
      </c>
    </row>
    <row r="106" spans="1:26" x14ac:dyDescent="0.2">
      <c r="A106" s="15">
        <v>128</v>
      </c>
      <c r="B106" s="30">
        <v>42889.483450925924</v>
      </c>
      <c r="D106" s="17" t="s">
        <v>2164</v>
      </c>
      <c r="E106" s="17" t="s">
        <v>2061</v>
      </c>
      <c r="F106" s="19">
        <v>860935944</v>
      </c>
      <c r="G106" s="17" t="s">
        <v>1888</v>
      </c>
      <c r="H106" s="17" t="s">
        <v>2049</v>
      </c>
      <c r="I106" s="18" t="s">
        <v>207</v>
      </c>
      <c r="J106" s="16" t="s">
        <v>1671</v>
      </c>
      <c r="K106" s="17">
        <v>1</v>
      </c>
      <c r="L106" s="18">
        <v>6000</v>
      </c>
      <c r="M106" s="16" t="s">
        <v>40</v>
      </c>
      <c r="N106" s="17">
        <v>0</v>
      </c>
      <c r="P106" s="16" t="s">
        <v>40</v>
      </c>
      <c r="Q106" s="17">
        <v>0</v>
      </c>
      <c r="R106" s="18">
        <v>0</v>
      </c>
      <c r="S106" s="16" t="s">
        <v>40</v>
      </c>
      <c r="T106" s="17">
        <v>0</v>
      </c>
      <c r="U106" s="18">
        <v>0</v>
      </c>
      <c r="V106" s="16" t="s">
        <v>40</v>
      </c>
      <c r="W106" s="17">
        <v>0</v>
      </c>
      <c r="X106" s="18">
        <v>0</v>
      </c>
      <c r="Y106" s="15">
        <v>0</v>
      </c>
      <c r="Z106" s="15">
        <v>6000</v>
      </c>
    </row>
    <row r="107" spans="1:26" x14ac:dyDescent="0.2">
      <c r="A107" s="15">
        <v>129</v>
      </c>
      <c r="B107" s="30">
        <v>42893.704936921298</v>
      </c>
      <c r="C107" s="16">
        <v>1703026</v>
      </c>
      <c r="D107" s="17" t="s">
        <v>2002</v>
      </c>
      <c r="E107" s="17" t="s">
        <v>305</v>
      </c>
      <c r="F107" s="19">
        <v>891781996</v>
      </c>
      <c r="G107" s="17" t="s">
        <v>2165</v>
      </c>
      <c r="H107" s="17" t="s">
        <v>2003</v>
      </c>
      <c r="I107" s="18" t="s">
        <v>1680</v>
      </c>
      <c r="J107" s="16" t="s">
        <v>1677</v>
      </c>
      <c r="K107" s="17">
        <v>1</v>
      </c>
      <c r="L107" s="18">
        <v>6000</v>
      </c>
      <c r="M107" s="16" t="s">
        <v>40</v>
      </c>
      <c r="N107" s="17">
        <v>0</v>
      </c>
      <c r="P107" s="16" t="s">
        <v>40</v>
      </c>
      <c r="Q107" s="17">
        <v>0</v>
      </c>
      <c r="R107" s="18">
        <v>0</v>
      </c>
      <c r="S107" s="16" t="s">
        <v>40</v>
      </c>
      <c r="T107" s="17">
        <v>0</v>
      </c>
      <c r="U107" s="18">
        <v>0</v>
      </c>
      <c r="V107" s="16" t="s">
        <v>40</v>
      </c>
      <c r="W107" s="17">
        <v>0</v>
      </c>
      <c r="X107" s="18">
        <v>0</v>
      </c>
      <c r="Y107" s="15">
        <v>0</v>
      </c>
      <c r="Z107" s="15">
        <v>6000</v>
      </c>
    </row>
    <row r="108" spans="1:26" x14ac:dyDescent="0.2">
      <c r="A108" s="15">
        <v>130</v>
      </c>
      <c r="B108" s="30">
        <v>42894.378445023147</v>
      </c>
      <c r="C108" s="16">
        <v>1702100</v>
      </c>
      <c r="D108" s="17" t="s">
        <v>1995</v>
      </c>
      <c r="E108" s="17" t="s">
        <v>305</v>
      </c>
      <c r="F108" s="19">
        <v>814257805</v>
      </c>
      <c r="G108" s="17" t="s">
        <v>2173</v>
      </c>
      <c r="H108" s="17" t="s">
        <v>1996</v>
      </c>
      <c r="I108" s="18" t="s">
        <v>2121</v>
      </c>
      <c r="J108" s="16" t="s">
        <v>1671</v>
      </c>
      <c r="K108" s="17">
        <v>1</v>
      </c>
      <c r="L108" s="18">
        <v>6000</v>
      </c>
      <c r="M108" s="16" t="s">
        <v>40</v>
      </c>
      <c r="N108" s="17">
        <v>0</v>
      </c>
      <c r="P108" s="16" t="s">
        <v>40</v>
      </c>
      <c r="Q108" s="17">
        <v>0</v>
      </c>
      <c r="R108" s="18">
        <v>0</v>
      </c>
      <c r="S108" s="16" t="s">
        <v>40</v>
      </c>
      <c r="T108" s="17">
        <v>0</v>
      </c>
      <c r="U108" s="18">
        <v>0</v>
      </c>
      <c r="V108" s="16" t="s">
        <v>40</v>
      </c>
      <c r="W108" s="17">
        <v>0</v>
      </c>
      <c r="X108" s="18">
        <v>0</v>
      </c>
      <c r="Y108" s="15">
        <v>0</v>
      </c>
      <c r="Z108" s="15">
        <v>6000</v>
      </c>
    </row>
    <row r="109" spans="1:26" x14ac:dyDescent="0.2">
      <c r="A109" s="15">
        <v>131</v>
      </c>
      <c r="B109" s="30">
        <v>42894.394978587959</v>
      </c>
      <c r="C109" s="16">
        <v>1704042</v>
      </c>
      <c r="D109" s="17" t="s">
        <v>2045</v>
      </c>
      <c r="E109" s="17" t="s">
        <v>243</v>
      </c>
      <c r="F109" s="19">
        <v>615792609</v>
      </c>
      <c r="G109" s="17" t="s">
        <v>1919</v>
      </c>
      <c r="H109" s="17" t="s">
        <v>2046</v>
      </c>
      <c r="I109" s="18" t="s">
        <v>2176</v>
      </c>
      <c r="J109" s="16" t="s">
        <v>2174</v>
      </c>
      <c r="K109" s="17">
        <v>1</v>
      </c>
      <c r="L109" s="18">
        <v>1000</v>
      </c>
      <c r="M109" s="16" t="s">
        <v>2175</v>
      </c>
      <c r="N109" s="17">
        <v>1</v>
      </c>
      <c r="O109" s="18">
        <v>1000</v>
      </c>
      <c r="P109" s="16" t="s">
        <v>40</v>
      </c>
      <c r="Q109" s="17">
        <v>0</v>
      </c>
      <c r="R109" s="18">
        <v>0</v>
      </c>
      <c r="S109" s="16" t="s">
        <v>40</v>
      </c>
      <c r="T109" s="17">
        <v>0</v>
      </c>
      <c r="U109" s="18">
        <v>0</v>
      </c>
      <c r="V109" s="16" t="s">
        <v>40</v>
      </c>
      <c r="W109" s="17">
        <v>0</v>
      </c>
      <c r="X109" s="18">
        <v>0</v>
      </c>
      <c r="Y109" s="15">
        <v>0</v>
      </c>
      <c r="Z109" s="15">
        <v>2000</v>
      </c>
    </row>
    <row r="110" spans="1:26" x14ac:dyDescent="0.2">
      <c r="A110" s="15">
        <v>132</v>
      </c>
      <c r="B110" s="30">
        <v>42894.396705092593</v>
      </c>
      <c r="C110" s="16">
        <v>1704013</v>
      </c>
      <c r="D110" s="17" t="s">
        <v>2025</v>
      </c>
      <c r="E110" s="17" t="s">
        <v>263</v>
      </c>
      <c r="F110" s="19">
        <v>802082525</v>
      </c>
      <c r="G110" s="17" t="s">
        <v>1930</v>
      </c>
      <c r="H110" s="17" t="s">
        <v>2026</v>
      </c>
      <c r="I110" s="18" t="s">
        <v>2177</v>
      </c>
      <c r="J110" s="16" t="s">
        <v>1671</v>
      </c>
      <c r="K110" s="17">
        <v>1</v>
      </c>
      <c r="L110" s="18">
        <v>4000</v>
      </c>
      <c r="M110" s="16" t="s">
        <v>40</v>
      </c>
      <c r="N110" s="17">
        <v>0</v>
      </c>
      <c r="P110" s="16" t="s">
        <v>40</v>
      </c>
      <c r="Q110" s="17">
        <v>0</v>
      </c>
      <c r="R110" s="18">
        <v>0</v>
      </c>
      <c r="S110" s="16" t="s">
        <v>40</v>
      </c>
      <c r="T110" s="17">
        <v>0</v>
      </c>
      <c r="U110" s="18">
        <v>0</v>
      </c>
      <c r="V110" s="16" t="s">
        <v>40</v>
      </c>
      <c r="W110" s="17">
        <v>0</v>
      </c>
      <c r="X110" s="18">
        <v>0</v>
      </c>
      <c r="Y110" s="15">
        <v>0</v>
      </c>
      <c r="Z110" s="15">
        <v>4000</v>
      </c>
    </row>
    <row r="111" spans="1:26" x14ac:dyDescent="0.2">
      <c r="A111" s="15">
        <v>133</v>
      </c>
      <c r="B111" s="30">
        <v>42896.70096736111</v>
      </c>
      <c r="C111" s="16">
        <v>1703071</v>
      </c>
      <c r="D111" s="17" t="s">
        <v>2015</v>
      </c>
      <c r="E111" s="17" t="s">
        <v>263</v>
      </c>
      <c r="F111" s="19">
        <v>882237699</v>
      </c>
      <c r="G111" s="17" t="s">
        <v>2124</v>
      </c>
      <c r="H111" s="17" t="s">
        <v>2016</v>
      </c>
      <c r="I111" s="18" t="s">
        <v>2125</v>
      </c>
      <c r="J111" s="16" t="s">
        <v>2178</v>
      </c>
      <c r="K111" s="17">
        <v>1</v>
      </c>
      <c r="L111" s="18">
        <v>2000</v>
      </c>
      <c r="M111" s="16" t="s">
        <v>40</v>
      </c>
      <c r="N111" s="17">
        <v>0</v>
      </c>
      <c r="P111" s="16" t="s">
        <v>40</v>
      </c>
      <c r="Q111" s="17">
        <v>0</v>
      </c>
      <c r="R111" s="18">
        <v>0</v>
      </c>
      <c r="S111" s="16" t="s">
        <v>40</v>
      </c>
      <c r="T111" s="17">
        <v>0</v>
      </c>
      <c r="U111" s="18">
        <v>0</v>
      </c>
      <c r="V111" s="16" t="s">
        <v>40</v>
      </c>
      <c r="W111" s="17">
        <v>0</v>
      </c>
      <c r="X111" s="18">
        <v>0</v>
      </c>
      <c r="Y111" s="15">
        <v>0</v>
      </c>
      <c r="Z111" s="15">
        <v>4000</v>
      </c>
    </row>
    <row r="112" spans="1:26" x14ac:dyDescent="0.2">
      <c r="A112" s="15">
        <v>134</v>
      </c>
      <c r="B112" s="30">
        <v>42899.619221412038</v>
      </c>
      <c r="C112" s="16">
        <v>1705052</v>
      </c>
      <c r="D112" s="17" t="s">
        <v>2105</v>
      </c>
      <c r="E112" s="17" t="s">
        <v>2106</v>
      </c>
      <c r="F112" s="19">
        <v>879115544</v>
      </c>
      <c r="G112" s="17" t="s">
        <v>2179</v>
      </c>
      <c r="H112" s="17" t="s">
        <v>2107</v>
      </c>
      <c r="I112" s="18" t="s">
        <v>2180</v>
      </c>
      <c r="J112" s="16" t="s">
        <v>1671</v>
      </c>
      <c r="K112" s="17">
        <v>1</v>
      </c>
      <c r="L112" s="18">
        <v>3000</v>
      </c>
      <c r="M112" s="16" t="s">
        <v>40</v>
      </c>
      <c r="N112" s="17">
        <v>0</v>
      </c>
      <c r="P112" s="16" t="s">
        <v>40</v>
      </c>
      <c r="Q112" s="17">
        <v>0</v>
      </c>
      <c r="R112" s="18">
        <v>0</v>
      </c>
      <c r="S112" s="16" t="s">
        <v>40</v>
      </c>
      <c r="T112" s="17">
        <v>0</v>
      </c>
      <c r="U112" s="18">
        <v>0</v>
      </c>
      <c r="V112" s="16" t="s">
        <v>40</v>
      </c>
      <c r="W112" s="17">
        <v>0</v>
      </c>
      <c r="X112" s="18">
        <v>0</v>
      </c>
      <c r="Y112" s="15">
        <v>0</v>
      </c>
      <c r="Z112" s="15">
        <v>3000</v>
      </c>
    </row>
    <row r="113" spans="1:26" x14ac:dyDescent="0.2">
      <c r="A113" s="15">
        <v>135</v>
      </c>
      <c r="B113" s="30">
        <v>42901.63544953704</v>
      </c>
      <c r="C113" s="16">
        <v>1706038</v>
      </c>
      <c r="D113" s="17" t="s">
        <v>2184</v>
      </c>
      <c r="E113" s="17" t="s">
        <v>254</v>
      </c>
      <c r="F113" s="19">
        <v>985653553</v>
      </c>
      <c r="G113" s="17" t="s">
        <v>1844</v>
      </c>
      <c r="H113" s="17" t="s">
        <v>2185</v>
      </c>
      <c r="I113" s="18" t="s">
        <v>2187</v>
      </c>
      <c r="J113" s="16" t="s">
        <v>1951</v>
      </c>
      <c r="K113" s="17">
        <v>1</v>
      </c>
      <c r="L113" s="18">
        <v>200</v>
      </c>
      <c r="M113" s="16" t="s">
        <v>40</v>
      </c>
      <c r="N113" s="17">
        <v>0</v>
      </c>
      <c r="P113" s="16" t="s">
        <v>40</v>
      </c>
      <c r="Q113" s="17">
        <v>0</v>
      </c>
      <c r="R113" s="18">
        <v>0</v>
      </c>
      <c r="S113" s="16" t="s">
        <v>40</v>
      </c>
      <c r="T113" s="17">
        <v>0</v>
      </c>
      <c r="U113" s="18">
        <v>0</v>
      </c>
      <c r="V113" s="16" t="s">
        <v>40</v>
      </c>
      <c r="W113" s="17">
        <v>0</v>
      </c>
      <c r="X113" s="18">
        <v>0</v>
      </c>
      <c r="Y113" s="15">
        <v>0</v>
      </c>
      <c r="Z113" s="15">
        <v>200</v>
      </c>
    </row>
    <row r="114" spans="1:26" x14ac:dyDescent="0.2">
      <c r="A114" s="15">
        <v>136</v>
      </c>
      <c r="B114" s="30">
        <v>42903.414415277781</v>
      </c>
      <c r="C114" s="16">
        <v>1705044</v>
      </c>
      <c r="D114" s="17" t="s">
        <v>2098</v>
      </c>
      <c r="E114" s="17" t="s">
        <v>215</v>
      </c>
      <c r="F114" s="19">
        <v>959864457</v>
      </c>
      <c r="G114" s="17" t="s">
        <v>2190</v>
      </c>
      <c r="H114" s="17" t="s">
        <v>2099</v>
      </c>
      <c r="I114" s="18" t="s">
        <v>2191</v>
      </c>
      <c r="J114" s="16" t="s">
        <v>2188</v>
      </c>
      <c r="K114" s="17">
        <v>1</v>
      </c>
      <c r="L114" s="18">
        <v>3500</v>
      </c>
      <c r="M114" s="16" t="s">
        <v>2189</v>
      </c>
      <c r="N114" s="17">
        <v>1</v>
      </c>
      <c r="O114" s="18">
        <v>900</v>
      </c>
      <c r="P114" s="16" t="s">
        <v>40</v>
      </c>
      <c r="Q114" s="17">
        <v>0</v>
      </c>
      <c r="R114" s="18">
        <v>0</v>
      </c>
      <c r="S114" s="16" t="s">
        <v>40</v>
      </c>
      <c r="T114" s="17">
        <v>0</v>
      </c>
      <c r="U114" s="18">
        <v>0</v>
      </c>
      <c r="V114" s="16" t="s">
        <v>40</v>
      </c>
      <c r="W114" s="17">
        <v>0</v>
      </c>
      <c r="X114" s="18">
        <v>0</v>
      </c>
      <c r="Y114" s="15">
        <v>0</v>
      </c>
      <c r="Z114" s="15">
        <v>4400</v>
      </c>
    </row>
    <row r="115" spans="1:26" x14ac:dyDescent="0.2">
      <c r="A115" s="15">
        <v>137</v>
      </c>
      <c r="B115" s="30">
        <v>42903.416949074075</v>
      </c>
      <c r="C115" s="16">
        <v>1703033</v>
      </c>
      <c r="D115" s="17" t="s">
        <v>2004</v>
      </c>
      <c r="E115" s="17" t="s">
        <v>506</v>
      </c>
      <c r="F115" s="19">
        <v>824539974</v>
      </c>
      <c r="G115" s="17" t="s">
        <v>2193</v>
      </c>
      <c r="H115" s="17" t="s">
        <v>2005</v>
      </c>
      <c r="I115" s="18" t="s">
        <v>1715</v>
      </c>
      <c r="J115" s="16" t="s">
        <v>2192</v>
      </c>
      <c r="K115" s="17">
        <v>1</v>
      </c>
      <c r="L115" s="18">
        <v>1000</v>
      </c>
      <c r="M115" s="16" t="s">
        <v>40</v>
      </c>
      <c r="N115" s="17">
        <v>0</v>
      </c>
      <c r="P115" s="16" t="s">
        <v>40</v>
      </c>
      <c r="Q115" s="17">
        <v>0</v>
      </c>
      <c r="R115" s="18">
        <v>0</v>
      </c>
      <c r="S115" s="16" t="s">
        <v>40</v>
      </c>
      <c r="T115" s="17">
        <v>0</v>
      </c>
      <c r="U115" s="18">
        <v>0</v>
      </c>
      <c r="V115" s="16" t="s">
        <v>40</v>
      </c>
      <c r="W115" s="17">
        <v>0</v>
      </c>
      <c r="X115" s="18">
        <v>0</v>
      </c>
      <c r="Y115" s="15">
        <v>0</v>
      </c>
      <c r="Z115" s="15">
        <v>1000</v>
      </c>
    </row>
    <row r="116" spans="1:26" x14ac:dyDescent="0.2">
      <c r="A116" s="15">
        <v>138</v>
      </c>
      <c r="B116" s="30">
        <v>42903.633936805556</v>
      </c>
      <c r="C116" s="16">
        <v>1705044</v>
      </c>
      <c r="D116" s="17" t="s">
        <v>2098</v>
      </c>
      <c r="E116" s="17" t="s">
        <v>215</v>
      </c>
      <c r="F116" s="19">
        <v>959864457</v>
      </c>
      <c r="G116" s="17" t="s">
        <v>2190</v>
      </c>
      <c r="H116" s="17" t="s">
        <v>2099</v>
      </c>
      <c r="I116" s="18" t="s">
        <v>2191</v>
      </c>
      <c r="J116" s="16" t="s">
        <v>2188</v>
      </c>
      <c r="K116" s="17">
        <v>1</v>
      </c>
      <c r="L116" s="18">
        <v>3500</v>
      </c>
      <c r="M116" s="16" t="s">
        <v>2189</v>
      </c>
      <c r="N116" s="17">
        <v>1</v>
      </c>
      <c r="O116" s="18">
        <v>1450</v>
      </c>
      <c r="P116" s="16" t="s">
        <v>40</v>
      </c>
      <c r="Q116" s="17">
        <v>0</v>
      </c>
      <c r="R116" s="18">
        <v>0</v>
      </c>
      <c r="S116" s="16" t="s">
        <v>40</v>
      </c>
      <c r="T116" s="17">
        <v>0</v>
      </c>
      <c r="U116" s="18">
        <v>0</v>
      </c>
      <c r="V116" s="16" t="s">
        <v>40</v>
      </c>
      <c r="W116" s="17">
        <v>0</v>
      </c>
      <c r="X116" s="18">
        <v>0</v>
      </c>
      <c r="Y116" s="15">
        <v>0</v>
      </c>
      <c r="Z116" s="15">
        <v>4950</v>
      </c>
    </row>
    <row r="117" spans="1:26" x14ac:dyDescent="0.2">
      <c r="A117" s="15">
        <v>139</v>
      </c>
      <c r="B117" s="30">
        <v>42903.743231018518</v>
      </c>
      <c r="C117" s="16">
        <v>1701039</v>
      </c>
      <c r="D117" s="17" t="s">
        <v>1523</v>
      </c>
      <c r="E117" s="17" t="s">
        <v>222</v>
      </c>
      <c r="F117" s="19">
        <v>898813134</v>
      </c>
      <c r="G117" s="17" t="s">
        <v>2199</v>
      </c>
      <c r="H117" s="17" t="s">
        <v>1524</v>
      </c>
      <c r="I117" s="18" t="s">
        <v>1960</v>
      </c>
      <c r="J117" s="16" t="s">
        <v>2194</v>
      </c>
      <c r="K117" s="17">
        <v>1</v>
      </c>
      <c r="L117" s="18">
        <v>200</v>
      </c>
      <c r="M117" s="16" t="s">
        <v>2195</v>
      </c>
      <c r="N117" s="17">
        <v>1</v>
      </c>
      <c r="O117" s="18">
        <v>1450</v>
      </c>
      <c r="P117" s="16" t="s">
        <v>2196</v>
      </c>
      <c r="Q117" s="17">
        <v>1</v>
      </c>
      <c r="R117" s="18">
        <v>300</v>
      </c>
      <c r="S117" s="16" t="s">
        <v>2197</v>
      </c>
      <c r="T117" s="17">
        <v>1</v>
      </c>
      <c r="U117" s="18">
        <v>2400</v>
      </c>
      <c r="V117" s="16" t="s">
        <v>2198</v>
      </c>
      <c r="W117" s="17">
        <v>1</v>
      </c>
      <c r="X117" s="18">
        <v>2600</v>
      </c>
      <c r="Y117" s="15">
        <v>0</v>
      </c>
      <c r="Z117" s="15">
        <v>8125</v>
      </c>
    </row>
    <row r="118" spans="1:26" x14ac:dyDescent="0.2">
      <c r="A118" s="15">
        <v>140</v>
      </c>
      <c r="B118" s="30">
        <v>42906.654656828701</v>
      </c>
      <c r="C118" s="16">
        <v>1703021</v>
      </c>
      <c r="D118" s="17" t="s">
        <v>2000</v>
      </c>
      <c r="E118" s="17" t="s">
        <v>2001</v>
      </c>
      <c r="F118" s="19">
        <v>989456526</v>
      </c>
      <c r="G118" s="17" t="s">
        <v>1950</v>
      </c>
      <c r="H118" s="17" t="s">
        <v>1889</v>
      </c>
      <c r="I118" s="18" t="s">
        <v>1709</v>
      </c>
      <c r="J118" s="16" t="s">
        <v>2200</v>
      </c>
      <c r="K118" s="17">
        <v>1</v>
      </c>
      <c r="L118" s="18">
        <v>220</v>
      </c>
      <c r="M118" s="16" t="s">
        <v>40</v>
      </c>
      <c r="N118" s="17">
        <v>0</v>
      </c>
      <c r="P118" s="16" t="s">
        <v>40</v>
      </c>
      <c r="Q118" s="17">
        <v>0</v>
      </c>
      <c r="R118" s="18">
        <v>0</v>
      </c>
      <c r="S118" s="16" t="s">
        <v>40</v>
      </c>
      <c r="T118" s="17">
        <v>0</v>
      </c>
      <c r="U118" s="18">
        <v>0</v>
      </c>
      <c r="V118" s="16" t="s">
        <v>40</v>
      </c>
      <c r="W118" s="17">
        <v>0</v>
      </c>
      <c r="X118" s="18">
        <v>0</v>
      </c>
      <c r="Y118" s="15">
        <v>0</v>
      </c>
      <c r="Z118" s="15">
        <v>220</v>
      </c>
    </row>
    <row r="119" spans="1:26" x14ac:dyDescent="0.2">
      <c r="A119" s="15">
        <v>141</v>
      </c>
      <c r="B119" s="30">
        <v>42907.40227233796</v>
      </c>
      <c r="C119" s="16">
        <v>1703054</v>
      </c>
      <c r="D119" s="17" t="s">
        <v>2008</v>
      </c>
      <c r="E119" s="17" t="s">
        <v>243</v>
      </c>
      <c r="F119" s="19">
        <v>824833600</v>
      </c>
      <c r="G119" s="17" t="s">
        <v>2201</v>
      </c>
      <c r="H119" s="17" t="s">
        <v>2009</v>
      </c>
      <c r="I119" s="18" t="s">
        <v>2202</v>
      </c>
      <c r="J119" s="16" t="s">
        <v>1671</v>
      </c>
      <c r="K119" s="17">
        <v>1</v>
      </c>
      <c r="L119" s="18">
        <v>5000</v>
      </c>
      <c r="M119" s="16" t="s">
        <v>40</v>
      </c>
      <c r="N119" s="17">
        <v>0</v>
      </c>
      <c r="P119" s="16" t="s">
        <v>40</v>
      </c>
      <c r="Q119" s="17">
        <v>0</v>
      </c>
      <c r="R119" s="18">
        <v>0</v>
      </c>
      <c r="S119" s="16" t="s">
        <v>40</v>
      </c>
      <c r="T119" s="17">
        <v>0</v>
      </c>
      <c r="U119" s="18">
        <v>0</v>
      </c>
      <c r="V119" s="16" t="s">
        <v>40</v>
      </c>
      <c r="W119" s="17">
        <v>0</v>
      </c>
      <c r="X119" s="18">
        <v>0</v>
      </c>
      <c r="Y119" s="15">
        <v>0</v>
      </c>
      <c r="Z119" s="15">
        <v>5000</v>
      </c>
    </row>
    <row r="120" spans="1:26" x14ac:dyDescent="0.2">
      <c r="A120" s="15">
        <v>142</v>
      </c>
      <c r="B120" s="30">
        <v>42908.401736805557</v>
      </c>
      <c r="C120" s="16">
        <v>1705060</v>
      </c>
      <c r="D120" s="17" t="s">
        <v>2130</v>
      </c>
      <c r="E120" s="17" t="s">
        <v>2131</v>
      </c>
      <c r="F120" s="19">
        <v>819073252</v>
      </c>
      <c r="G120" s="17" t="s">
        <v>2203</v>
      </c>
      <c r="H120" s="17" t="s">
        <v>2132</v>
      </c>
      <c r="I120" s="18" t="s">
        <v>2204</v>
      </c>
      <c r="J120" s="16" t="s">
        <v>2200</v>
      </c>
      <c r="K120" s="17">
        <v>1</v>
      </c>
      <c r="L120" s="18">
        <v>150</v>
      </c>
      <c r="M120" s="16" t="s">
        <v>40</v>
      </c>
      <c r="N120" s="17">
        <v>0</v>
      </c>
      <c r="P120" s="16" t="s">
        <v>40</v>
      </c>
      <c r="Q120" s="17">
        <v>0</v>
      </c>
      <c r="R120" s="18">
        <v>0</v>
      </c>
      <c r="S120" s="16" t="s">
        <v>40</v>
      </c>
      <c r="T120" s="17">
        <v>0</v>
      </c>
      <c r="U120" s="18">
        <v>0</v>
      </c>
      <c r="V120" s="16" t="s">
        <v>40</v>
      </c>
      <c r="W120" s="17">
        <v>0</v>
      </c>
      <c r="X120" s="18">
        <v>0</v>
      </c>
      <c r="Y120" s="15">
        <v>0</v>
      </c>
      <c r="Z120" s="15">
        <v>150</v>
      </c>
    </row>
    <row r="121" spans="1:26" x14ac:dyDescent="0.2">
      <c r="A121" s="15">
        <v>143</v>
      </c>
      <c r="B121" s="30">
        <v>42913.534136226852</v>
      </c>
      <c r="C121" s="16">
        <v>1706011</v>
      </c>
      <c r="D121" s="17" t="s">
        <v>2166</v>
      </c>
      <c r="E121" s="17" t="s">
        <v>40</v>
      </c>
      <c r="F121" s="19">
        <v>892683040</v>
      </c>
      <c r="G121" s="17" t="s">
        <v>1647</v>
      </c>
      <c r="H121" s="17" t="s">
        <v>2167</v>
      </c>
      <c r="I121" s="18" t="s">
        <v>1715</v>
      </c>
      <c r="J121" s="16" t="s">
        <v>2161</v>
      </c>
      <c r="K121" s="17">
        <v>1</v>
      </c>
      <c r="L121" s="18">
        <v>4000</v>
      </c>
      <c r="M121" s="16" t="s">
        <v>40</v>
      </c>
      <c r="N121" s="17">
        <v>0</v>
      </c>
      <c r="P121" s="16" t="s">
        <v>40</v>
      </c>
      <c r="Q121" s="17">
        <v>0</v>
      </c>
      <c r="R121" s="18">
        <v>0</v>
      </c>
      <c r="S121" s="16" t="s">
        <v>40</v>
      </c>
      <c r="T121" s="17">
        <v>0</v>
      </c>
      <c r="U121" s="18">
        <v>0</v>
      </c>
      <c r="V121" s="16" t="s">
        <v>40</v>
      </c>
      <c r="W121" s="17">
        <v>0</v>
      </c>
      <c r="X121" s="18">
        <v>0</v>
      </c>
      <c r="Y121" s="15">
        <v>0</v>
      </c>
      <c r="Z121" s="15">
        <v>4000</v>
      </c>
    </row>
    <row r="122" spans="1:26" x14ac:dyDescent="0.2">
      <c r="A122" s="15">
        <v>143</v>
      </c>
      <c r="B122" s="30">
        <v>42913.624716435188</v>
      </c>
      <c r="C122" s="16">
        <v>1703084</v>
      </c>
      <c r="D122" s="17" t="s">
        <v>2019</v>
      </c>
      <c r="E122" s="17" t="s">
        <v>243</v>
      </c>
      <c r="F122" s="19">
        <v>813737199</v>
      </c>
      <c r="G122" s="17" t="s">
        <v>2214</v>
      </c>
      <c r="H122" s="17" t="s">
        <v>2020</v>
      </c>
      <c r="I122" s="18" t="s">
        <v>1698</v>
      </c>
      <c r="J122" s="16" t="s">
        <v>2213</v>
      </c>
      <c r="K122" s="17">
        <v>1</v>
      </c>
      <c r="L122" s="18">
        <v>2000</v>
      </c>
      <c r="M122" s="16" t="s">
        <v>40</v>
      </c>
      <c r="N122" s="17">
        <v>0</v>
      </c>
      <c r="P122" s="16" t="s">
        <v>40</v>
      </c>
      <c r="Q122" s="17">
        <v>0</v>
      </c>
      <c r="R122" s="18">
        <v>0</v>
      </c>
      <c r="S122" s="16" t="s">
        <v>40</v>
      </c>
      <c r="T122" s="17">
        <v>0</v>
      </c>
      <c r="U122" s="18">
        <v>0</v>
      </c>
      <c r="V122" s="16" t="s">
        <v>40</v>
      </c>
      <c r="W122" s="17">
        <v>0</v>
      </c>
      <c r="X122" s="18">
        <v>0</v>
      </c>
      <c r="Y122" s="15">
        <v>0</v>
      </c>
      <c r="Z122" s="15">
        <v>2000</v>
      </c>
    </row>
    <row r="123" spans="1:26" x14ac:dyDescent="0.2">
      <c r="A123" s="15">
        <v>144</v>
      </c>
      <c r="B123" s="30">
        <v>42913.626942939816</v>
      </c>
      <c r="C123" s="16">
        <v>1704033</v>
      </c>
      <c r="D123" s="17" t="s">
        <v>2028</v>
      </c>
      <c r="E123" s="17" t="s">
        <v>233</v>
      </c>
      <c r="F123" s="19">
        <v>931732833</v>
      </c>
      <c r="G123" s="17" t="s">
        <v>1881</v>
      </c>
      <c r="H123" s="17" t="s">
        <v>2029</v>
      </c>
      <c r="I123" s="18" t="s">
        <v>2216</v>
      </c>
      <c r="J123" s="16" t="s">
        <v>2215</v>
      </c>
      <c r="K123" s="17">
        <v>1</v>
      </c>
      <c r="L123" s="18">
        <v>2000</v>
      </c>
      <c r="M123" s="16" t="s">
        <v>40</v>
      </c>
      <c r="N123" s="17">
        <v>0</v>
      </c>
      <c r="P123" s="16" t="s">
        <v>40</v>
      </c>
      <c r="Q123" s="17">
        <v>0</v>
      </c>
      <c r="R123" s="18">
        <v>0</v>
      </c>
      <c r="S123" s="16" t="s">
        <v>40</v>
      </c>
      <c r="T123" s="17">
        <v>0</v>
      </c>
      <c r="U123" s="18">
        <v>0</v>
      </c>
      <c r="V123" s="16" t="s">
        <v>40</v>
      </c>
      <c r="W123" s="17">
        <v>0</v>
      </c>
      <c r="X123" s="18">
        <v>0</v>
      </c>
      <c r="Y123" s="15">
        <v>0</v>
      </c>
      <c r="Z123" s="15">
        <v>2000</v>
      </c>
    </row>
    <row r="124" spans="1:26" x14ac:dyDescent="0.2">
      <c r="A124" s="15">
        <v>145</v>
      </c>
      <c r="B124" s="30">
        <v>42914.626406944444</v>
      </c>
      <c r="C124" s="16">
        <v>1705039</v>
      </c>
      <c r="D124" s="17" t="s">
        <v>2095</v>
      </c>
      <c r="E124" s="17" t="s">
        <v>2096</v>
      </c>
      <c r="F124" s="19">
        <v>917782840</v>
      </c>
      <c r="G124" s="17" t="s">
        <v>2218</v>
      </c>
      <c r="H124" s="17" t="s">
        <v>2097</v>
      </c>
      <c r="I124" s="18" t="s">
        <v>1715</v>
      </c>
      <c r="J124" s="16" t="s">
        <v>2217</v>
      </c>
      <c r="K124" s="17">
        <v>1</v>
      </c>
      <c r="L124" s="18">
        <v>2500</v>
      </c>
      <c r="M124" s="16" t="s">
        <v>40</v>
      </c>
      <c r="N124" s="17">
        <v>0</v>
      </c>
      <c r="P124" s="16" t="s">
        <v>40</v>
      </c>
      <c r="Q124" s="17">
        <v>0</v>
      </c>
      <c r="R124" s="18">
        <v>0</v>
      </c>
      <c r="S124" s="16" t="s">
        <v>40</v>
      </c>
      <c r="T124" s="17">
        <v>0</v>
      </c>
      <c r="U124" s="18">
        <v>0</v>
      </c>
      <c r="V124" s="16" t="s">
        <v>40</v>
      </c>
      <c r="W124" s="17">
        <v>0</v>
      </c>
      <c r="X124" s="18">
        <v>0</v>
      </c>
      <c r="Y124" s="15">
        <v>0</v>
      </c>
      <c r="Z124" s="15">
        <v>2000</v>
      </c>
    </row>
    <row r="125" spans="1:26" x14ac:dyDescent="0.2">
      <c r="A125" s="15">
        <v>146</v>
      </c>
      <c r="B125" s="30">
        <v>42914.627707870372</v>
      </c>
      <c r="C125" s="16">
        <v>1705039</v>
      </c>
      <c r="D125" s="17" t="s">
        <v>2095</v>
      </c>
      <c r="E125" s="17" t="s">
        <v>2096</v>
      </c>
      <c r="F125" s="19">
        <v>917782840</v>
      </c>
      <c r="G125" s="17" t="s">
        <v>2218</v>
      </c>
      <c r="H125" s="17" t="s">
        <v>2097</v>
      </c>
      <c r="I125" s="18" t="s">
        <v>1715</v>
      </c>
      <c r="J125" s="16" t="s">
        <v>2217</v>
      </c>
      <c r="K125" s="17">
        <v>1</v>
      </c>
      <c r="L125" s="18">
        <v>2500</v>
      </c>
      <c r="M125" s="16" t="s">
        <v>40</v>
      </c>
      <c r="N125" s="17">
        <v>0</v>
      </c>
      <c r="P125" s="16" t="s">
        <v>40</v>
      </c>
      <c r="Q125" s="17">
        <v>0</v>
      </c>
      <c r="R125" s="18">
        <v>0</v>
      </c>
      <c r="S125" s="16" t="s">
        <v>40</v>
      </c>
      <c r="T125" s="17">
        <v>0</v>
      </c>
      <c r="U125" s="18">
        <v>0</v>
      </c>
      <c r="V125" s="16" t="s">
        <v>40</v>
      </c>
      <c r="W125" s="17">
        <v>0</v>
      </c>
      <c r="X125" s="18">
        <v>0</v>
      </c>
      <c r="Y125" s="15">
        <v>0</v>
      </c>
      <c r="Z125" s="15">
        <v>2500</v>
      </c>
    </row>
    <row r="126" spans="1:26" x14ac:dyDescent="0.2">
      <c r="A126" s="15">
        <v>147</v>
      </c>
      <c r="B126" s="30">
        <v>42915.40705011574</v>
      </c>
      <c r="D126" s="17" t="s">
        <v>2219</v>
      </c>
      <c r="E126" s="17" t="s">
        <v>2220</v>
      </c>
      <c r="F126" s="19">
        <v>818756288</v>
      </c>
      <c r="G126" s="17" t="s">
        <v>2071</v>
      </c>
      <c r="H126" s="17" t="s">
        <v>2221</v>
      </c>
      <c r="I126" s="18" t="s">
        <v>159</v>
      </c>
      <c r="J126" s="16" t="s">
        <v>2222</v>
      </c>
      <c r="K126" s="17">
        <v>1</v>
      </c>
      <c r="L126" s="18">
        <v>2500</v>
      </c>
      <c r="M126" s="16" t="s">
        <v>40</v>
      </c>
      <c r="N126" s="17">
        <v>0</v>
      </c>
      <c r="P126" s="16" t="s">
        <v>40</v>
      </c>
      <c r="Q126" s="17">
        <v>0</v>
      </c>
      <c r="R126" s="18">
        <v>0</v>
      </c>
      <c r="S126" s="16" t="s">
        <v>40</v>
      </c>
      <c r="T126" s="17">
        <v>0</v>
      </c>
      <c r="U126" s="18">
        <v>0</v>
      </c>
      <c r="V126" s="16" t="s">
        <v>40</v>
      </c>
      <c r="W126" s="17">
        <v>0</v>
      </c>
      <c r="X126" s="18">
        <v>0</v>
      </c>
      <c r="Y126" s="15">
        <v>0</v>
      </c>
      <c r="Z126" s="15">
        <v>2500</v>
      </c>
    </row>
    <row r="127" spans="1:26" x14ac:dyDescent="0.2">
      <c r="A127" s="15">
        <v>148</v>
      </c>
      <c r="B127" s="30">
        <v>42915.604645717591</v>
      </c>
      <c r="C127" s="16">
        <v>1705035</v>
      </c>
      <c r="D127" s="17" t="s">
        <v>2093</v>
      </c>
      <c r="E127" s="17" t="s">
        <v>506</v>
      </c>
      <c r="F127" s="19">
        <v>863291023</v>
      </c>
      <c r="G127" s="17" t="s">
        <v>2225</v>
      </c>
      <c r="H127" s="17" t="s">
        <v>2094</v>
      </c>
      <c r="I127" s="18" t="s">
        <v>2226</v>
      </c>
      <c r="J127" s="16" t="s">
        <v>1671</v>
      </c>
      <c r="K127" s="17">
        <v>1</v>
      </c>
      <c r="L127" s="18">
        <v>7000</v>
      </c>
      <c r="M127" s="16" t="s">
        <v>2223</v>
      </c>
      <c r="N127" s="17">
        <v>1</v>
      </c>
      <c r="O127" s="18">
        <v>1300</v>
      </c>
      <c r="P127" s="16" t="s">
        <v>2031</v>
      </c>
      <c r="Q127" s="17">
        <v>1</v>
      </c>
      <c r="R127" s="18">
        <v>1500</v>
      </c>
      <c r="S127" s="16" t="s">
        <v>2224</v>
      </c>
      <c r="T127" s="17">
        <v>1</v>
      </c>
      <c r="U127" s="18">
        <v>3000</v>
      </c>
      <c r="V127" s="16" t="s">
        <v>40</v>
      </c>
      <c r="W127" s="17">
        <v>0</v>
      </c>
      <c r="X127" s="18">
        <v>0</v>
      </c>
      <c r="Y127" s="15">
        <v>0</v>
      </c>
      <c r="Z127" s="15">
        <v>12800</v>
      </c>
    </row>
    <row r="128" spans="1:26" x14ac:dyDescent="0.2">
      <c r="A128" s="15">
        <v>148</v>
      </c>
      <c r="B128" s="30">
        <v>42916.373040740742</v>
      </c>
      <c r="C128" s="16">
        <v>1703075</v>
      </c>
      <c r="D128" s="17" t="s">
        <v>2017</v>
      </c>
      <c r="E128" s="17" t="s">
        <v>215</v>
      </c>
      <c r="F128" s="19">
        <v>898201377</v>
      </c>
      <c r="G128" s="17" t="s">
        <v>2230</v>
      </c>
      <c r="H128" s="17" t="s">
        <v>2018</v>
      </c>
      <c r="I128" s="18" t="s">
        <v>1915</v>
      </c>
      <c r="J128" s="16" t="s">
        <v>2150</v>
      </c>
      <c r="K128" s="17">
        <v>1</v>
      </c>
      <c r="L128" s="18">
        <v>2400</v>
      </c>
      <c r="M128" s="16" t="s">
        <v>2229</v>
      </c>
      <c r="N128" s="17">
        <v>1</v>
      </c>
      <c r="O128" s="18">
        <v>200</v>
      </c>
      <c r="P128" s="16" t="s">
        <v>40</v>
      </c>
      <c r="Q128" s="17">
        <v>0</v>
      </c>
      <c r="R128" s="18">
        <v>0</v>
      </c>
      <c r="S128" s="16" t="s">
        <v>40</v>
      </c>
      <c r="T128" s="17">
        <v>0</v>
      </c>
      <c r="U128" s="18">
        <v>0</v>
      </c>
      <c r="V128" s="16" t="s">
        <v>40</v>
      </c>
      <c r="W128" s="17">
        <v>0</v>
      </c>
      <c r="X128" s="18">
        <v>0</v>
      </c>
      <c r="Y128" s="15">
        <v>0</v>
      </c>
      <c r="Z128" s="15">
        <v>2600</v>
      </c>
    </row>
    <row r="129" spans="1:26" x14ac:dyDescent="0.2">
      <c r="A129" s="15">
        <v>148</v>
      </c>
      <c r="B129" s="30">
        <v>42917.412964467592</v>
      </c>
      <c r="C129" s="16">
        <v>1705034</v>
      </c>
      <c r="D129" s="17" t="s">
        <v>2090</v>
      </c>
      <c r="E129" s="17" t="s">
        <v>577</v>
      </c>
      <c r="F129" s="19">
        <v>859206108</v>
      </c>
      <c r="G129" s="17" t="s">
        <v>2233</v>
      </c>
      <c r="H129" s="17" t="s">
        <v>2091</v>
      </c>
      <c r="I129" s="18" t="s">
        <v>2234</v>
      </c>
      <c r="J129" s="16" t="s">
        <v>1671</v>
      </c>
      <c r="K129" s="17">
        <v>1</v>
      </c>
      <c r="L129" s="18">
        <v>7000</v>
      </c>
      <c r="M129" s="16" t="s">
        <v>2231</v>
      </c>
      <c r="N129" s="17">
        <v>1</v>
      </c>
      <c r="O129" s="18">
        <v>1300</v>
      </c>
      <c r="P129" s="16" t="s">
        <v>2031</v>
      </c>
      <c r="Q129" s="17">
        <v>1</v>
      </c>
      <c r="R129" s="18">
        <v>1500</v>
      </c>
      <c r="S129" s="16" t="s">
        <v>2224</v>
      </c>
      <c r="T129" s="17">
        <v>1</v>
      </c>
      <c r="U129" s="18">
        <v>3000</v>
      </c>
      <c r="V129" s="16" t="s">
        <v>2232</v>
      </c>
      <c r="W129" s="17">
        <v>1</v>
      </c>
      <c r="X129" s="18">
        <v>800</v>
      </c>
      <c r="Y129" s="15">
        <v>0</v>
      </c>
      <c r="Z129" s="15">
        <v>13600</v>
      </c>
    </row>
    <row r="130" spans="1:26" x14ac:dyDescent="0.2">
      <c r="A130" s="15">
        <v>149</v>
      </c>
      <c r="B130" s="30">
        <v>42917.416951620369</v>
      </c>
      <c r="C130" s="16">
        <v>1705023</v>
      </c>
      <c r="D130" s="17" t="s">
        <v>2083</v>
      </c>
      <c r="E130" s="17" t="s">
        <v>2084</v>
      </c>
      <c r="F130" s="19">
        <v>891296091</v>
      </c>
      <c r="G130" s="17" t="s">
        <v>2237</v>
      </c>
      <c r="H130" s="17" t="s">
        <v>2085</v>
      </c>
      <c r="I130" s="18" t="s">
        <v>2238</v>
      </c>
      <c r="J130" s="16" t="s">
        <v>2235</v>
      </c>
      <c r="K130" s="17">
        <v>1</v>
      </c>
      <c r="L130" s="18">
        <v>2000</v>
      </c>
      <c r="M130" s="16" t="s">
        <v>2236</v>
      </c>
      <c r="N130" s="17">
        <v>1</v>
      </c>
      <c r="O130" s="18">
        <v>2000</v>
      </c>
      <c r="P130" s="16" t="s">
        <v>40</v>
      </c>
      <c r="Q130" s="17">
        <v>0</v>
      </c>
      <c r="R130" s="18">
        <v>0</v>
      </c>
      <c r="S130" s="16" t="s">
        <v>40</v>
      </c>
      <c r="T130" s="17">
        <v>0</v>
      </c>
      <c r="V130" s="16" t="s">
        <v>40</v>
      </c>
      <c r="W130" s="17">
        <v>0</v>
      </c>
      <c r="X130" s="18">
        <v>0</v>
      </c>
      <c r="Y130" s="15">
        <v>0</v>
      </c>
      <c r="Z130" s="15">
        <v>4000</v>
      </c>
    </row>
    <row r="131" spans="1:26" x14ac:dyDescent="0.2">
      <c r="A131" s="15">
        <v>150</v>
      </c>
      <c r="B131" s="30">
        <v>42917.418889699074</v>
      </c>
      <c r="C131" s="16">
        <v>1706017</v>
      </c>
      <c r="D131" s="17" t="s">
        <v>2171</v>
      </c>
      <c r="E131" s="17" t="s">
        <v>286</v>
      </c>
      <c r="F131" s="19">
        <v>997358796</v>
      </c>
      <c r="G131" s="17" t="s">
        <v>2240</v>
      </c>
      <c r="H131" s="17" t="s">
        <v>2172</v>
      </c>
      <c r="I131" s="18" t="s">
        <v>1680</v>
      </c>
      <c r="J131" s="16" t="s">
        <v>2239</v>
      </c>
      <c r="K131" s="17">
        <v>1</v>
      </c>
      <c r="L131" s="18">
        <v>9000</v>
      </c>
      <c r="M131" s="16" t="s">
        <v>40</v>
      </c>
      <c r="N131" s="17">
        <v>0</v>
      </c>
      <c r="O131" s="18">
        <v>0</v>
      </c>
      <c r="P131" s="16" t="s">
        <v>40</v>
      </c>
      <c r="Q131" s="17">
        <v>0</v>
      </c>
      <c r="R131" s="18">
        <v>0</v>
      </c>
      <c r="S131" s="16" t="s">
        <v>40</v>
      </c>
      <c r="T131" s="17">
        <v>0</v>
      </c>
      <c r="V131" s="16" t="s">
        <v>40</v>
      </c>
      <c r="W131" s="17">
        <v>0</v>
      </c>
      <c r="X131" s="18">
        <v>0</v>
      </c>
      <c r="Y131" s="15">
        <v>0</v>
      </c>
      <c r="Z131" s="15">
        <v>9000</v>
      </c>
    </row>
    <row r="132" spans="1:26" x14ac:dyDescent="0.2">
      <c r="A132" s="15">
        <v>151</v>
      </c>
      <c r="B132" s="30">
        <v>42921.680429166663</v>
      </c>
      <c r="C132" s="16">
        <v>1705061</v>
      </c>
      <c r="D132" s="17" t="s">
        <v>2133</v>
      </c>
      <c r="E132" s="17" t="s">
        <v>254</v>
      </c>
      <c r="F132" s="19">
        <v>870235666</v>
      </c>
      <c r="G132" s="17" t="s">
        <v>2253</v>
      </c>
      <c r="H132" s="17" t="s">
        <v>2134</v>
      </c>
      <c r="I132" s="18" t="s">
        <v>2254</v>
      </c>
      <c r="J132" s="16" t="s">
        <v>1871</v>
      </c>
      <c r="K132" s="17">
        <v>0.5</v>
      </c>
      <c r="L132" s="18">
        <v>2600</v>
      </c>
      <c r="M132" s="16" t="s">
        <v>40</v>
      </c>
      <c r="N132" s="17">
        <v>0</v>
      </c>
      <c r="O132" s="18">
        <v>0</v>
      </c>
      <c r="P132" s="16" t="s">
        <v>40</v>
      </c>
      <c r="Q132" s="17">
        <v>0</v>
      </c>
      <c r="R132" s="18">
        <v>0</v>
      </c>
      <c r="S132" s="16" t="s">
        <v>40</v>
      </c>
      <c r="T132" s="17">
        <v>0</v>
      </c>
      <c r="V132" s="16" t="s">
        <v>40</v>
      </c>
      <c r="W132" s="17">
        <v>0</v>
      </c>
      <c r="X132" s="18">
        <v>0</v>
      </c>
      <c r="Y132" s="15">
        <v>0</v>
      </c>
      <c r="Z132" s="15">
        <v>1300</v>
      </c>
    </row>
    <row r="133" spans="1:26" x14ac:dyDescent="0.2">
      <c r="A133" s="15">
        <v>152</v>
      </c>
      <c r="B133" s="30">
        <v>42922.613151041667</v>
      </c>
      <c r="C133" s="16">
        <v>1706015</v>
      </c>
      <c r="D133" s="17" t="s">
        <v>2169</v>
      </c>
      <c r="E133" s="17" t="s">
        <v>254</v>
      </c>
      <c r="F133" s="19">
        <v>897990629</v>
      </c>
      <c r="G133" s="17" t="s">
        <v>2256</v>
      </c>
      <c r="H133" s="17" t="s">
        <v>2170</v>
      </c>
      <c r="I133" s="18" t="s">
        <v>2257</v>
      </c>
      <c r="J133" s="16" t="s">
        <v>2255</v>
      </c>
      <c r="K133" s="17">
        <v>1</v>
      </c>
      <c r="L133" s="18">
        <v>874</v>
      </c>
      <c r="M133" s="16" t="s">
        <v>40</v>
      </c>
      <c r="N133" s="17">
        <v>0</v>
      </c>
      <c r="O133" s="18">
        <v>0</v>
      </c>
      <c r="P133" s="16" t="s">
        <v>40</v>
      </c>
      <c r="Q133" s="17">
        <v>0</v>
      </c>
      <c r="R133" s="18">
        <v>0</v>
      </c>
      <c r="S133" s="16" t="s">
        <v>40</v>
      </c>
      <c r="T133" s="17">
        <v>0</v>
      </c>
      <c r="V133" s="16" t="s">
        <v>40</v>
      </c>
      <c r="W133" s="17">
        <v>0</v>
      </c>
      <c r="X133" s="18">
        <v>0</v>
      </c>
      <c r="Y133" s="15">
        <v>0</v>
      </c>
      <c r="Z133" s="15">
        <v>874</v>
      </c>
    </row>
    <row r="134" spans="1:26" x14ac:dyDescent="0.2">
      <c r="A134" s="15">
        <v>153</v>
      </c>
      <c r="B134" s="30">
        <v>42922.617350462962</v>
      </c>
      <c r="C134" s="16">
        <v>1706006</v>
      </c>
      <c r="D134" s="17" t="s">
        <v>2159</v>
      </c>
      <c r="E134" s="17" t="s">
        <v>267</v>
      </c>
      <c r="F134" s="19">
        <v>896699232</v>
      </c>
      <c r="G134" s="17" t="s">
        <v>1919</v>
      </c>
      <c r="H134" s="17" t="s">
        <v>2160</v>
      </c>
      <c r="I134" s="18" t="s">
        <v>1641</v>
      </c>
      <c r="J134" s="16" t="s">
        <v>1671</v>
      </c>
      <c r="K134" s="17">
        <v>1</v>
      </c>
      <c r="L134" s="18">
        <v>2000</v>
      </c>
      <c r="M134" s="16" t="s">
        <v>40</v>
      </c>
      <c r="N134" s="17">
        <v>0</v>
      </c>
      <c r="O134" s="18">
        <v>0</v>
      </c>
      <c r="P134" s="16" t="s">
        <v>40</v>
      </c>
      <c r="Q134" s="17">
        <v>0</v>
      </c>
      <c r="R134" s="18">
        <v>0</v>
      </c>
      <c r="S134" s="16" t="s">
        <v>40</v>
      </c>
      <c r="T134" s="17">
        <v>0</v>
      </c>
      <c r="V134" s="16" t="s">
        <v>40</v>
      </c>
      <c r="W134" s="17">
        <v>0</v>
      </c>
      <c r="X134" s="18">
        <v>0</v>
      </c>
      <c r="Y134" s="15">
        <v>0</v>
      </c>
      <c r="Z134" s="15">
        <v>2000</v>
      </c>
    </row>
    <row r="135" spans="1:26" x14ac:dyDescent="0.2">
      <c r="A135" s="15">
        <v>154</v>
      </c>
      <c r="B135" s="30">
        <v>42924.447732754626</v>
      </c>
      <c r="C135" s="16">
        <v>1706059</v>
      </c>
      <c r="D135" s="17" t="s">
        <v>2210</v>
      </c>
      <c r="E135" s="17" t="s">
        <v>506</v>
      </c>
      <c r="F135" s="19">
        <v>934419642</v>
      </c>
      <c r="G135" s="17" t="s">
        <v>2260</v>
      </c>
      <c r="H135" s="17" t="s">
        <v>2211</v>
      </c>
      <c r="I135" s="18" t="s">
        <v>2261</v>
      </c>
      <c r="J135" s="16" t="s">
        <v>2258</v>
      </c>
      <c r="K135" s="17">
        <v>1</v>
      </c>
      <c r="L135" s="18">
        <v>2500</v>
      </c>
      <c r="M135" s="16" t="s">
        <v>2259</v>
      </c>
      <c r="N135" s="17">
        <v>1</v>
      </c>
      <c r="O135" s="18">
        <v>2500</v>
      </c>
      <c r="P135" s="16" t="s">
        <v>40</v>
      </c>
      <c r="Q135" s="17">
        <v>0</v>
      </c>
      <c r="R135" s="18">
        <v>0</v>
      </c>
      <c r="S135" s="16" t="s">
        <v>40</v>
      </c>
      <c r="T135" s="17">
        <v>0</v>
      </c>
      <c r="V135" s="16" t="s">
        <v>40</v>
      </c>
      <c r="W135" s="17">
        <v>0</v>
      </c>
      <c r="X135" s="18">
        <v>0</v>
      </c>
      <c r="Y135" s="15">
        <v>0</v>
      </c>
      <c r="Z135" s="15">
        <v>5000</v>
      </c>
    </row>
    <row r="136" spans="1:26" x14ac:dyDescent="0.2">
      <c r="A136" s="15">
        <v>155</v>
      </c>
      <c r="B136" s="30">
        <v>42924.764999305553</v>
      </c>
      <c r="D136" s="17" t="s">
        <v>2262</v>
      </c>
      <c r="E136" s="17" t="s">
        <v>2068</v>
      </c>
      <c r="F136" s="19">
        <v>830508012</v>
      </c>
      <c r="G136" s="17" t="s">
        <v>2263</v>
      </c>
      <c r="H136" s="17" t="s">
        <v>1973</v>
      </c>
      <c r="I136" s="18" t="s">
        <v>337</v>
      </c>
      <c r="J136" s="16" t="s">
        <v>1671</v>
      </c>
      <c r="K136" s="17">
        <v>1</v>
      </c>
      <c r="L136" s="18">
        <v>4000</v>
      </c>
      <c r="M136" s="16" t="s">
        <v>40</v>
      </c>
      <c r="N136" s="17">
        <v>0</v>
      </c>
      <c r="P136" s="16" t="s">
        <v>40</v>
      </c>
      <c r="Q136" s="17">
        <v>0</v>
      </c>
      <c r="R136" s="18">
        <v>0</v>
      </c>
      <c r="S136" s="16" t="s">
        <v>40</v>
      </c>
      <c r="T136" s="17">
        <v>0</v>
      </c>
      <c r="V136" s="16" t="s">
        <v>40</v>
      </c>
      <c r="W136" s="17">
        <v>0</v>
      </c>
      <c r="X136" s="18">
        <v>0</v>
      </c>
      <c r="Y136" s="15">
        <v>0</v>
      </c>
      <c r="Z136" s="15">
        <v>4000</v>
      </c>
    </row>
    <row r="137" spans="1:26" x14ac:dyDescent="0.2">
      <c r="A137" s="15">
        <v>156</v>
      </c>
      <c r="B137" s="30">
        <v>42929.426623611114</v>
      </c>
      <c r="C137" s="16">
        <v>1706004</v>
      </c>
      <c r="D137" s="17" t="s">
        <v>2157</v>
      </c>
      <c r="E137" s="17" t="s">
        <v>254</v>
      </c>
      <c r="F137" s="19">
        <v>879949954</v>
      </c>
      <c r="G137" s="17" t="s">
        <v>2265</v>
      </c>
      <c r="H137" s="17" t="s">
        <v>2158</v>
      </c>
      <c r="I137" s="18" t="s">
        <v>2266</v>
      </c>
      <c r="J137" s="16" t="s">
        <v>2264</v>
      </c>
      <c r="K137" s="17">
        <v>1</v>
      </c>
      <c r="L137" s="18">
        <v>1000</v>
      </c>
      <c r="M137" s="16" t="s">
        <v>40</v>
      </c>
      <c r="N137" s="17">
        <v>0</v>
      </c>
      <c r="P137" s="16" t="s">
        <v>40</v>
      </c>
      <c r="Q137" s="17">
        <v>0</v>
      </c>
      <c r="R137" s="18">
        <v>0</v>
      </c>
      <c r="S137" s="16" t="s">
        <v>40</v>
      </c>
      <c r="T137" s="17">
        <v>0</v>
      </c>
      <c r="V137" s="16" t="s">
        <v>40</v>
      </c>
      <c r="W137" s="17">
        <v>0</v>
      </c>
      <c r="X137" s="18">
        <v>0</v>
      </c>
      <c r="Y137" s="15">
        <v>0</v>
      </c>
      <c r="Z137" s="15">
        <v>1000</v>
      </c>
    </row>
    <row r="138" spans="1:26" x14ac:dyDescent="0.2">
      <c r="A138" s="15">
        <v>156</v>
      </c>
      <c r="B138" s="30">
        <v>42929.582464004627</v>
      </c>
      <c r="C138" s="16">
        <v>1702018</v>
      </c>
      <c r="D138" s="17" t="s">
        <v>1982</v>
      </c>
      <c r="E138" s="17" t="s">
        <v>305</v>
      </c>
      <c r="F138" s="19">
        <v>890088788</v>
      </c>
      <c r="G138" s="17" t="s">
        <v>2267</v>
      </c>
      <c r="H138" s="17" t="s">
        <v>1983</v>
      </c>
      <c r="I138" s="18" t="s">
        <v>2268</v>
      </c>
      <c r="J138" s="16" t="s">
        <v>1671</v>
      </c>
      <c r="K138" s="17">
        <v>1</v>
      </c>
      <c r="L138" s="18">
        <v>4000</v>
      </c>
      <c r="M138" s="16" t="s">
        <v>40</v>
      </c>
      <c r="N138" s="17">
        <v>0</v>
      </c>
      <c r="P138" s="16" t="s">
        <v>40</v>
      </c>
      <c r="Q138" s="17">
        <v>0</v>
      </c>
      <c r="R138" s="18">
        <v>0</v>
      </c>
      <c r="S138" s="16" t="s">
        <v>40</v>
      </c>
      <c r="T138" s="17">
        <v>0</v>
      </c>
      <c r="V138" s="16" t="s">
        <v>40</v>
      </c>
      <c r="W138" s="17">
        <v>0</v>
      </c>
      <c r="X138" s="18">
        <v>0</v>
      </c>
      <c r="Y138" s="15">
        <v>0</v>
      </c>
      <c r="Z138" s="15">
        <v>4000</v>
      </c>
    </row>
    <row r="139" spans="1:26" x14ac:dyDescent="0.2">
      <c r="A139" s="15">
        <v>157</v>
      </c>
      <c r="B139" s="30">
        <v>42930.552168634262</v>
      </c>
      <c r="C139" s="16">
        <v>1706067</v>
      </c>
      <c r="D139" s="17" t="s">
        <v>2227</v>
      </c>
      <c r="E139" s="17" t="s">
        <v>492</v>
      </c>
      <c r="F139" s="19">
        <v>845216480</v>
      </c>
      <c r="G139" s="17" t="s">
        <v>1847</v>
      </c>
      <c r="H139" s="17" t="s">
        <v>2228</v>
      </c>
      <c r="I139" s="18" t="s">
        <v>2269</v>
      </c>
      <c r="J139" s="16" t="s">
        <v>1677</v>
      </c>
      <c r="K139" s="17">
        <v>1</v>
      </c>
      <c r="L139" s="18">
        <v>1000</v>
      </c>
      <c r="M139" s="16" t="s">
        <v>40</v>
      </c>
      <c r="N139" s="17">
        <v>0</v>
      </c>
      <c r="P139" s="16" t="s">
        <v>40</v>
      </c>
      <c r="Q139" s="17">
        <v>0</v>
      </c>
      <c r="R139" s="18">
        <v>0</v>
      </c>
      <c r="S139" s="16" t="s">
        <v>40</v>
      </c>
      <c r="T139" s="17">
        <v>0</v>
      </c>
      <c r="V139" s="16" t="s">
        <v>40</v>
      </c>
      <c r="W139" s="17">
        <v>0</v>
      </c>
      <c r="X139" s="18">
        <v>0</v>
      </c>
      <c r="Y139" s="15">
        <v>0</v>
      </c>
      <c r="Z139" s="15">
        <v>1000</v>
      </c>
    </row>
    <row r="140" spans="1:26" x14ac:dyDescent="0.2">
      <c r="A140" s="15">
        <v>158</v>
      </c>
      <c r="B140" s="30">
        <v>42930.571112962964</v>
      </c>
      <c r="C140" s="16">
        <v>1701052</v>
      </c>
      <c r="D140" s="17" t="s">
        <v>1971</v>
      </c>
      <c r="E140" s="17" t="s">
        <v>222</v>
      </c>
      <c r="F140" s="19">
        <v>826336807</v>
      </c>
      <c r="G140" s="17" t="s">
        <v>2273</v>
      </c>
      <c r="H140" s="17" t="s">
        <v>1972</v>
      </c>
      <c r="I140" s="18" t="s">
        <v>2274</v>
      </c>
      <c r="J140" s="16" t="s">
        <v>1671</v>
      </c>
      <c r="K140" s="17">
        <v>1</v>
      </c>
      <c r="L140" s="18">
        <v>4000</v>
      </c>
      <c r="M140" s="16" t="s">
        <v>1828</v>
      </c>
      <c r="N140" s="17">
        <v>1</v>
      </c>
      <c r="O140" s="18">
        <v>150</v>
      </c>
      <c r="P140" s="16" t="s">
        <v>2270</v>
      </c>
      <c r="Q140" s="17">
        <v>1</v>
      </c>
      <c r="R140" s="18">
        <v>1600</v>
      </c>
      <c r="S140" s="16" t="s">
        <v>2271</v>
      </c>
      <c r="T140" s="17">
        <v>1</v>
      </c>
      <c r="U140" s="18">
        <v>600</v>
      </c>
      <c r="V140" s="16" t="s">
        <v>2272</v>
      </c>
      <c r="W140" s="17">
        <v>1</v>
      </c>
      <c r="X140" s="18">
        <v>500</v>
      </c>
      <c r="Y140" s="15">
        <v>0</v>
      </c>
      <c r="Z140" s="15">
        <v>6850</v>
      </c>
    </row>
    <row r="141" spans="1:26" x14ac:dyDescent="0.2">
      <c r="A141" s="15">
        <v>159</v>
      </c>
      <c r="B141" s="30">
        <v>42930.58234479167</v>
      </c>
      <c r="C141" s="16">
        <v>1705041</v>
      </c>
      <c r="D141" s="17" t="s">
        <v>1974</v>
      </c>
      <c r="E141" s="17" t="s">
        <v>1192</v>
      </c>
      <c r="F141" s="19">
        <v>917133317</v>
      </c>
      <c r="G141" s="17" t="s">
        <v>1697</v>
      </c>
      <c r="H141" s="17" t="s">
        <v>1975</v>
      </c>
      <c r="I141" s="18" t="s">
        <v>1923</v>
      </c>
      <c r="J141" s="16" t="s">
        <v>2275</v>
      </c>
      <c r="K141" s="17">
        <v>1</v>
      </c>
      <c r="L141" s="18">
        <v>1200</v>
      </c>
      <c r="M141" s="16" t="s">
        <v>40</v>
      </c>
      <c r="N141" s="17">
        <v>0</v>
      </c>
      <c r="P141" s="16" t="s">
        <v>40</v>
      </c>
      <c r="Q141" s="17">
        <v>0</v>
      </c>
      <c r="R141" s="18">
        <v>0</v>
      </c>
      <c r="S141" s="16" t="s">
        <v>40</v>
      </c>
      <c r="T141" s="17">
        <v>0</v>
      </c>
      <c r="V141" s="16" t="s">
        <v>40</v>
      </c>
      <c r="W141" s="17">
        <v>0</v>
      </c>
      <c r="X141" s="18">
        <v>0</v>
      </c>
      <c r="Y141" s="15">
        <v>0</v>
      </c>
      <c r="Z141" s="15">
        <v>1200</v>
      </c>
    </row>
    <row r="142" spans="1:26" x14ac:dyDescent="0.2">
      <c r="A142" s="15">
        <v>160</v>
      </c>
      <c r="B142" s="30">
        <v>42934.489112037038</v>
      </c>
      <c r="D142" s="17" t="s">
        <v>2276</v>
      </c>
      <c r="E142" s="17" t="s">
        <v>2061</v>
      </c>
      <c r="F142" s="19">
        <v>875082488</v>
      </c>
      <c r="G142" s="17" t="s">
        <v>2277</v>
      </c>
      <c r="H142" s="17" t="s">
        <v>2278</v>
      </c>
      <c r="I142" s="18" t="s">
        <v>2279</v>
      </c>
      <c r="J142" s="16" t="s">
        <v>2280</v>
      </c>
      <c r="K142" s="17">
        <v>1</v>
      </c>
      <c r="L142" s="18">
        <v>14000</v>
      </c>
      <c r="M142" s="16" t="s">
        <v>40</v>
      </c>
      <c r="N142" s="17">
        <v>0</v>
      </c>
      <c r="P142" s="16" t="s">
        <v>40</v>
      </c>
      <c r="Q142" s="17">
        <v>0</v>
      </c>
      <c r="R142" s="18">
        <v>0</v>
      </c>
      <c r="S142" s="16" t="s">
        <v>40</v>
      </c>
      <c r="T142" s="17">
        <v>0</v>
      </c>
      <c r="V142" s="16" t="s">
        <v>40</v>
      </c>
      <c r="W142" s="17">
        <v>0</v>
      </c>
      <c r="X142" s="18">
        <v>0</v>
      </c>
      <c r="Y142" s="15">
        <v>0</v>
      </c>
      <c r="Z142" s="15">
        <v>14000</v>
      </c>
    </row>
    <row r="143" spans="1:26" x14ac:dyDescent="0.2">
      <c r="A143" s="15">
        <v>161</v>
      </c>
      <c r="B143" s="30">
        <v>42934.691816550927</v>
      </c>
      <c r="C143" s="16">
        <v>1703064</v>
      </c>
      <c r="D143" s="17" t="s">
        <v>2012</v>
      </c>
      <c r="E143" s="17" t="s">
        <v>2013</v>
      </c>
      <c r="F143" s="19">
        <v>962757496</v>
      </c>
      <c r="G143" s="17" t="s">
        <v>2282</v>
      </c>
      <c r="H143" s="17" t="s">
        <v>2014</v>
      </c>
      <c r="I143" s="18" t="s">
        <v>2283</v>
      </c>
      <c r="J143" s="16" t="s">
        <v>1671</v>
      </c>
      <c r="K143" s="17">
        <v>1</v>
      </c>
      <c r="L143" s="18">
        <v>3000</v>
      </c>
      <c r="M143" s="16" t="s">
        <v>2281</v>
      </c>
      <c r="N143" s="17">
        <v>1</v>
      </c>
      <c r="O143" s="18">
        <v>8000</v>
      </c>
      <c r="P143" s="16" t="s">
        <v>40</v>
      </c>
      <c r="Q143" s="17">
        <v>0</v>
      </c>
      <c r="R143" s="18">
        <v>0</v>
      </c>
      <c r="S143" s="16" t="s">
        <v>40</v>
      </c>
      <c r="T143" s="17">
        <v>0</v>
      </c>
      <c r="V143" s="16" t="s">
        <v>40</v>
      </c>
      <c r="W143" s="17">
        <v>0</v>
      </c>
      <c r="X143" s="18">
        <v>0</v>
      </c>
      <c r="Y143" s="15">
        <v>0</v>
      </c>
      <c r="Z143" s="15">
        <v>11000</v>
      </c>
    </row>
    <row r="144" spans="1:26" x14ac:dyDescent="0.2">
      <c r="A144" s="15">
        <v>162</v>
      </c>
      <c r="B144" s="30">
        <v>42934.695733101849</v>
      </c>
      <c r="C144" s="16">
        <v>1704005</v>
      </c>
      <c r="D144" s="17" t="s">
        <v>2023</v>
      </c>
      <c r="E144" s="17" t="s">
        <v>1997</v>
      </c>
      <c r="F144" s="19">
        <v>899949762</v>
      </c>
      <c r="G144" s="17" t="s">
        <v>2285</v>
      </c>
      <c r="H144" s="17" t="s">
        <v>2024</v>
      </c>
      <c r="I144" s="18" t="s">
        <v>1709</v>
      </c>
      <c r="J144" s="16" t="s">
        <v>2284</v>
      </c>
      <c r="K144" s="17">
        <v>1</v>
      </c>
      <c r="L144" s="18">
        <v>14000</v>
      </c>
      <c r="M144" s="16" t="s">
        <v>40</v>
      </c>
      <c r="N144" s="17">
        <v>0</v>
      </c>
      <c r="P144" s="16" t="s">
        <v>40</v>
      </c>
      <c r="Q144" s="17">
        <v>0</v>
      </c>
      <c r="R144" s="18">
        <v>0</v>
      </c>
      <c r="S144" s="16" t="s">
        <v>40</v>
      </c>
      <c r="T144" s="17">
        <v>0</v>
      </c>
      <c r="V144" s="16" t="s">
        <v>40</v>
      </c>
      <c r="W144" s="17">
        <v>0</v>
      </c>
      <c r="X144" s="18">
        <v>0</v>
      </c>
      <c r="Y144" s="15">
        <v>0</v>
      </c>
      <c r="Z144" s="15">
        <v>14000</v>
      </c>
    </row>
    <row r="145" spans="1:26" x14ac:dyDescent="0.2">
      <c r="A145" s="15">
        <v>163</v>
      </c>
      <c r="B145" s="30">
        <v>42934.707620601854</v>
      </c>
      <c r="D145" s="17">
        <v>0</v>
      </c>
      <c r="E145" s="17">
        <v>0</v>
      </c>
      <c r="F145" s="19">
        <v>0</v>
      </c>
      <c r="G145" s="17" t="s">
        <v>40</v>
      </c>
      <c r="H145" s="17">
        <v>0</v>
      </c>
      <c r="I145" s="18">
        <v>0</v>
      </c>
      <c r="J145" s="16" t="s">
        <v>2286</v>
      </c>
      <c r="K145" s="17">
        <v>1</v>
      </c>
      <c r="L145" s="18">
        <v>500</v>
      </c>
      <c r="M145" s="16" t="s">
        <v>2287</v>
      </c>
      <c r="N145" s="17">
        <v>1</v>
      </c>
      <c r="O145" s="18">
        <v>500</v>
      </c>
      <c r="P145" s="16" t="s">
        <v>40</v>
      </c>
      <c r="Q145" s="17">
        <v>0</v>
      </c>
      <c r="R145" s="18">
        <v>0</v>
      </c>
      <c r="S145" s="16" t="s">
        <v>40</v>
      </c>
      <c r="T145" s="17">
        <v>0</v>
      </c>
      <c r="V145" s="16" t="s">
        <v>40</v>
      </c>
      <c r="W145" s="17">
        <v>0</v>
      </c>
      <c r="X145" s="18">
        <v>0</v>
      </c>
      <c r="Y145" s="15">
        <v>0</v>
      </c>
      <c r="Z145" s="15">
        <v>1000</v>
      </c>
    </row>
    <row r="146" spans="1:26" x14ac:dyDescent="0.2">
      <c r="A146" s="15">
        <v>164</v>
      </c>
      <c r="B146" s="30">
        <v>42934.710847222224</v>
      </c>
      <c r="D146" s="17" t="s">
        <v>2301</v>
      </c>
      <c r="E146" s="17" t="s">
        <v>2303</v>
      </c>
      <c r="F146" s="19">
        <v>945468009</v>
      </c>
      <c r="G146" s="17" t="s">
        <v>2302</v>
      </c>
      <c r="H146" s="17" t="s">
        <v>1749</v>
      </c>
      <c r="I146" s="18" t="s">
        <v>159</v>
      </c>
      <c r="J146" s="16" t="s">
        <v>2286</v>
      </c>
      <c r="K146" s="17">
        <v>1</v>
      </c>
      <c r="L146" s="18">
        <v>500</v>
      </c>
      <c r="M146" s="16" t="s">
        <v>2287</v>
      </c>
      <c r="N146" s="17">
        <v>1</v>
      </c>
      <c r="O146" s="18">
        <v>500</v>
      </c>
      <c r="P146" s="16" t="s">
        <v>40</v>
      </c>
      <c r="Q146" s="17">
        <v>0</v>
      </c>
      <c r="R146" s="18">
        <v>0</v>
      </c>
      <c r="S146" s="16" t="s">
        <v>40</v>
      </c>
      <c r="T146" s="17">
        <v>0</v>
      </c>
      <c r="V146" s="16" t="s">
        <v>40</v>
      </c>
      <c r="W146" s="17">
        <v>0</v>
      </c>
      <c r="X146" s="18">
        <v>0</v>
      </c>
      <c r="Y146" s="15">
        <v>0</v>
      </c>
      <c r="Z146" s="15">
        <v>1000</v>
      </c>
    </row>
    <row r="147" spans="1:26" x14ac:dyDescent="0.2">
      <c r="A147" s="15">
        <v>165</v>
      </c>
      <c r="B147" s="30">
        <v>42934.720197569448</v>
      </c>
      <c r="D147" s="17" t="s">
        <v>2304</v>
      </c>
      <c r="E147" s="17" t="s">
        <v>2305</v>
      </c>
      <c r="F147" s="19">
        <v>891058926</v>
      </c>
      <c r="G147" s="17" t="s">
        <v>1839</v>
      </c>
      <c r="H147" s="17" t="s">
        <v>2306</v>
      </c>
      <c r="I147" s="18" t="s">
        <v>207</v>
      </c>
      <c r="J147" s="16" t="s">
        <v>2307</v>
      </c>
      <c r="K147" s="17">
        <v>1</v>
      </c>
      <c r="L147" s="18">
        <v>15000</v>
      </c>
      <c r="M147" s="16" t="s">
        <v>2272</v>
      </c>
      <c r="N147" s="17">
        <v>1</v>
      </c>
      <c r="O147" s="18">
        <v>300</v>
      </c>
      <c r="P147" s="16" t="s">
        <v>40</v>
      </c>
      <c r="Q147" s="17">
        <v>0</v>
      </c>
      <c r="R147" s="18">
        <v>0</v>
      </c>
      <c r="S147" s="16" t="s">
        <v>40</v>
      </c>
      <c r="T147" s="17">
        <v>0</v>
      </c>
      <c r="V147" s="16" t="s">
        <v>40</v>
      </c>
      <c r="W147" s="17">
        <v>0</v>
      </c>
      <c r="X147" s="18">
        <v>0</v>
      </c>
      <c r="Y147" s="15">
        <v>0</v>
      </c>
      <c r="Z147" s="15">
        <v>1800</v>
      </c>
    </row>
    <row r="148" spans="1:26" x14ac:dyDescent="0.2">
      <c r="A148" s="15">
        <v>166</v>
      </c>
      <c r="B148" s="30">
        <v>42936.63587604167</v>
      </c>
      <c r="C148" s="16">
        <v>1706045</v>
      </c>
      <c r="D148" s="17" t="s">
        <v>2205</v>
      </c>
      <c r="E148" s="17" t="s">
        <v>40</v>
      </c>
      <c r="F148" s="19">
        <v>844827321</v>
      </c>
      <c r="G148" s="17" t="s">
        <v>2309</v>
      </c>
      <c r="H148" s="17" t="s">
        <v>2206</v>
      </c>
      <c r="I148" s="18" t="s">
        <v>1848</v>
      </c>
      <c r="J148" s="16" t="s">
        <v>2308</v>
      </c>
      <c r="K148" s="17">
        <v>1</v>
      </c>
      <c r="L148" s="18">
        <v>1000</v>
      </c>
      <c r="M148" s="16" t="s">
        <v>40</v>
      </c>
      <c r="N148" s="17">
        <v>0</v>
      </c>
      <c r="P148" s="16" t="s">
        <v>40</v>
      </c>
      <c r="Q148" s="17">
        <v>0</v>
      </c>
      <c r="R148" s="18">
        <v>0</v>
      </c>
      <c r="S148" s="16" t="s">
        <v>40</v>
      </c>
      <c r="T148" s="17">
        <v>0</v>
      </c>
      <c r="V148" s="16" t="s">
        <v>40</v>
      </c>
      <c r="W148" s="17">
        <v>0</v>
      </c>
      <c r="X148" s="18">
        <v>0</v>
      </c>
      <c r="Y148" s="15">
        <v>0</v>
      </c>
      <c r="Z148" s="15">
        <v>1000</v>
      </c>
    </row>
    <row r="149" spans="1:26" x14ac:dyDescent="0.2">
      <c r="A149" s="15">
        <v>167</v>
      </c>
      <c r="B149" s="30">
        <v>42937.61661365741</v>
      </c>
      <c r="C149" s="16">
        <v>1705011</v>
      </c>
      <c r="D149" s="17">
        <v>0</v>
      </c>
      <c r="E149" s="17" t="s">
        <v>40</v>
      </c>
      <c r="F149" s="19">
        <v>0</v>
      </c>
      <c r="G149" s="17" t="s">
        <v>2311</v>
      </c>
      <c r="H149" s="17" t="s">
        <v>2052</v>
      </c>
      <c r="I149" s="18" t="s">
        <v>1648</v>
      </c>
      <c r="J149" s="16" t="s">
        <v>2310</v>
      </c>
      <c r="K149" s="17">
        <v>1</v>
      </c>
      <c r="L149" s="18">
        <v>15000</v>
      </c>
      <c r="M149" s="16" t="s">
        <v>40</v>
      </c>
      <c r="N149" s="17">
        <v>0</v>
      </c>
      <c r="P149" s="16" t="s">
        <v>40</v>
      </c>
      <c r="Q149" s="17">
        <v>0</v>
      </c>
      <c r="R149" s="18">
        <v>0</v>
      </c>
      <c r="S149" s="16" t="s">
        <v>40</v>
      </c>
      <c r="T149" s="17">
        <v>0</v>
      </c>
      <c r="V149" s="16" t="s">
        <v>40</v>
      </c>
      <c r="W149" s="17">
        <v>0</v>
      </c>
      <c r="X149" s="18">
        <v>0</v>
      </c>
      <c r="Y149" s="15">
        <v>0</v>
      </c>
      <c r="Z149" s="15">
        <v>15000</v>
      </c>
    </row>
    <row r="150" spans="1:26" x14ac:dyDescent="0.2">
      <c r="A150" s="15">
        <v>168</v>
      </c>
      <c r="B150" s="30">
        <v>42938.574636342593</v>
      </c>
      <c r="C150" s="16">
        <v>1706053</v>
      </c>
      <c r="D150" s="17" t="s">
        <v>1404</v>
      </c>
      <c r="E150" s="17" t="s">
        <v>305</v>
      </c>
      <c r="F150" s="19">
        <v>816461897</v>
      </c>
      <c r="G150" s="17" t="s">
        <v>2313</v>
      </c>
      <c r="H150" s="17" t="s">
        <v>2209</v>
      </c>
      <c r="I150" s="18" t="s">
        <v>2314</v>
      </c>
      <c r="J150" s="16" t="s">
        <v>2312</v>
      </c>
      <c r="K150" s="17">
        <v>1</v>
      </c>
      <c r="L150" s="18">
        <v>1000</v>
      </c>
      <c r="M150" s="16" t="s">
        <v>40</v>
      </c>
      <c r="N150" s="17">
        <v>0</v>
      </c>
      <c r="P150" s="16" t="s">
        <v>40</v>
      </c>
      <c r="Q150" s="17">
        <v>0</v>
      </c>
      <c r="R150" s="18">
        <v>0</v>
      </c>
      <c r="S150" s="16" t="s">
        <v>40</v>
      </c>
      <c r="T150" s="17">
        <v>0</v>
      </c>
      <c r="V150" s="16" t="s">
        <v>40</v>
      </c>
      <c r="W150" s="17">
        <v>0</v>
      </c>
      <c r="X150" s="18">
        <v>0</v>
      </c>
      <c r="Y150" s="15">
        <v>0</v>
      </c>
      <c r="Z150" s="15">
        <v>1000</v>
      </c>
    </row>
    <row r="151" spans="1:26" x14ac:dyDescent="0.2">
      <c r="A151" s="15">
        <v>169</v>
      </c>
      <c r="B151" s="30">
        <v>42938.645464351852</v>
      </c>
      <c r="C151" s="16">
        <v>1702091</v>
      </c>
      <c r="D151" s="17" t="s">
        <v>1991</v>
      </c>
      <c r="E151" s="17" t="s">
        <v>286</v>
      </c>
      <c r="F151" s="19">
        <v>879105915</v>
      </c>
      <c r="G151" s="17" t="s">
        <v>1847</v>
      </c>
      <c r="H151" s="17" t="s">
        <v>1992</v>
      </c>
      <c r="I151" s="18" t="s">
        <v>2316</v>
      </c>
      <c r="J151" s="16" t="s">
        <v>2315</v>
      </c>
      <c r="K151" s="17">
        <v>1</v>
      </c>
      <c r="L151" s="18">
        <v>2500</v>
      </c>
      <c r="M151" s="16" t="s">
        <v>40</v>
      </c>
      <c r="N151" s="17">
        <v>0</v>
      </c>
      <c r="P151" s="16" t="s">
        <v>40</v>
      </c>
      <c r="Q151" s="17">
        <v>0</v>
      </c>
      <c r="R151" s="18">
        <v>0</v>
      </c>
      <c r="S151" s="16" t="s">
        <v>40</v>
      </c>
      <c r="T151" s="17">
        <v>0</v>
      </c>
      <c r="V151" s="16" t="s">
        <v>40</v>
      </c>
      <c r="W151" s="17">
        <v>0</v>
      </c>
      <c r="X151" s="18">
        <v>0</v>
      </c>
      <c r="Y151" s="15">
        <v>0</v>
      </c>
      <c r="Z151" s="15">
        <v>2500</v>
      </c>
    </row>
    <row r="152" spans="1:26" x14ac:dyDescent="0.2">
      <c r="A152" s="15">
        <v>170</v>
      </c>
      <c r="B152" s="30">
        <v>42938.702941203701</v>
      </c>
      <c r="C152" s="16">
        <v>1707002</v>
      </c>
      <c r="D152" s="17" t="s">
        <v>2243</v>
      </c>
      <c r="E152" s="17" t="s">
        <v>2244</v>
      </c>
      <c r="F152" s="19">
        <v>855103977</v>
      </c>
      <c r="G152" s="17" t="s">
        <v>2318</v>
      </c>
      <c r="H152" s="17" t="s">
        <v>2245</v>
      </c>
      <c r="I152" s="18" t="s">
        <v>1655</v>
      </c>
      <c r="J152" s="16" t="s">
        <v>2317</v>
      </c>
      <c r="K152" s="17">
        <v>1</v>
      </c>
      <c r="L152" s="18">
        <v>600</v>
      </c>
      <c r="M152" s="16" t="s">
        <v>40</v>
      </c>
      <c r="N152" s="17">
        <v>0</v>
      </c>
      <c r="P152" s="16" t="s">
        <v>40</v>
      </c>
      <c r="Q152" s="17">
        <v>0</v>
      </c>
      <c r="R152" s="18">
        <v>0</v>
      </c>
      <c r="S152" s="16" t="s">
        <v>40</v>
      </c>
      <c r="T152" s="17">
        <v>0</v>
      </c>
      <c r="V152" s="16" t="s">
        <v>40</v>
      </c>
      <c r="W152" s="17">
        <v>0</v>
      </c>
      <c r="X152" s="18">
        <v>0</v>
      </c>
      <c r="Y152" s="15">
        <v>0</v>
      </c>
      <c r="Z152" s="15">
        <v>600</v>
      </c>
    </row>
    <row r="153" spans="1:26" x14ac:dyDescent="0.2">
      <c r="A153" s="15">
        <v>171</v>
      </c>
      <c r="B153" s="30">
        <v>42944.714689004628</v>
      </c>
      <c r="D153" s="17" t="s">
        <v>2328</v>
      </c>
      <c r="E153" s="17" t="s">
        <v>2330</v>
      </c>
      <c r="F153" s="19">
        <v>800608011</v>
      </c>
      <c r="G153" s="17" t="s">
        <v>2329</v>
      </c>
      <c r="H153" s="17" t="s">
        <v>2252</v>
      </c>
      <c r="I153" s="18" t="s">
        <v>202</v>
      </c>
      <c r="J153" s="16" t="s">
        <v>1671</v>
      </c>
      <c r="K153" s="17">
        <v>1</v>
      </c>
      <c r="L153" s="18">
        <v>4000</v>
      </c>
      <c r="M153" s="16" t="s">
        <v>2331</v>
      </c>
      <c r="N153" s="17">
        <v>1</v>
      </c>
      <c r="O153" s="18">
        <v>2300</v>
      </c>
      <c r="P153" s="16" t="s">
        <v>40</v>
      </c>
      <c r="Q153" s="17">
        <v>0</v>
      </c>
      <c r="R153" s="18">
        <v>0</v>
      </c>
      <c r="S153" s="16" t="s">
        <v>40</v>
      </c>
      <c r="T153" s="17">
        <v>0</v>
      </c>
      <c r="V153" s="16" t="s">
        <v>40</v>
      </c>
      <c r="W153" s="17">
        <v>0</v>
      </c>
      <c r="X153" s="18">
        <v>0</v>
      </c>
      <c r="Y153" s="15">
        <v>0</v>
      </c>
      <c r="Z153" s="15">
        <v>6300</v>
      </c>
    </row>
    <row r="154" spans="1:26" x14ac:dyDescent="0.2">
      <c r="A154" s="15">
        <v>172</v>
      </c>
      <c r="B154" s="30">
        <v>42945.636034027775</v>
      </c>
      <c r="C154" s="16">
        <v>1706053</v>
      </c>
      <c r="D154" s="17" t="s">
        <v>1404</v>
      </c>
      <c r="E154" s="17" t="s">
        <v>305</v>
      </c>
      <c r="F154" s="19">
        <v>816461897</v>
      </c>
      <c r="G154" s="17" t="s">
        <v>2313</v>
      </c>
      <c r="H154" s="17" t="s">
        <v>2209</v>
      </c>
      <c r="I154" s="18" t="s">
        <v>2314</v>
      </c>
      <c r="J154" s="16" t="s">
        <v>2312</v>
      </c>
      <c r="K154" s="17">
        <v>1</v>
      </c>
      <c r="L154" s="18">
        <v>1000</v>
      </c>
      <c r="M154" s="16" t="s">
        <v>40</v>
      </c>
      <c r="N154" s="17">
        <v>0</v>
      </c>
      <c r="P154" s="16" t="s">
        <v>40</v>
      </c>
      <c r="Q154" s="17">
        <v>0</v>
      </c>
      <c r="R154" s="18">
        <v>0</v>
      </c>
      <c r="S154" s="16" t="s">
        <v>40</v>
      </c>
      <c r="T154" s="17">
        <v>0</v>
      </c>
      <c r="V154" s="16" t="s">
        <v>40</v>
      </c>
      <c r="W154" s="17">
        <v>0</v>
      </c>
      <c r="X154" s="18">
        <v>0</v>
      </c>
      <c r="Y154" s="15">
        <v>0</v>
      </c>
      <c r="Z154" s="15">
        <v>1000</v>
      </c>
    </row>
    <row r="155" spans="1:26" x14ac:dyDescent="0.2">
      <c r="A155" s="15">
        <v>173</v>
      </c>
      <c r="B155" s="30">
        <v>42945.641150810188</v>
      </c>
      <c r="C155" s="16">
        <v>1706053</v>
      </c>
      <c r="D155" s="17" t="s">
        <v>1404</v>
      </c>
      <c r="E155" s="17" t="s">
        <v>305</v>
      </c>
      <c r="F155" s="19">
        <v>816461897</v>
      </c>
      <c r="G155" s="17" t="s">
        <v>2313</v>
      </c>
      <c r="H155" s="17" t="s">
        <v>2209</v>
      </c>
      <c r="I155" s="18" t="s">
        <v>2314</v>
      </c>
      <c r="J155" s="16" t="s">
        <v>2332</v>
      </c>
      <c r="K155" s="17">
        <v>1</v>
      </c>
      <c r="L155" s="18">
        <v>180</v>
      </c>
      <c r="M155" s="16" t="s">
        <v>2333</v>
      </c>
      <c r="N155" s="17">
        <v>1</v>
      </c>
      <c r="O155" s="18">
        <v>80</v>
      </c>
      <c r="P155" s="16" t="s">
        <v>2334</v>
      </c>
      <c r="Q155" s="17">
        <v>1</v>
      </c>
      <c r="R155" s="18">
        <v>40</v>
      </c>
      <c r="S155" s="16" t="s">
        <v>2335</v>
      </c>
      <c r="T155" s="17">
        <v>1</v>
      </c>
      <c r="U155" s="18">
        <v>20</v>
      </c>
      <c r="V155" s="16" t="s">
        <v>1803</v>
      </c>
      <c r="W155" s="17">
        <v>1</v>
      </c>
      <c r="X155" s="18">
        <v>150</v>
      </c>
      <c r="Y155" s="15">
        <v>0</v>
      </c>
      <c r="Z155" s="15">
        <v>510</v>
      </c>
    </row>
    <row r="156" spans="1:26" x14ac:dyDescent="0.2">
      <c r="A156" s="15">
        <v>174</v>
      </c>
      <c r="B156" s="30">
        <v>42948.438986805559</v>
      </c>
      <c r="C156" s="16">
        <v>1706031</v>
      </c>
      <c r="D156" s="17" t="s">
        <v>2182</v>
      </c>
      <c r="E156" s="17" t="s">
        <v>254</v>
      </c>
      <c r="F156" s="19">
        <v>820866336</v>
      </c>
      <c r="G156" s="17" t="s">
        <v>2345</v>
      </c>
      <c r="H156" s="17" t="s">
        <v>2183</v>
      </c>
      <c r="I156" s="18" t="s">
        <v>2238</v>
      </c>
      <c r="J156" s="16" t="s">
        <v>1671</v>
      </c>
      <c r="K156" s="17">
        <v>1</v>
      </c>
      <c r="L156" s="18">
        <v>3000</v>
      </c>
      <c r="M156" s="16" t="s">
        <v>2343</v>
      </c>
      <c r="N156" s="17">
        <v>1</v>
      </c>
      <c r="O156" s="18">
        <v>4500</v>
      </c>
      <c r="P156" s="16" t="s">
        <v>2344</v>
      </c>
      <c r="Q156" s="17">
        <v>1</v>
      </c>
      <c r="R156" s="18">
        <v>1000</v>
      </c>
      <c r="S156" s="16" t="s">
        <v>40</v>
      </c>
      <c r="T156" s="17">
        <v>0</v>
      </c>
      <c r="V156" s="16" t="s">
        <v>40</v>
      </c>
      <c r="W156" s="17">
        <v>0</v>
      </c>
      <c r="X156" s="18">
        <v>0</v>
      </c>
      <c r="Y156" s="15">
        <v>0</v>
      </c>
      <c r="Z156" s="15">
        <v>8500</v>
      </c>
    </row>
    <row r="157" spans="1:26" x14ac:dyDescent="0.2">
      <c r="A157" s="15">
        <v>175</v>
      </c>
      <c r="B157" s="30">
        <v>42949.441105555554</v>
      </c>
      <c r="C157" s="16">
        <v>1708002</v>
      </c>
      <c r="D157" s="17" t="s">
        <v>2346</v>
      </c>
      <c r="E157" s="17" t="s">
        <v>263</v>
      </c>
      <c r="F157" s="19">
        <v>614593962</v>
      </c>
      <c r="G157" s="17" t="s">
        <v>2173</v>
      </c>
      <c r="H157" s="17" t="s">
        <v>2347</v>
      </c>
      <c r="I157" s="18" t="s">
        <v>1799</v>
      </c>
      <c r="J157" s="16" t="s">
        <v>2348</v>
      </c>
      <c r="K157" s="17">
        <v>1</v>
      </c>
      <c r="L157" s="18">
        <v>300</v>
      </c>
      <c r="M157" s="16" t="s">
        <v>40</v>
      </c>
      <c r="N157" s="17">
        <v>0</v>
      </c>
      <c r="O157" s="18">
        <v>0</v>
      </c>
      <c r="P157" s="16" t="s">
        <v>40</v>
      </c>
      <c r="Q157" s="17">
        <v>0</v>
      </c>
      <c r="R157" s="18">
        <v>0</v>
      </c>
      <c r="S157" s="16" t="s">
        <v>40</v>
      </c>
      <c r="T157" s="17">
        <v>0</v>
      </c>
      <c r="U157" s="18">
        <v>0</v>
      </c>
      <c r="V157" s="16" t="s">
        <v>40</v>
      </c>
      <c r="W157" s="17">
        <v>0</v>
      </c>
      <c r="X157" s="18">
        <v>0</v>
      </c>
      <c r="Y157" s="15">
        <v>0</v>
      </c>
      <c r="Z157" s="15">
        <v>300</v>
      </c>
    </row>
    <row r="158" spans="1:26" x14ac:dyDescent="0.2">
      <c r="A158" s="15">
        <v>176</v>
      </c>
      <c r="B158" s="30">
        <v>42952.40064965278</v>
      </c>
      <c r="C158" s="16">
        <v>1702014</v>
      </c>
      <c r="D158" s="17" t="s">
        <v>1978</v>
      </c>
      <c r="E158" s="17" t="s">
        <v>286</v>
      </c>
      <c r="F158" s="19">
        <v>928233658</v>
      </c>
      <c r="G158" s="17" t="s">
        <v>2353</v>
      </c>
      <c r="H158" s="17" t="s">
        <v>1979</v>
      </c>
      <c r="I158" s="18" t="s">
        <v>2354</v>
      </c>
      <c r="J158" s="16" t="s">
        <v>2351</v>
      </c>
      <c r="K158" s="17">
        <v>1</v>
      </c>
      <c r="L158" s="18">
        <v>2500</v>
      </c>
      <c r="M158" s="16" t="s">
        <v>2352</v>
      </c>
      <c r="N158" s="17">
        <v>1</v>
      </c>
      <c r="O158" s="18">
        <v>1500</v>
      </c>
      <c r="P158" s="16" t="s">
        <v>40</v>
      </c>
      <c r="Q158" s="17">
        <v>0</v>
      </c>
      <c r="R158" s="18">
        <v>0</v>
      </c>
      <c r="S158" s="16" t="s">
        <v>40</v>
      </c>
      <c r="T158" s="17">
        <v>0</v>
      </c>
      <c r="U158" s="18">
        <v>0</v>
      </c>
      <c r="V158" s="16" t="s">
        <v>40</v>
      </c>
      <c r="W158" s="17">
        <v>0</v>
      </c>
      <c r="X158" s="18">
        <v>0</v>
      </c>
      <c r="Y158" s="15">
        <v>0</v>
      </c>
      <c r="Z158" s="15">
        <v>4000</v>
      </c>
    </row>
    <row r="159" spans="1:26" x14ac:dyDescent="0.2">
      <c r="A159" s="15">
        <v>177</v>
      </c>
      <c r="B159" s="30">
        <v>42952.572727199076</v>
      </c>
      <c r="C159" s="16">
        <v>1707015</v>
      </c>
      <c r="D159" s="17" t="s">
        <v>2290</v>
      </c>
      <c r="E159" s="17" t="s">
        <v>254</v>
      </c>
      <c r="F159" s="19">
        <v>869887997</v>
      </c>
      <c r="G159" s="17" t="s">
        <v>2358</v>
      </c>
      <c r="H159" s="17" t="s">
        <v>1968</v>
      </c>
      <c r="I159" s="18" t="s">
        <v>1848</v>
      </c>
      <c r="J159" s="16" t="s">
        <v>1671</v>
      </c>
      <c r="K159" s="17">
        <v>1</v>
      </c>
      <c r="L159" s="18">
        <v>2000</v>
      </c>
      <c r="M159" s="16" t="s">
        <v>2357</v>
      </c>
      <c r="N159" s="17">
        <v>1</v>
      </c>
      <c r="O159" s="18">
        <v>4500</v>
      </c>
      <c r="P159" s="16" t="s">
        <v>40</v>
      </c>
      <c r="Q159" s="17">
        <v>0</v>
      </c>
      <c r="R159" s="18">
        <v>0</v>
      </c>
      <c r="S159" s="16" t="s">
        <v>40</v>
      </c>
      <c r="T159" s="17">
        <v>0</v>
      </c>
      <c r="U159" s="18">
        <v>0</v>
      </c>
      <c r="V159" s="16" t="s">
        <v>40</v>
      </c>
      <c r="W159" s="17">
        <v>0</v>
      </c>
      <c r="X159" s="18">
        <v>0</v>
      </c>
      <c r="Y159" s="15">
        <v>0</v>
      </c>
      <c r="Z159" s="15">
        <v>6500</v>
      </c>
    </row>
    <row r="160" spans="1:26" x14ac:dyDescent="0.2">
      <c r="A160" s="15">
        <v>178</v>
      </c>
      <c r="B160" s="30">
        <v>42954.560753819445</v>
      </c>
      <c r="C160" s="16">
        <v>1704002</v>
      </c>
      <c r="D160" s="17" t="s">
        <v>2021</v>
      </c>
      <c r="E160" s="17" t="s">
        <v>979</v>
      </c>
      <c r="F160" s="19">
        <v>649926912</v>
      </c>
      <c r="G160" s="17" t="s">
        <v>1703</v>
      </c>
      <c r="H160" s="17" t="s">
        <v>2022</v>
      </c>
      <c r="I160" s="18" t="s">
        <v>1923</v>
      </c>
      <c r="J160" s="16" t="s">
        <v>2359</v>
      </c>
      <c r="K160" s="17">
        <v>1</v>
      </c>
      <c r="L160" s="18">
        <v>1000</v>
      </c>
      <c r="M160" s="16" t="s">
        <v>1652</v>
      </c>
      <c r="N160" s="17">
        <v>1</v>
      </c>
      <c r="O160" s="18">
        <v>600</v>
      </c>
      <c r="P160" s="16" t="s">
        <v>2360</v>
      </c>
      <c r="Q160" s="17">
        <v>1</v>
      </c>
      <c r="R160" s="18">
        <v>500</v>
      </c>
      <c r="S160" s="16" t="s">
        <v>2361</v>
      </c>
      <c r="T160" s="17">
        <v>1</v>
      </c>
      <c r="U160" s="18">
        <v>2500</v>
      </c>
      <c r="V160" s="16" t="s">
        <v>40</v>
      </c>
      <c r="W160" s="17">
        <v>0</v>
      </c>
      <c r="X160" s="18">
        <v>0</v>
      </c>
      <c r="Y160" s="15">
        <v>0</v>
      </c>
      <c r="Z160" s="15">
        <v>4600</v>
      </c>
    </row>
    <row r="161" spans="1:26" x14ac:dyDescent="0.2">
      <c r="A161" s="15">
        <v>179</v>
      </c>
      <c r="B161" s="30">
        <v>42954.792078472223</v>
      </c>
      <c r="C161" s="16">
        <v>1707017</v>
      </c>
      <c r="D161" s="17" t="s">
        <v>2291</v>
      </c>
      <c r="E161" s="17" t="s">
        <v>625</v>
      </c>
      <c r="F161" s="19">
        <v>868911133</v>
      </c>
      <c r="G161" s="17" t="s">
        <v>2366</v>
      </c>
      <c r="H161" s="17" t="s">
        <v>2292</v>
      </c>
      <c r="I161" s="18" t="s">
        <v>2216</v>
      </c>
      <c r="J161" s="16" t="s">
        <v>2362</v>
      </c>
      <c r="K161" s="17">
        <v>1</v>
      </c>
      <c r="L161" s="18">
        <v>2200</v>
      </c>
      <c r="M161" s="16" t="s">
        <v>2363</v>
      </c>
      <c r="N161" s="17">
        <v>1</v>
      </c>
      <c r="O161" s="18">
        <v>1200</v>
      </c>
      <c r="P161" s="16" t="s">
        <v>2365</v>
      </c>
      <c r="Q161" s="17">
        <v>1</v>
      </c>
      <c r="R161" s="18">
        <v>1300</v>
      </c>
      <c r="S161" s="16" t="s">
        <v>2364</v>
      </c>
      <c r="T161" s="17">
        <v>1</v>
      </c>
      <c r="U161" s="18">
        <v>1000</v>
      </c>
      <c r="V161" s="16" t="s">
        <v>40</v>
      </c>
      <c r="W161" s="17">
        <v>0</v>
      </c>
      <c r="X161" s="18">
        <v>0</v>
      </c>
      <c r="Y161" s="15">
        <v>0</v>
      </c>
      <c r="Z161" s="15">
        <v>5700</v>
      </c>
    </row>
    <row r="162" spans="1:26" x14ac:dyDescent="0.2">
      <c r="A162" s="15">
        <v>181</v>
      </c>
      <c r="B162" s="30">
        <v>42956.466695138886</v>
      </c>
      <c r="C162" s="16">
        <v>1707064</v>
      </c>
      <c r="D162" s="17" t="s">
        <v>2336</v>
      </c>
      <c r="E162" s="17" t="s">
        <v>286</v>
      </c>
      <c r="F162" s="19">
        <v>892189397</v>
      </c>
      <c r="G162" s="17" t="s">
        <v>1681</v>
      </c>
      <c r="H162" s="17" t="s">
        <v>2337</v>
      </c>
      <c r="I162" s="18" t="s">
        <v>2369</v>
      </c>
      <c r="J162" s="16" t="s">
        <v>2367</v>
      </c>
      <c r="K162" s="17">
        <v>1</v>
      </c>
      <c r="L162" s="18">
        <v>2500</v>
      </c>
      <c r="M162" s="16" t="s">
        <v>2368</v>
      </c>
      <c r="N162" s="17">
        <v>1</v>
      </c>
      <c r="O162" s="18">
        <v>1500</v>
      </c>
      <c r="P162" s="16" t="s">
        <v>2224</v>
      </c>
      <c r="Q162" s="17">
        <v>1</v>
      </c>
      <c r="R162" s="18">
        <v>3500</v>
      </c>
      <c r="S162" s="16" t="s">
        <v>40</v>
      </c>
      <c r="T162" s="17">
        <v>0</v>
      </c>
      <c r="U162" s="18">
        <v>0</v>
      </c>
      <c r="V162" s="16" t="s">
        <v>40</v>
      </c>
      <c r="W162" s="17">
        <v>0</v>
      </c>
      <c r="X162" s="18">
        <v>0</v>
      </c>
      <c r="Y162" s="15">
        <v>0</v>
      </c>
      <c r="Z162" s="15">
        <v>7500</v>
      </c>
    </row>
    <row r="163" spans="1:26" x14ac:dyDescent="0.2">
      <c r="A163" s="15">
        <v>182</v>
      </c>
      <c r="B163" s="30">
        <v>42958.38487696759</v>
      </c>
      <c r="C163" s="16">
        <v>1707006</v>
      </c>
      <c r="D163" s="17" t="s">
        <v>2248</v>
      </c>
      <c r="E163" s="17" t="s">
        <v>2249</v>
      </c>
      <c r="F163" s="19">
        <v>894832632</v>
      </c>
      <c r="G163" s="17" t="s">
        <v>1898</v>
      </c>
      <c r="H163" s="17" t="s">
        <v>2250</v>
      </c>
      <c r="I163" s="18" t="s">
        <v>2370</v>
      </c>
      <c r="J163" s="16" t="s">
        <v>2100</v>
      </c>
      <c r="K163" s="17">
        <v>1</v>
      </c>
      <c r="L163" s="18">
        <v>1000</v>
      </c>
      <c r="M163" s="16" t="s">
        <v>40</v>
      </c>
      <c r="N163" s="17">
        <v>0</v>
      </c>
      <c r="O163" s="18">
        <v>0</v>
      </c>
      <c r="P163" s="16" t="s">
        <v>40</v>
      </c>
      <c r="Q163" s="17">
        <v>0</v>
      </c>
      <c r="R163" s="18">
        <v>0</v>
      </c>
      <c r="S163" s="16" t="s">
        <v>40</v>
      </c>
      <c r="T163" s="17">
        <v>0</v>
      </c>
      <c r="U163" s="18">
        <v>0</v>
      </c>
      <c r="V163" s="16" t="s">
        <v>40</v>
      </c>
      <c r="W163" s="17">
        <v>0</v>
      </c>
      <c r="X163" s="18">
        <v>0</v>
      </c>
      <c r="Y163" s="15">
        <v>0</v>
      </c>
      <c r="Z163" s="15">
        <v>1000</v>
      </c>
    </row>
    <row r="164" spans="1:26" x14ac:dyDescent="0.2">
      <c r="A164" s="15">
        <v>183</v>
      </c>
      <c r="B164" s="30">
        <v>42958.530305902779</v>
      </c>
      <c r="C164" s="16">
        <v>1707031</v>
      </c>
      <c r="D164" s="17" t="s">
        <v>2299</v>
      </c>
      <c r="E164" s="17" t="s">
        <v>233</v>
      </c>
      <c r="F164" s="19">
        <v>870748986</v>
      </c>
      <c r="G164" s="17" t="s">
        <v>2373</v>
      </c>
      <c r="H164" s="17" t="s">
        <v>2300</v>
      </c>
      <c r="I164" s="18" t="s">
        <v>2374</v>
      </c>
      <c r="J164" s="16" t="s">
        <v>2371</v>
      </c>
      <c r="K164" s="17">
        <v>1</v>
      </c>
      <c r="L164" s="18">
        <v>1000</v>
      </c>
      <c r="M164" s="16" t="s">
        <v>2372</v>
      </c>
      <c r="N164" s="17">
        <v>1</v>
      </c>
      <c r="O164" s="18">
        <v>2500</v>
      </c>
      <c r="P164" s="16" t="s">
        <v>40</v>
      </c>
      <c r="Q164" s="17">
        <v>0</v>
      </c>
      <c r="R164" s="18">
        <v>0</v>
      </c>
      <c r="S164" s="16" t="s">
        <v>40</v>
      </c>
      <c r="T164" s="17">
        <v>0</v>
      </c>
      <c r="U164" s="18">
        <v>0</v>
      </c>
      <c r="V164" s="16" t="s">
        <v>40</v>
      </c>
      <c r="W164" s="17">
        <v>0</v>
      </c>
      <c r="X164" s="18">
        <v>0</v>
      </c>
      <c r="Y164" s="15">
        <v>0</v>
      </c>
      <c r="Z164" s="15">
        <v>3500</v>
      </c>
    </row>
    <row r="165" spans="1:26" x14ac:dyDescent="0.2">
      <c r="A165" s="15">
        <v>184</v>
      </c>
      <c r="B165" s="30">
        <v>42964.619469675927</v>
      </c>
      <c r="C165" s="16">
        <v>1707044</v>
      </c>
      <c r="D165" s="17" t="s">
        <v>2320</v>
      </c>
      <c r="E165" s="17" t="s">
        <v>40</v>
      </c>
      <c r="F165" s="19">
        <v>623960937</v>
      </c>
      <c r="G165" s="17" t="s">
        <v>2375</v>
      </c>
      <c r="H165" s="17" t="s">
        <v>2321</v>
      </c>
      <c r="I165" s="18" t="s">
        <v>2376</v>
      </c>
      <c r="J165" s="16" t="s">
        <v>1677</v>
      </c>
      <c r="K165" s="17">
        <v>1</v>
      </c>
      <c r="L165" s="18">
        <v>2000</v>
      </c>
      <c r="M165" s="16" t="s">
        <v>40</v>
      </c>
      <c r="N165" s="17">
        <v>0</v>
      </c>
      <c r="O165" s="18">
        <v>0</v>
      </c>
      <c r="P165" s="16" t="s">
        <v>40</v>
      </c>
      <c r="Q165" s="17">
        <v>0</v>
      </c>
      <c r="R165" s="18">
        <v>0</v>
      </c>
      <c r="S165" s="16" t="s">
        <v>40</v>
      </c>
      <c r="T165" s="17">
        <v>0</v>
      </c>
      <c r="U165" s="18">
        <v>0</v>
      </c>
      <c r="V165" s="16" t="s">
        <v>40</v>
      </c>
      <c r="W165" s="17">
        <v>0</v>
      </c>
      <c r="X165" s="18">
        <v>0</v>
      </c>
      <c r="Y165" s="15">
        <v>0</v>
      </c>
      <c r="Z165" s="15">
        <v>2000</v>
      </c>
    </row>
    <row r="166" spans="1:26" x14ac:dyDescent="0.2">
      <c r="A166" s="15">
        <v>185</v>
      </c>
      <c r="B166" s="30">
        <v>42965.624231365742</v>
      </c>
      <c r="C166" s="16">
        <v>1707004</v>
      </c>
      <c r="D166" s="17" t="s">
        <v>2246</v>
      </c>
      <c r="E166" s="17" t="s">
        <v>506</v>
      </c>
      <c r="F166" s="19">
        <v>982737527</v>
      </c>
      <c r="G166" s="17" t="s">
        <v>2378</v>
      </c>
      <c r="H166" s="17" t="s">
        <v>2247</v>
      </c>
      <c r="I166" s="18" t="s">
        <v>1923</v>
      </c>
      <c r="J166" s="16" t="s">
        <v>1677</v>
      </c>
      <c r="K166" s="17">
        <v>1</v>
      </c>
      <c r="L166" s="18">
        <v>2000</v>
      </c>
      <c r="M166" s="16" t="s">
        <v>2377</v>
      </c>
      <c r="N166" s="17">
        <v>1</v>
      </c>
      <c r="O166" s="18">
        <v>300</v>
      </c>
      <c r="P166" s="16" t="s">
        <v>40</v>
      </c>
      <c r="Q166" s="17">
        <v>0</v>
      </c>
      <c r="R166" s="18">
        <v>0</v>
      </c>
      <c r="S166" s="16" t="s">
        <v>40</v>
      </c>
      <c r="T166" s="17">
        <v>0</v>
      </c>
      <c r="U166" s="18">
        <v>0</v>
      </c>
      <c r="V166" s="16" t="s">
        <v>40</v>
      </c>
      <c r="W166" s="17">
        <v>0</v>
      </c>
      <c r="X166" s="18">
        <v>0</v>
      </c>
      <c r="Y166" s="15">
        <v>0</v>
      </c>
      <c r="Z166" s="15">
        <v>2300</v>
      </c>
    </row>
    <row r="167" spans="1:26" x14ac:dyDescent="0.2">
      <c r="A167" s="15">
        <v>186</v>
      </c>
      <c r="B167" s="30">
        <v>42965.664558680553</v>
      </c>
      <c r="C167" s="16">
        <v>1707030</v>
      </c>
      <c r="D167" s="17" t="s">
        <v>2297</v>
      </c>
      <c r="E167" s="17" t="s">
        <v>40</v>
      </c>
      <c r="F167" s="19">
        <v>625801825</v>
      </c>
      <c r="G167" s="17" t="s">
        <v>2379</v>
      </c>
      <c r="H167" s="17" t="s">
        <v>2298</v>
      </c>
      <c r="I167" s="18" t="s">
        <v>1715</v>
      </c>
      <c r="J167" s="16" t="s">
        <v>1671</v>
      </c>
      <c r="K167" s="17">
        <v>1</v>
      </c>
      <c r="L167" s="18">
        <v>6000</v>
      </c>
      <c r="M167" s="16" t="s">
        <v>40</v>
      </c>
      <c r="N167" s="17">
        <v>0</v>
      </c>
      <c r="O167" s="18">
        <v>0</v>
      </c>
      <c r="P167" s="16" t="s">
        <v>40</v>
      </c>
      <c r="Q167" s="17">
        <v>0</v>
      </c>
      <c r="R167" s="18">
        <v>0</v>
      </c>
      <c r="S167" s="16" t="s">
        <v>40</v>
      </c>
      <c r="T167" s="17">
        <v>0</v>
      </c>
      <c r="U167" s="18">
        <v>0</v>
      </c>
      <c r="V167" s="16" t="s">
        <v>40</v>
      </c>
      <c r="W167" s="17">
        <v>0</v>
      </c>
      <c r="X167" s="18">
        <v>0</v>
      </c>
      <c r="Y167" s="15">
        <v>0</v>
      </c>
      <c r="Z167" s="15">
        <v>6000</v>
      </c>
    </row>
    <row r="168" spans="1:26" x14ac:dyDescent="0.2">
      <c r="A168" s="15">
        <v>187</v>
      </c>
      <c r="B168" s="30">
        <v>42966.627034953701</v>
      </c>
      <c r="C168" s="16">
        <v>1707045</v>
      </c>
      <c r="D168" s="17" t="s">
        <v>2322</v>
      </c>
      <c r="E168" s="17" t="s">
        <v>227</v>
      </c>
      <c r="F168" s="19">
        <v>862898434</v>
      </c>
      <c r="G168" s="17" t="s">
        <v>2253</v>
      </c>
      <c r="H168" s="17" t="s">
        <v>2323</v>
      </c>
      <c r="I168" s="18" t="s">
        <v>2381</v>
      </c>
      <c r="J168" s="16" t="s">
        <v>2380</v>
      </c>
      <c r="K168" s="17">
        <v>1</v>
      </c>
      <c r="L168" s="18">
        <v>1500</v>
      </c>
      <c r="M168" s="16" t="s">
        <v>40</v>
      </c>
      <c r="N168" s="17">
        <v>0</v>
      </c>
      <c r="O168" s="18">
        <v>0</v>
      </c>
      <c r="P168" s="16" t="s">
        <v>40</v>
      </c>
      <c r="Q168" s="17">
        <v>0</v>
      </c>
      <c r="R168" s="18">
        <v>0</v>
      </c>
      <c r="S168" s="16" t="s">
        <v>40</v>
      </c>
      <c r="T168" s="17">
        <v>0</v>
      </c>
      <c r="U168" s="18">
        <v>0</v>
      </c>
      <c r="V168" s="16" t="s">
        <v>40</v>
      </c>
      <c r="W168" s="17">
        <v>0</v>
      </c>
      <c r="X168" s="18">
        <v>0</v>
      </c>
      <c r="Y168" s="15">
        <v>0</v>
      </c>
      <c r="Z168" s="15">
        <v>1500</v>
      </c>
    </row>
    <row r="169" spans="1:26" x14ac:dyDescent="0.2">
      <c r="A169" s="15">
        <v>188</v>
      </c>
      <c r="B169" s="30">
        <v>42969.709216203701</v>
      </c>
      <c r="C169" s="16">
        <v>1707023</v>
      </c>
      <c r="D169" s="17" t="s">
        <v>2295</v>
      </c>
      <c r="E169" s="17" t="s">
        <v>233</v>
      </c>
      <c r="F169" s="19">
        <v>814265638</v>
      </c>
      <c r="G169" s="17" t="s">
        <v>2383</v>
      </c>
      <c r="H169" s="17" t="s">
        <v>2296</v>
      </c>
      <c r="I169" s="18" t="s">
        <v>2384</v>
      </c>
      <c r="J169" s="16" t="s">
        <v>2382</v>
      </c>
      <c r="K169" s="17">
        <v>1</v>
      </c>
      <c r="L169" s="18">
        <v>100</v>
      </c>
      <c r="M169" s="16" t="s">
        <v>40</v>
      </c>
      <c r="N169" s="17">
        <v>0</v>
      </c>
      <c r="O169" s="18">
        <v>0</v>
      </c>
      <c r="P169" s="16" t="s">
        <v>40</v>
      </c>
      <c r="Q169" s="17">
        <v>0</v>
      </c>
      <c r="R169" s="18">
        <v>0</v>
      </c>
      <c r="S169" s="16" t="s">
        <v>40</v>
      </c>
      <c r="T169" s="17">
        <v>0</v>
      </c>
      <c r="U169" s="18">
        <v>0</v>
      </c>
      <c r="V169" s="16" t="s">
        <v>40</v>
      </c>
      <c r="W169" s="17">
        <v>0</v>
      </c>
      <c r="X169" s="18">
        <v>0</v>
      </c>
      <c r="Y169" s="15">
        <v>0</v>
      </c>
      <c r="Z169" s="15">
        <v>100</v>
      </c>
    </row>
    <row r="170" spans="1:26" x14ac:dyDescent="0.2">
      <c r="A170" s="15">
        <v>189</v>
      </c>
      <c r="B170" s="30">
        <v>42970.440253125002</v>
      </c>
      <c r="C170" s="16">
        <v>1707023</v>
      </c>
      <c r="D170" s="17" t="s">
        <v>2295</v>
      </c>
      <c r="E170" s="17" t="s">
        <v>233</v>
      </c>
      <c r="F170" s="19">
        <v>814265638</v>
      </c>
      <c r="G170" s="17" t="s">
        <v>2383</v>
      </c>
      <c r="H170" s="17" t="s">
        <v>2296</v>
      </c>
      <c r="I170" s="18" t="s">
        <v>2384</v>
      </c>
      <c r="J170" s="16" t="s">
        <v>2385</v>
      </c>
      <c r="K170" s="17">
        <v>2</v>
      </c>
      <c r="L170" s="18">
        <v>50</v>
      </c>
      <c r="M170" s="16" t="s">
        <v>40</v>
      </c>
      <c r="N170" s="17">
        <v>0</v>
      </c>
      <c r="O170" s="18">
        <v>0</v>
      </c>
      <c r="P170" s="16" t="s">
        <v>40</v>
      </c>
      <c r="Q170" s="17">
        <v>0</v>
      </c>
      <c r="R170" s="18">
        <v>0</v>
      </c>
      <c r="S170" s="16" t="s">
        <v>40</v>
      </c>
      <c r="T170" s="17">
        <v>0</v>
      </c>
      <c r="U170" s="18">
        <v>0</v>
      </c>
      <c r="V170" s="16" t="s">
        <v>40</v>
      </c>
      <c r="W170" s="17">
        <v>0</v>
      </c>
      <c r="X170" s="18">
        <v>0</v>
      </c>
      <c r="Y170" s="15">
        <v>0</v>
      </c>
      <c r="Z170" s="15">
        <v>100</v>
      </c>
    </row>
    <row r="171" spans="1:26" x14ac:dyDescent="0.2">
      <c r="A171" s="15">
        <v>190</v>
      </c>
      <c r="B171" s="30">
        <v>42970.696892361113</v>
      </c>
      <c r="C171" s="16">
        <v>1707001</v>
      </c>
      <c r="D171" s="17" t="s">
        <v>2241</v>
      </c>
      <c r="E171" s="17" t="s">
        <v>286</v>
      </c>
      <c r="F171" s="19">
        <v>814200043</v>
      </c>
      <c r="G171" s="17" t="s">
        <v>2386</v>
      </c>
      <c r="H171" s="17" t="s">
        <v>2242</v>
      </c>
      <c r="I171" s="18" t="s">
        <v>1912</v>
      </c>
      <c r="J171" s="16" t="s">
        <v>1671</v>
      </c>
      <c r="K171" s="17">
        <v>1</v>
      </c>
      <c r="L171" s="18">
        <v>2000</v>
      </c>
      <c r="M171" s="16" t="s">
        <v>40</v>
      </c>
      <c r="N171" s="17">
        <v>0</v>
      </c>
      <c r="O171" s="18">
        <v>0</v>
      </c>
      <c r="P171" s="16" t="s">
        <v>40</v>
      </c>
      <c r="Q171" s="17">
        <v>0</v>
      </c>
      <c r="R171" s="18">
        <v>0</v>
      </c>
      <c r="S171" s="16" t="s">
        <v>40</v>
      </c>
      <c r="T171" s="17">
        <v>0</v>
      </c>
      <c r="U171" s="18">
        <v>0</v>
      </c>
      <c r="V171" s="16" t="s">
        <v>40</v>
      </c>
      <c r="W171" s="17">
        <v>0</v>
      </c>
      <c r="X171" s="18">
        <v>0</v>
      </c>
      <c r="Y171" s="15">
        <v>0</v>
      </c>
      <c r="Z171" s="15">
        <v>2000</v>
      </c>
    </row>
    <row r="172" spans="1:26" x14ac:dyDescent="0.2">
      <c r="A172" s="15">
        <v>191</v>
      </c>
      <c r="B172" s="30">
        <v>42972.416116087959</v>
      </c>
      <c r="C172" s="16">
        <v>1707070</v>
      </c>
      <c r="D172" s="17" t="s">
        <v>2341</v>
      </c>
      <c r="E172" s="17" t="s">
        <v>40</v>
      </c>
      <c r="F172" s="19">
        <v>904281550</v>
      </c>
      <c r="G172" s="17" t="s">
        <v>1945</v>
      </c>
      <c r="H172" s="17" t="s">
        <v>2342</v>
      </c>
      <c r="I172" s="18" t="s">
        <v>1715</v>
      </c>
      <c r="J172" s="16" t="s">
        <v>1671</v>
      </c>
      <c r="K172" s="17">
        <v>1</v>
      </c>
      <c r="L172" s="18">
        <v>6000</v>
      </c>
      <c r="M172" s="16" t="s">
        <v>2344</v>
      </c>
      <c r="N172" s="17">
        <v>1</v>
      </c>
      <c r="O172" s="18">
        <v>1000</v>
      </c>
      <c r="P172" s="16" t="s">
        <v>40</v>
      </c>
      <c r="Q172" s="17">
        <v>0</v>
      </c>
      <c r="R172" s="18">
        <v>0</v>
      </c>
      <c r="S172" s="16" t="s">
        <v>40</v>
      </c>
      <c r="T172" s="17">
        <v>0</v>
      </c>
      <c r="U172" s="18">
        <v>0</v>
      </c>
      <c r="V172" s="16" t="s">
        <v>40</v>
      </c>
      <c r="W172" s="17">
        <v>0</v>
      </c>
      <c r="X172" s="18">
        <v>0</v>
      </c>
      <c r="Y172" s="15">
        <v>0</v>
      </c>
      <c r="Z172" s="15">
        <v>7000</v>
      </c>
    </row>
    <row r="173" spans="1:26" x14ac:dyDescent="0.2">
      <c r="A173" s="15">
        <v>192</v>
      </c>
      <c r="B173" s="30">
        <v>42973.457014004627</v>
      </c>
      <c r="C173" s="16">
        <v>1702016</v>
      </c>
      <c r="D173" s="17" t="s">
        <v>1980</v>
      </c>
      <c r="E173" s="17" t="s">
        <v>1192</v>
      </c>
      <c r="F173" s="19">
        <v>992465169</v>
      </c>
      <c r="G173" s="17" t="s">
        <v>2390</v>
      </c>
      <c r="H173" s="17" t="s">
        <v>1981</v>
      </c>
      <c r="I173" s="18" t="s">
        <v>2118</v>
      </c>
      <c r="J173" s="16" t="s">
        <v>2387</v>
      </c>
      <c r="K173" s="17">
        <v>1</v>
      </c>
      <c r="L173" s="18">
        <v>5000</v>
      </c>
      <c r="M173" s="16" t="s">
        <v>2388</v>
      </c>
      <c r="N173" s="17">
        <v>1</v>
      </c>
      <c r="O173" s="18">
        <v>1143</v>
      </c>
      <c r="P173" s="16" t="s">
        <v>2389</v>
      </c>
      <c r="Q173" s="17">
        <v>1</v>
      </c>
      <c r="R173" s="18">
        <v>696</v>
      </c>
      <c r="S173" s="16" t="s">
        <v>1803</v>
      </c>
      <c r="T173" s="17">
        <v>1</v>
      </c>
      <c r="U173" s="18">
        <v>1000</v>
      </c>
      <c r="V173" s="16" t="s">
        <v>40</v>
      </c>
      <c r="W173" s="17">
        <v>0</v>
      </c>
      <c r="X173" s="18">
        <v>0</v>
      </c>
      <c r="Y173" s="15">
        <v>0</v>
      </c>
      <c r="Z173" s="15">
        <v>7839</v>
      </c>
    </row>
    <row r="174" spans="1:26" x14ac:dyDescent="0.2">
      <c r="A174" s="15">
        <v>193</v>
      </c>
      <c r="B174" s="30">
        <v>42973.503306134262</v>
      </c>
      <c r="C174" s="16">
        <v>1708014</v>
      </c>
      <c r="D174" s="17" t="s">
        <v>2391</v>
      </c>
      <c r="E174" s="17" t="s">
        <v>254</v>
      </c>
      <c r="F174" s="19">
        <v>817153348</v>
      </c>
      <c r="G174" s="17" t="s">
        <v>1679</v>
      </c>
      <c r="H174" s="17" t="s">
        <v>2392</v>
      </c>
      <c r="I174" s="18" t="s">
        <v>2405</v>
      </c>
      <c r="J174" s="16" t="s">
        <v>1671</v>
      </c>
      <c r="K174" s="17">
        <v>1</v>
      </c>
      <c r="L174" s="18">
        <v>4000</v>
      </c>
      <c r="M174" s="16" t="s">
        <v>2404</v>
      </c>
      <c r="N174" s="17">
        <v>1</v>
      </c>
      <c r="O174" s="18">
        <v>500</v>
      </c>
      <c r="P174" s="16" t="s">
        <v>40</v>
      </c>
      <c r="Q174" s="17">
        <v>0</v>
      </c>
      <c r="R174" s="18">
        <v>0</v>
      </c>
      <c r="S174" s="16" t="s">
        <v>40</v>
      </c>
      <c r="T174" s="17">
        <v>0</v>
      </c>
      <c r="U174" s="18">
        <v>0</v>
      </c>
      <c r="V174" s="16" t="s">
        <v>40</v>
      </c>
      <c r="W174" s="17">
        <v>0</v>
      </c>
      <c r="X174" s="18">
        <v>0</v>
      </c>
      <c r="Y174" s="15">
        <v>0</v>
      </c>
      <c r="Z174" s="15">
        <v>4500</v>
      </c>
    </row>
    <row r="175" spans="1:26" x14ac:dyDescent="0.2">
      <c r="A175" s="15">
        <v>194</v>
      </c>
      <c r="B175" s="30">
        <v>42973.512788773151</v>
      </c>
      <c r="C175" s="16">
        <v>1705035</v>
      </c>
      <c r="D175" s="17" t="s">
        <v>2093</v>
      </c>
      <c r="E175" s="17" t="s">
        <v>506</v>
      </c>
      <c r="F175" s="19">
        <v>863291023</v>
      </c>
      <c r="G175" s="17" t="s">
        <v>2225</v>
      </c>
      <c r="H175" s="17" t="s">
        <v>2094</v>
      </c>
      <c r="I175" s="18" t="s">
        <v>2226</v>
      </c>
      <c r="J175" s="16" t="s">
        <v>1671</v>
      </c>
      <c r="K175" s="17">
        <v>1</v>
      </c>
      <c r="L175" s="18">
        <v>2000</v>
      </c>
      <c r="M175" s="16" t="s">
        <v>40</v>
      </c>
      <c r="N175" s="17">
        <v>0</v>
      </c>
      <c r="O175" s="18">
        <v>0</v>
      </c>
      <c r="P175" s="16" t="s">
        <v>40</v>
      </c>
      <c r="Q175" s="17">
        <v>0</v>
      </c>
      <c r="R175" s="18">
        <v>0</v>
      </c>
      <c r="S175" s="16" t="s">
        <v>40</v>
      </c>
      <c r="T175" s="17">
        <v>0</v>
      </c>
      <c r="U175" s="18">
        <v>0</v>
      </c>
      <c r="V175" s="16" t="s">
        <v>40</v>
      </c>
      <c r="W175" s="17">
        <v>0</v>
      </c>
      <c r="X175" s="18">
        <v>0</v>
      </c>
      <c r="Y175" s="15">
        <v>0</v>
      </c>
      <c r="Z175" s="15">
        <v>2000</v>
      </c>
    </row>
    <row r="176" spans="1:26" x14ac:dyDescent="0.2">
      <c r="A176" s="15">
        <v>195</v>
      </c>
      <c r="B176" s="30">
        <v>42973.51447858796</v>
      </c>
      <c r="C176" s="16">
        <v>1707067</v>
      </c>
      <c r="D176" s="17" t="s">
        <v>2339</v>
      </c>
      <c r="E176" s="17" t="s">
        <v>254</v>
      </c>
      <c r="F176" s="19">
        <v>882471882</v>
      </c>
      <c r="G176" s="17" t="s">
        <v>2406</v>
      </c>
      <c r="H176" s="17" t="s">
        <v>2340</v>
      </c>
      <c r="I176" s="18" t="s">
        <v>2407</v>
      </c>
      <c r="J176" s="16" t="s">
        <v>1671</v>
      </c>
      <c r="K176" s="17">
        <v>1</v>
      </c>
      <c r="L176" s="18">
        <v>6000</v>
      </c>
      <c r="M176" s="16" t="s">
        <v>40</v>
      </c>
      <c r="N176" s="17">
        <v>0</v>
      </c>
      <c r="O176" s="18">
        <v>0</v>
      </c>
      <c r="P176" s="16" t="s">
        <v>40</v>
      </c>
      <c r="Q176" s="17">
        <v>0</v>
      </c>
      <c r="R176" s="18">
        <v>0</v>
      </c>
      <c r="S176" s="16" t="s">
        <v>40</v>
      </c>
      <c r="T176" s="17">
        <v>0</v>
      </c>
      <c r="U176" s="18">
        <v>0</v>
      </c>
      <c r="V176" s="16" t="s">
        <v>40</v>
      </c>
      <c r="W176" s="17">
        <v>0</v>
      </c>
      <c r="X176" s="18">
        <v>0</v>
      </c>
      <c r="Y176" s="15">
        <v>0</v>
      </c>
      <c r="Z176" s="15">
        <v>6000</v>
      </c>
    </row>
    <row r="177" spans="1:26" x14ac:dyDescent="0.2">
      <c r="A177" s="15">
        <v>196</v>
      </c>
      <c r="B177" s="30">
        <v>42975.663692476854</v>
      </c>
      <c r="C177" s="16">
        <v>1708019</v>
      </c>
      <c r="D177" s="17" t="s">
        <v>2393</v>
      </c>
      <c r="E177" s="17" t="s">
        <v>263</v>
      </c>
      <c r="F177" s="19">
        <v>982897434</v>
      </c>
      <c r="G177" s="17" t="s">
        <v>2408</v>
      </c>
      <c r="H177" s="17" t="s">
        <v>2394</v>
      </c>
      <c r="I177" s="18" t="s">
        <v>2409</v>
      </c>
      <c r="J177" s="16" t="s">
        <v>2100</v>
      </c>
      <c r="K177" s="17">
        <v>1</v>
      </c>
      <c r="L177" s="18">
        <v>1000</v>
      </c>
      <c r="M177" s="16" t="s">
        <v>40</v>
      </c>
      <c r="N177" s="17">
        <v>0</v>
      </c>
      <c r="O177" s="18">
        <v>0</v>
      </c>
      <c r="P177" s="16" t="s">
        <v>40</v>
      </c>
      <c r="Q177" s="17">
        <v>0</v>
      </c>
      <c r="R177" s="18">
        <v>0</v>
      </c>
      <c r="S177" s="16" t="s">
        <v>40</v>
      </c>
      <c r="T177" s="17">
        <v>0</v>
      </c>
      <c r="U177" s="18">
        <v>0</v>
      </c>
      <c r="V177" s="16" t="s">
        <v>40</v>
      </c>
      <c r="W177" s="17">
        <v>0</v>
      </c>
      <c r="X177" s="18">
        <v>0</v>
      </c>
      <c r="Y177" s="15">
        <v>0</v>
      </c>
      <c r="Z177" s="15">
        <v>1000</v>
      </c>
    </row>
    <row r="178" spans="1:26" x14ac:dyDescent="0.2">
      <c r="A178" s="15">
        <v>197</v>
      </c>
      <c r="B178" s="30">
        <v>42975.664162615743</v>
      </c>
      <c r="C178" s="16">
        <v>1708033</v>
      </c>
      <c r="D178" s="17" t="s">
        <v>2396</v>
      </c>
      <c r="E178" s="17" t="s">
        <v>233</v>
      </c>
      <c r="F178" s="19">
        <v>853435531</v>
      </c>
      <c r="G178" s="17" t="s">
        <v>2410</v>
      </c>
      <c r="H178" s="17" t="s">
        <v>2397</v>
      </c>
      <c r="I178" s="18" t="s">
        <v>2411</v>
      </c>
      <c r="J178" s="16" t="s">
        <v>2081</v>
      </c>
      <c r="K178" s="17">
        <v>1</v>
      </c>
      <c r="L178" s="18">
        <v>1000</v>
      </c>
      <c r="M178" s="16" t="s">
        <v>40</v>
      </c>
      <c r="N178" s="17">
        <v>0</v>
      </c>
      <c r="O178" s="18">
        <v>0</v>
      </c>
      <c r="P178" s="16" t="s">
        <v>40</v>
      </c>
      <c r="Q178" s="17">
        <v>0</v>
      </c>
      <c r="R178" s="18">
        <v>0</v>
      </c>
      <c r="S178" s="16" t="s">
        <v>40</v>
      </c>
      <c r="T178" s="17">
        <v>0</v>
      </c>
      <c r="U178" s="18">
        <v>0</v>
      </c>
      <c r="V178" s="16" t="s">
        <v>40</v>
      </c>
      <c r="W178" s="17">
        <v>0</v>
      </c>
      <c r="X178" s="18">
        <v>0</v>
      </c>
      <c r="Y178" s="15">
        <v>0</v>
      </c>
      <c r="Z178" s="15">
        <v>1000</v>
      </c>
    </row>
    <row r="179" spans="1:26" x14ac:dyDescent="0.2">
      <c r="A179" s="15">
        <v>198</v>
      </c>
      <c r="B179" s="30">
        <v>42978.653927893516</v>
      </c>
      <c r="C179" s="16">
        <v>1705007</v>
      </c>
      <c r="D179" s="17">
        <v>0</v>
      </c>
      <c r="E179" s="17" t="s">
        <v>40</v>
      </c>
      <c r="F179" s="19">
        <v>0</v>
      </c>
      <c r="G179" s="17" t="s">
        <v>2413</v>
      </c>
      <c r="H179" s="17" t="s">
        <v>2051</v>
      </c>
      <c r="I179" s="18" t="s">
        <v>2414</v>
      </c>
      <c r="J179" s="16" t="s">
        <v>2412</v>
      </c>
      <c r="K179" s="17">
        <v>1</v>
      </c>
      <c r="L179" s="18">
        <v>3000</v>
      </c>
      <c r="M179" s="16" t="s">
        <v>40</v>
      </c>
      <c r="N179" s="17">
        <v>0</v>
      </c>
      <c r="O179" s="18">
        <v>0</v>
      </c>
      <c r="P179" s="16" t="s">
        <v>40</v>
      </c>
      <c r="Q179" s="17">
        <v>0</v>
      </c>
      <c r="R179" s="18">
        <v>0</v>
      </c>
      <c r="S179" s="16" t="s">
        <v>40</v>
      </c>
      <c r="T179" s="17">
        <v>0</v>
      </c>
      <c r="U179" s="18">
        <v>0</v>
      </c>
      <c r="V179" s="16" t="s">
        <v>40</v>
      </c>
      <c r="W179" s="17">
        <v>0</v>
      </c>
      <c r="X179" s="18">
        <v>0</v>
      </c>
      <c r="Y179" s="15">
        <v>0</v>
      </c>
      <c r="Z179" s="15">
        <v>3000</v>
      </c>
    </row>
    <row r="180" spans="1:26" x14ac:dyDescent="0.2">
      <c r="A180" s="15">
        <v>199</v>
      </c>
      <c r="B180" s="30">
        <v>42978.655052893519</v>
      </c>
      <c r="C180" s="16">
        <v>1708063</v>
      </c>
      <c r="D180" s="17" t="s">
        <v>2402</v>
      </c>
      <c r="E180" s="17" t="s">
        <v>233</v>
      </c>
      <c r="F180" s="19">
        <v>809679916</v>
      </c>
      <c r="G180" s="17" t="s">
        <v>2415</v>
      </c>
      <c r="H180" s="17" t="s">
        <v>2403</v>
      </c>
      <c r="I180" s="18" t="s">
        <v>2416</v>
      </c>
      <c r="J180" s="16" t="s">
        <v>1677</v>
      </c>
      <c r="K180" s="17">
        <v>1</v>
      </c>
      <c r="L180" s="18">
        <v>1000</v>
      </c>
      <c r="M180" s="16" t="s">
        <v>40</v>
      </c>
      <c r="N180" s="17">
        <v>0</v>
      </c>
      <c r="O180" s="18">
        <v>0</v>
      </c>
      <c r="P180" s="16" t="s">
        <v>40</v>
      </c>
      <c r="Q180" s="17">
        <v>0</v>
      </c>
      <c r="R180" s="18">
        <v>0</v>
      </c>
      <c r="S180" s="16" t="s">
        <v>40</v>
      </c>
      <c r="T180" s="17">
        <v>0</v>
      </c>
      <c r="U180" s="18">
        <v>0</v>
      </c>
      <c r="V180" s="16" t="s">
        <v>40</v>
      </c>
      <c r="W180" s="17">
        <v>0</v>
      </c>
      <c r="X180" s="18">
        <v>0</v>
      </c>
      <c r="Y180" s="15">
        <v>0</v>
      </c>
      <c r="Z180" s="15">
        <v>1000</v>
      </c>
    </row>
    <row r="181" spans="1:26" x14ac:dyDescent="0.2">
      <c r="A181" s="15">
        <v>200</v>
      </c>
      <c r="B181" s="30">
        <v>42978.676092824076</v>
      </c>
      <c r="C181" s="16">
        <v>1707047</v>
      </c>
      <c r="D181" s="17" t="s">
        <v>2324</v>
      </c>
      <c r="E181" s="17" t="s">
        <v>305</v>
      </c>
      <c r="F181" s="19">
        <v>860336213</v>
      </c>
      <c r="G181" s="17" t="s">
        <v>2417</v>
      </c>
      <c r="H181" s="17" t="s">
        <v>2325</v>
      </c>
      <c r="I181" s="18" t="s">
        <v>2418</v>
      </c>
      <c r="J181" s="16" t="s">
        <v>2213</v>
      </c>
      <c r="K181" s="17">
        <v>1</v>
      </c>
      <c r="L181" s="18">
        <v>3500</v>
      </c>
      <c r="M181" s="16" t="s">
        <v>40</v>
      </c>
      <c r="N181" s="17">
        <v>0</v>
      </c>
      <c r="O181" s="18">
        <v>0</v>
      </c>
      <c r="P181" s="16" t="s">
        <v>40</v>
      </c>
      <c r="Q181" s="17">
        <v>0</v>
      </c>
      <c r="R181" s="18">
        <v>0</v>
      </c>
      <c r="S181" s="16" t="s">
        <v>40</v>
      </c>
      <c r="T181" s="17">
        <v>0</v>
      </c>
      <c r="U181" s="18">
        <v>0</v>
      </c>
      <c r="V181" s="16" t="s">
        <v>40</v>
      </c>
      <c r="W181" s="17">
        <v>0</v>
      </c>
      <c r="X181" s="18">
        <v>0</v>
      </c>
      <c r="Y181" s="15">
        <v>0</v>
      </c>
      <c r="Z181" s="15">
        <v>3500</v>
      </c>
    </row>
    <row r="182" spans="1:26" x14ac:dyDescent="0.2">
      <c r="A182" s="15">
        <v>201</v>
      </c>
      <c r="B182" s="30">
        <v>42979.418406944445</v>
      </c>
      <c r="C182" s="16">
        <v>1708008</v>
      </c>
      <c r="D182" s="17" t="s">
        <v>2355</v>
      </c>
      <c r="E182" s="17" t="s">
        <v>625</v>
      </c>
      <c r="F182" s="19">
        <v>624459175</v>
      </c>
      <c r="G182" s="17" t="s">
        <v>1919</v>
      </c>
      <c r="H182" s="17" t="s">
        <v>2356</v>
      </c>
      <c r="I182" s="18" t="s">
        <v>2419</v>
      </c>
      <c r="J182" s="16" t="s">
        <v>1671</v>
      </c>
      <c r="K182" s="17">
        <v>1</v>
      </c>
      <c r="L182" s="18">
        <v>6000</v>
      </c>
      <c r="M182" s="16" t="s">
        <v>40</v>
      </c>
      <c r="N182" s="17">
        <v>0</v>
      </c>
      <c r="O182" s="18">
        <v>0</v>
      </c>
      <c r="P182" s="16" t="s">
        <v>40</v>
      </c>
      <c r="Q182" s="17">
        <v>0</v>
      </c>
      <c r="R182" s="18">
        <v>0</v>
      </c>
      <c r="S182" s="16" t="s">
        <v>40</v>
      </c>
      <c r="T182" s="17">
        <v>0</v>
      </c>
      <c r="U182" s="18">
        <v>0</v>
      </c>
      <c r="V182" s="16" t="s">
        <v>40</v>
      </c>
      <c r="W182" s="17">
        <v>0</v>
      </c>
      <c r="X182" s="18">
        <v>0</v>
      </c>
      <c r="Y182" s="15">
        <v>0</v>
      </c>
      <c r="Z182" s="15">
        <v>6000</v>
      </c>
    </row>
    <row r="183" spans="1:26" x14ac:dyDescent="0.2">
      <c r="A183" s="15">
        <v>202</v>
      </c>
      <c r="B183" s="30">
        <v>42979.717681944443</v>
      </c>
      <c r="C183" s="16">
        <v>1706049</v>
      </c>
      <c r="D183" s="17" t="s">
        <v>2207</v>
      </c>
      <c r="E183" s="17" t="s">
        <v>1192</v>
      </c>
      <c r="F183" s="19">
        <v>970574625</v>
      </c>
      <c r="G183" s="17" t="s">
        <v>2421</v>
      </c>
      <c r="H183" s="17" t="s">
        <v>2208</v>
      </c>
      <c r="I183" s="18" t="s">
        <v>1940</v>
      </c>
      <c r="J183" s="16" t="s">
        <v>2420</v>
      </c>
      <c r="K183" s="17">
        <v>1</v>
      </c>
      <c r="L183" s="18">
        <v>1000</v>
      </c>
      <c r="M183" s="16" t="s">
        <v>2272</v>
      </c>
      <c r="N183" s="17">
        <v>1</v>
      </c>
      <c r="O183" s="18">
        <v>300</v>
      </c>
      <c r="P183" s="16" t="s">
        <v>40</v>
      </c>
      <c r="Q183" s="17">
        <v>0</v>
      </c>
      <c r="R183" s="18">
        <v>0</v>
      </c>
      <c r="S183" s="16" t="s">
        <v>40</v>
      </c>
      <c r="T183" s="17">
        <v>0</v>
      </c>
      <c r="U183" s="18">
        <v>0</v>
      </c>
      <c r="V183" s="16" t="s">
        <v>40</v>
      </c>
      <c r="W183" s="17">
        <v>0</v>
      </c>
      <c r="X183" s="18">
        <v>0</v>
      </c>
      <c r="Y183" s="15">
        <v>0</v>
      </c>
      <c r="Z183" s="15">
        <v>1300</v>
      </c>
    </row>
    <row r="184" spans="1:26" x14ac:dyDescent="0.2">
      <c r="A184" s="15">
        <v>203</v>
      </c>
      <c r="B184" s="30">
        <v>42979.719194444442</v>
      </c>
      <c r="C184" s="16">
        <v>1707011</v>
      </c>
      <c r="D184" s="17" t="s">
        <v>2288</v>
      </c>
      <c r="E184" s="17" t="s">
        <v>305</v>
      </c>
      <c r="F184" s="19">
        <v>848790562</v>
      </c>
      <c r="G184" s="17" t="s">
        <v>2423</v>
      </c>
      <c r="H184" s="17" t="s">
        <v>2289</v>
      </c>
      <c r="I184" s="18" t="s">
        <v>1655</v>
      </c>
      <c r="J184" s="16" t="s">
        <v>2422</v>
      </c>
      <c r="K184" s="17">
        <v>1</v>
      </c>
      <c r="L184" s="18">
        <v>400</v>
      </c>
      <c r="M184" s="16" t="s">
        <v>40</v>
      </c>
      <c r="N184" s="17">
        <v>0</v>
      </c>
      <c r="O184" s="18">
        <v>0</v>
      </c>
      <c r="P184" s="16" t="s">
        <v>40</v>
      </c>
      <c r="Q184" s="17">
        <v>0</v>
      </c>
      <c r="R184" s="18">
        <v>0</v>
      </c>
      <c r="S184" s="16" t="s">
        <v>40</v>
      </c>
      <c r="T184" s="17">
        <v>0</v>
      </c>
      <c r="U184" s="18">
        <v>0</v>
      </c>
      <c r="V184" s="16" t="s">
        <v>40</v>
      </c>
      <c r="W184" s="17">
        <v>0</v>
      </c>
      <c r="X184" s="18">
        <v>0</v>
      </c>
      <c r="Y184" s="15">
        <v>0</v>
      </c>
      <c r="Z184" s="15">
        <v>400</v>
      </c>
    </row>
    <row r="185" spans="1:26" x14ac:dyDescent="0.2">
      <c r="A185" s="15">
        <v>204</v>
      </c>
      <c r="B185" s="30">
        <v>42980.477828009258</v>
      </c>
      <c r="C185" s="16">
        <v>1702016</v>
      </c>
      <c r="D185" s="17" t="s">
        <v>1980</v>
      </c>
      <c r="E185" s="17" t="s">
        <v>1192</v>
      </c>
      <c r="F185" s="19">
        <v>992465169</v>
      </c>
      <c r="G185" s="17" t="s">
        <v>2390</v>
      </c>
      <c r="H185" s="17" t="s">
        <v>1981</v>
      </c>
      <c r="I185" s="18" t="s">
        <v>2118</v>
      </c>
      <c r="J185" s="16" t="s">
        <v>2031</v>
      </c>
      <c r="K185" s="17">
        <v>1</v>
      </c>
      <c r="L185" s="18">
        <v>600</v>
      </c>
      <c r="M185" s="16" t="s">
        <v>40</v>
      </c>
      <c r="N185" s="17">
        <v>0</v>
      </c>
      <c r="O185" s="18">
        <v>0</v>
      </c>
      <c r="P185" s="16" t="s">
        <v>40</v>
      </c>
      <c r="Q185" s="17">
        <v>0</v>
      </c>
      <c r="R185" s="18">
        <v>0</v>
      </c>
      <c r="S185" s="16" t="s">
        <v>40</v>
      </c>
      <c r="T185" s="17">
        <v>0</v>
      </c>
      <c r="U185" s="18">
        <v>0</v>
      </c>
      <c r="V185" s="16" t="s">
        <v>40</v>
      </c>
      <c r="W185" s="17">
        <v>0</v>
      </c>
      <c r="X185" s="18">
        <v>0</v>
      </c>
      <c r="Y185" s="15">
        <v>100</v>
      </c>
      <c r="Z185" s="15">
        <v>500</v>
      </c>
    </row>
    <row r="186" spans="1:26" x14ac:dyDescent="0.2">
      <c r="A186" s="15">
        <v>205</v>
      </c>
      <c r="B186" s="30">
        <v>42983.577289351852</v>
      </c>
      <c r="C186" s="16">
        <v>1707020</v>
      </c>
      <c r="D186" s="17" t="s">
        <v>2293</v>
      </c>
      <c r="E186" s="17" t="s">
        <v>40</v>
      </c>
      <c r="F186" s="19">
        <v>810013741</v>
      </c>
      <c r="G186" s="17" t="s">
        <v>2424</v>
      </c>
      <c r="H186" s="17" t="s">
        <v>2294</v>
      </c>
      <c r="I186" s="18" t="s">
        <v>2176</v>
      </c>
      <c r="J186" s="16" t="s">
        <v>2081</v>
      </c>
      <c r="K186" s="17">
        <v>1</v>
      </c>
      <c r="L186" s="18">
        <v>2000</v>
      </c>
      <c r="M186" s="16" t="s">
        <v>40</v>
      </c>
      <c r="N186" s="17">
        <v>0</v>
      </c>
      <c r="O186" s="18">
        <v>0</v>
      </c>
      <c r="P186" s="16" t="s">
        <v>40</v>
      </c>
      <c r="Q186" s="17">
        <v>0</v>
      </c>
      <c r="R186" s="18">
        <v>0</v>
      </c>
      <c r="S186" s="16" t="s">
        <v>40</v>
      </c>
      <c r="T186" s="17">
        <v>0</v>
      </c>
      <c r="U186" s="18">
        <v>0</v>
      </c>
      <c r="V186" s="16" t="s">
        <v>40</v>
      </c>
      <c r="W186" s="17">
        <v>0</v>
      </c>
      <c r="X186" s="18">
        <v>0</v>
      </c>
      <c r="Y186" s="15">
        <v>0</v>
      </c>
      <c r="Z186" s="15">
        <v>2000</v>
      </c>
    </row>
    <row r="187" spans="1:26" x14ac:dyDescent="0.2">
      <c r="A187" s="15">
        <v>206</v>
      </c>
      <c r="B187" s="30">
        <v>42984.517695717594</v>
      </c>
      <c r="C187" s="16">
        <v>1705035</v>
      </c>
      <c r="D187" s="17" t="s">
        <v>2093</v>
      </c>
      <c r="E187" s="17" t="s">
        <v>506</v>
      </c>
      <c r="F187" s="19">
        <v>863291023</v>
      </c>
      <c r="G187" s="17" t="s">
        <v>2225</v>
      </c>
      <c r="H187" s="17" t="s">
        <v>2094</v>
      </c>
      <c r="I187" s="18" t="s">
        <v>2226</v>
      </c>
      <c r="J187" s="16" t="s">
        <v>1671</v>
      </c>
      <c r="K187" s="17">
        <v>1</v>
      </c>
      <c r="L187" s="18">
        <v>2000</v>
      </c>
      <c r="M187" s="16" t="s">
        <v>2425</v>
      </c>
      <c r="N187" s="17">
        <v>1</v>
      </c>
      <c r="O187" s="18">
        <v>800</v>
      </c>
      <c r="P187" s="16" t="s">
        <v>40</v>
      </c>
      <c r="Q187" s="17">
        <v>0</v>
      </c>
      <c r="R187" s="18">
        <v>0</v>
      </c>
      <c r="S187" s="16" t="s">
        <v>40</v>
      </c>
      <c r="T187" s="17">
        <v>0</v>
      </c>
      <c r="U187" s="18">
        <v>0</v>
      </c>
      <c r="V187" s="16" t="s">
        <v>40</v>
      </c>
      <c r="W187" s="17">
        <v>0</v>
      </c>
      <c r="X187" s="18">
        <v>0</v>
      </c>
      <c r="Y187" s="15">
        <v>0</v>
      </c>
      <c r="Z187" s="15">
        <v>2800</v>
      </c>
    </row>
    <row r="188" spans="1:26" x14ac:dyDescent="0.2">
      <c r="A188" s="15">
        <v>207</v>
      </c>
      <c r="B188" s="30">
        <v>42985.687622569443</v>
      </c>
      <c r="C188" s="16">
        <v>1708050</v>
      </c>
      <c r="D188" s="17" t="s">
        <v>2400</v>
      </c>
      <c r="E188" s="17" t="s">
        <v>506</v>
      </c>
      <c r="F188" s="19">
        <v>969199166</v>
      </c>
      <c r="G188" s="17" t="s">
        <v>1898</v>
      </c>
      <c r="H188" s="17" t="s">
        <v>2401</v>
      </c>
      <c r="I188" s="18" t="s">
        <v>2055</v>
      </c>
      <c r="J188" s="16" t="s">
        <v>1671</v>
      </c>
      <c r="K188" s="17">
        <v>1</v>
      </c>
      <c r="L188" s="18">
        <v>8000</v>
      </c>
      <c r="M188" s="16" t="s">
        <v>40</v>
      </c>
      <c r="N188" s="17">
        <v>0</v>
      </c>
      <c r="O188" s="18">
        <v>0</v>
      </c>
      <c r="P188" s="16" t="s">
        <v>40</v>
      </c>
      <c r="Q188" s="17">
        <v>0</v>
      </c>
      <c r="R188" s="18">
        <v>0</v>
      </c>
      <c r="S188" s="16" t="s">
        <v>40</v>
      </c>
      <c r="T188" s="17">
        <v>0</v>
      </c>
      <c r="U188" s="18">
        <v>0</v>
      </c>
      <c r="V188" s="16" t="s">
        <v>40</v>
      </c>
      <c r="W188" s="17">
        <v>0</v>
      </c>
      <c r="X188" s="18">
        <v>0</v>
      </c>
      <c r="Y188" s="15">
        <v>0</v>
      </c>
      <c r="Z188" s="15">
        <v>8000</v>
      </c>
    </row>
    <row r="189" spans="1:26" x14ac:dyDescent="0.2">
      <c r="A189" s="15">
        <v>208</v>
      </c>
      <c r="B189" s="30">
        <v>42992.648157175929</v>
      </c>
      <c r="C189" s="16">
        <v>1707052</v>
      </c>
      <c r="D189" s="17" t="s">
        <v>3992</v>
      </c>
      <c r="E189" s="17" t="s">
        <v>286</v>
      </c>
      <c r="F189" s="19">
        <v>970971598</v>
      </c>
      <c r="G189" s="17" t="s">
        <v>4216</v>
      </c>
      <c r="H189" s="17" t="s">
        <v>3993</v>
      </c>
      <c r="I189" s="18" t="s">
        <v>4217</v>
      </c>
      <c r="J189" s="16" t="s">
        <v>1677</v>
      </c>
      <c r="K189" s="17">
        <v>1</v>
      </c>
      <c r="L189" s="18">
        <v>6000</v>
      </c>
      <c r="M189" s="16" t="s">
        <v>4215</v>
      </c>
      <c r="N189" s="17">
        <v>1</v>
      </c>
      <c r="O189" s="18">
        <v>3000</v>
      </c>
      <c r="P189" s="16" t="s">
        <v>40</v>
      </c>
      <c r="Q189" s="17">
        <v>0</v>
      </c>
      <c r="R189" s="18">
        <v>0</v>
      </c>
      <c r="S189" s="16" t="s">
        <v>40</v>
      </c>
      <c r="T189" s="17">
        <v>0</v>
      </c>
      <c r="U189" s="18">
        <v>0</v>
      </c>
      <c r="V189" s="16" t="s">
        <v>40</v>
      </c>
      <c r="W189" s="17">
        <v>0</v>
      </c>
      <c r="X189" s="18">
        <v>0</v>
      </c>
      <c r="Y189" s="15">
        <v>0</v>
      </c>
      <c r="Z189" s="15">
        <v>9000</v>
      </c>
    </row>
    <row r="190" spans="1:26" x14ac:dyDescent="0.2">
      <c r="A190" s="15">
        <v>209</v>
      </c>
      <c r="B190" s="30">
        <v>42994.543699305555</v>
      </c>
      <c r="C190" s="16">
        <v>1709022</v>
      </c>
      <c r="D190" s="17" t="s">
        <v>4181</v>
      </c>
      <c r="E190" s="17" t="s">
        <v>40</v>
      </c>
      <c r="F190" s="19">
        <v>631726970</v>
      </c>
      <c r="G190" s="17" t="s">
        <v>1712</v>
      </c>
      <c r="H190" s="17" t="s">
        <v>4182</v>
      </c>
      <c r="I190" s="18" t="s">
        <v>1715</v>
      </c>
      <c r="J190" s="16" t="s">
        <v>4218</v>
      </c>
      <c r="K190" s="17">
        <v>1</v>
      </c>
      <c r="L190" s="18">
        <v>2500</v>
      </c>
      <c r="M190" s="16" t="s">
        <v>4219</v>
      </c>
      <c r="N190" s="17">
        <v>1</v>
      </c>
      <c r="O190" s="18">
        <v>500</v>
      </c>
      <c r="P190" s="16" t="s">
        <v>4220</v>
      </c>
      <c r="Q190" s="17">
        <v>1</v>
      </c>
      <c r="R190" s="18">
        <v>1000</v>
      </c>
      <c r="S190" s="16" t="s">
        <v>2189</v>
      </c>
      <c r="T190" s="17">
        <v>1</v>
      </c>
      <c r="U190" s="18">
        <v>1200</v>
      </c>
      <c r="V190" s="16" t="s">
        <v>4221</v>
      </c>
      <c r="W190" s="17">
        <v>1</v>
      </c>
      <c r="X190" s="18">
        <v>825</v>
      </c>
      <c r="Y190" s="15">
        <v>0</v>
      </c>
      <c r="Z190" s="15">
        <v>6025</v>
      </c>
    </row>
    <row r="191" spans="1:26" x14ac:dyDescent="0.2">
      <c r="A191" s="15">
        <v>210</v>
      </c>
      <c r="B191" s="30">
        <v>42996.472088310184</v>
      </c>
      <c r="C191" s="16">
        <v>1708059</v>
      </c>
      <c r="D191" s="17" t="s">
        <v>4116</v>
      </c>
      <c r="E191" s="17" t="s">
        <v>222</v>
      </c>
      <c r="F191" s="19">
        <v>816853407</v>
      </c>
      <c r="G191" s="17" t="s">
        <v>4222</v>
      </c>
      <c r="H191" s="17" t="s">
        <v>4117</v>
      </c>
      <c r="I191" s="18" t="s">
        <v>2155</v>
      </c>
      <c r="J191" s="16" t="s">
        <v>1671</v>
      </c>
      <c r="K191" s="17">
        <v>1</v>
      </c>
      <c r="L191" s="18">
        <v>6000</v>
      </c>
      <c r="M191" s="16" t="s">
        <v>40</v>
      </c>
      <c r="N191" s="17">
        <v>0</v>
      </c>
      <c r="O191" s="18">
        <v>0</v>
      </c>
      <c r="P191" s="16" t="s">
        <v>40</v>
      </c>
      <c r="Q191" s="17">
        <v>0</v>
      </c>
      <c r="R191" s="18">
        <v>0</v>
      </c>
      <c r="S191" s="16" t="s">
        <v>40</v>
      </c>
      <c r="T191" s="17">
        <v>0</v>
      </c>
      <c r="U191" s="18">
        <v>0</v>
      </c>
      <c r="V191" s="16" t="s">
        <v>40</v>
      </c>
      <c r="W191" s="17">
        <v>0</v>
      </c>
      <c r="X191" s="18">
        <v>0</v>
      </c>
      <c r="Y191" s="15">
        <v>0</v>
      </c>
      <c r="Z191" s="15">
        <v>6000</v>
      </c>
    </row>
    <row r="192" spans="1:26" x14ac:dyDescent="0.2">
      <c r="A192" s="15">
        <v>211</v>
      </c>
      <c r="B192" s="30">
        <v>42997.604739236114</v>
      </c>
      <c r="C192" s="16">
        <v>1708054</v>
      </c>
      <c r="D192" s="17" t="s">
        <v>4108</v>
      </c>
      <c r="E192" s="17" t="s">
        <v>233</v>
      </c>
      <c r="F192" s="19">
        <v>859010499</v>
      </c>
      <c r="G192" s="17" t="s">
        <v>4223</v>
      </c>
      <c r="H192" s="17" t="s">
        <v>4109</v>
      </c>
      <c r="I192" s="18" t="s">
        <v>4224</v>
      </c>
      <c r="J192" s="16" t="s">
        <v>2081</v>
      </c>
      <c r="K192" s="17">
        <v>1</v>
      </c>
      <c r="L192" s="18">
        <v>1000</v>
      </c>
      <c r="M192" s="16" t="s">
        <v>40</v>
      </c>
      <c r="N192" s="17">
        <v>0</v>
      </c>
      <c r="O192" s="18">
        <v>0</v>
      </c>
      <c r="P192" s="16" t="s">
        <v>40</v>
      </c>
      <c r="Q192" s="17">
        <v>0</v>
      </c>
      <c r="R192" s="18">
        <v>0</v>
      </c>
      <c r="S192" s="16" t="s">
        <v>40</v>
      </c>
      <c r="T192" s="17">
        <v>0</v>
      </c>
      <c r="U192" s="18">
        <v>0</v>
      </c>
      <c r="V192" s="16" t="s">
        <v>40</v>
      </c>
      <c r="W192" s="17">
        <v>0</v>
      </c>
      <c r="X192" s="18">
        <v>0</v>
      </c>
      <c r="Y192" s="15">
        <v>0</v>
      </c>
      <c r="Z192" s="15">
        <v>1000</v>
      </c>
    </row>
    <row r="193" spans="1:26" x14ac:dyDescent="0.2">
      <c r="A193" s="15">
        <v>212</v>
      </c>
      <c r="B193" s="30">
        <v>42997.60570925926</v>
      </c>
      <c r="C193" s="16">
        <v>1709029</v>
      </c>
      <c r="D193" s="17" t="s">
        <v>3587</v>
      </c>
      <c r="E193" s="17" t="s">
        <v>263</v>
      </c>
      <c r="F193" s="19">
        <v>898997275</v>
      </c>
      <c r="G193" s="17" t="s">
        <v>4226</v>
      </c>
      <c r="H193" s="17" t="s">
        <v>3588</v>
      </c>
      <c r="I193" s="18" t="s">
        <v>4227</v>
      </c>
      <c r="J193" s="16" t="s">
        <v>2081</v>
      </c>
      <c r="K193" s="17">
        <v>1</v>
      </c>
      <c r="L193" s="18">
        <v>1000</v>
      </c>
      <c r="M193" s="16" t="s">
        <v>1966</v>
      </c>
      <c r="N193" s="17">
        <v>1</v>
      </c>
      <c r="O193" s="18">
        <v>3500</v>
      </c>
      <c r="P193" s="16" t="s">
        <v>4225</v>
      </c>
      <c r="Q193" s="17">
        <v>1</v>
      </c>
      <c r="R193" s="18">
        <v>1500</v>
      </c>
      <c r="S193" s="16" t="s">
        <v>40</v>
      </c>
      <c r="T193" s="17">
        <v>0</v>
      </c>
      <c r="U193" s="18">
        <v>0</v>
      </c>
      <c r="V193" s="16" t="s">
        <v>40</v>
      </c>
      <c r="W193" s="17">
        <v>0</v>
      </c>
      <c r="X193" s="18">
        <v>0</v>
      </c>
      <c r="Y193" s="15">
        <v>0</v>
      </c>
      <c r="Z193" s="15">
        <v>6000</v>
      </c>
    </row>
    <row r="194" spans="1:26" x14ac:dyDescent="0.2">
      <c r="A194" s="15">
        <v>213</v>
      </c>
      <c r="B194" s="30">
        <v>42997.625269791664</v>
      </c>
      <c r="C194" s="16">
        <v>1708054</v>
      </c>
      <c r="D194" s="17" t="s">
        <v>4108</v>
      </c>
      <c r="E194" s="17" t="s">
        <v>233</v>
      </c>
      <c r="F194" s="19">
        <v>859010499</v>
      </c>
      <c r="G194" s="17" t="s">
        <v>4223</v>
      </c>
      <c r="H194" s="17" t="s">
        <v>4109</v>
      </c>
      <c r="I194" s="18" t="s">
        <v>4224</v>
      </c>
      <c r="J194" s="16" t="s">
        <v>2081</v>
      </c>
      <c r="K194" s="17">
        <v>1</v>
      </c>
      <c r="L194" s="18">
        <v>10000</v>
      </c>
      <c r="M194" s="16" t="s">
        <v>40</v>
      </c>
      <c r="N194" s="17">
        <v>0</v>
      </c>
      <c r="O194" s="18">
        <v>0</v>
      </c>
      <c r="P194" s="16" t="s">
        <v>40</v>
      </c>
      <c r="Q194" s="17">
        <v>0</v>
      </c>
      <c r="R194" s="18">
        <v>0</v>
      </c>
      <c r="S194" s="16" t="s">
        <v>40</v>
      </c>
      <c r="T194" s="17">
        <v>0</v>
      </c>
      <c r="U194" s="18">
        <v>0</v>
      </c>
      <c r="V194" s="16" t="s">
        <v>40</v>
      </c>
      <c r="W194" s="17">
        <v>0</v>
      </c>
      <c r="X194" s="18">
        <v>0</v>
      </c>
      <c r="Y194" s="15">
        <v>0</v>
      </c>
      <c r="Z194" s="15">
        <v>10000</v>
      </c>
    </row>
    <row r="195" spans="1:26" x14ac:dyDescent="0.2">
      <c r="A195" s="15">
        <v>214</v>
      </c>
      <c r="B195" s="30">
        <v>42999.700516550925</v>
      </c>
      <c r="C195" s="16">
        <v>1709067</v>
      </c>
      <c r="D195" s="17" t="e">
        <v>#N/A</v>
      </c>
      <c r="E195" s="17" t="e">
        <v>#N/A</v>
      </c>
      <c r="F195" s="19" t="e">
        <v>#N/A</v>
      </c>
      <c r="G195" s="17" t="e">
        <v>#N/A</v>
      </c>
      <c r="H195" s="17" t="e">
        <v>#N/A</v>
      </c>
      <c r="I195" s="18" t="e">
        <v>#N/A</v>
      </c>
      <c r="J195" s="16" t="s">
        <v>40</v>
      </c>
      <c r="K195" s="17">
        <v>0</v>
      </c>
      <c r="L195" s="18">
        <v>0</v>
      </c>
      <c r="M195" s="16" t="s">
        <v>40</v>
      </c>
      <c r="N195" s="17">
        <v>0</v>
      </c>
      <c r="O195" s="18">
        <v>0</v>
      </c>
      <c r="P195" s="16" t="s">
        <v>40</v>
      </c>
      <c r="Q195" s="17">
        <v>0</v>
      </c>
      <c r="R195" s="18">
        <v>0</v>
      </c>
      <c r="S195" s="16" t="s">
        <v>40</v>
      </c>
      <c r="T195" s="17">
        <v>0</v>
      </c>
      <c r="U195" s="18">
        <v>0</v>
      </c>
      <c r="V195" s="16" t="s">
        <v>40</v>
      </c>
      <c r="W195" s="17">
        <v>0</v>
      </c>
      <c r="X195" s="18">
        <v>0</v>
      </c>
      <c r="Y195" s="15">
        <v>0</v>
      </c>
      <c r="Z195" s="15">
        <v>0</v>
      </c>
    </row>
    <row r="196" spans="1:26" x14ac:dyDescent="0.2">
      <c r="A196" s="15">
        <v>215</v>
      </c>
      <c r="B196" s="30">
        <v>43000.657728124999</v>
      </c>
      <c r="C196" s="16">
        <v>1708054</v>
      </c>
      <c r="D196" s="17" t="s">
        <v>4108</v>
      </c>
      <c r="E196" s="17" t="s">
        <v>233</v>
      </c>
      <c r="F196" s="19">
        <v>859010499</v>
      </c>
      <c r="G196" s="17" t="s">
        <v>4223</v>
      </c>
      <c r="H196" s="17" t="s">
        <v>4109</v>
      </c>
      <c r="I196" s="18" t="s">
        <v>4224</v>
      </c>
      <c r="J196" s="16" t="s">
        <v>2100</v>
      </c>
      <c r="K196" s="17">
        <v>1</v>
      </c>
      <c r="L196" s="18">
        <v>10000</v>
      </c>
      <c r="M196" s="16" t="s">
        <v>4293</v>
      </c>
      <c r="N196" s="17">
        <v>1</v>
      </c>
      <c r="O196" s="18">
        <v>500</v>
      </c>
      <c r="P196" s="16" t="s">
        <v>40</v>
      </c>
      <c r="Q196" s="17">
        <v>0</v>
      </c>
      <c r="R196" s="18">
        <v>0</v>
      </c>
      <c r="S196" s="16" t="s">
        <v>40</v>
      </c>
      <c r="T196" s="17">
        <v>0</v>
      </c>
      <c r="U196" s="18">
        <v>0</v>
      </c>
      <c r="V196" s="16" t="s">
        <v>40</v>
      </c>
      <c r="W196" s="17">
        <v>0</v>
      </c>
      <c r="X196" s="18">
        <v>0</v>
      </c>
      <c r="Y196" s="15">
        <v>0</v>
      </c>
      <c r="Z196" s="15">
        <v>10500</v>
      </c>
    </row>
    <row r="197" spans="1:26" x14ac:dyDescent="0.2">
      <c r="A197" s="15">
        <v>216</v>
      </c>
      <c r="B197" s="30">
        <v>43001.615560069447</v>
      </c>
      <c r="C197" s="16">
        <v>1708045</v>
      </c>
      <c r="D197" s="17" t="s">
        <v>4093</v>
      </c>
      <c r="E197" s="17" t="s">
        <v>243</v>
      </c>
      <c r="F197" s="19">
        <v>859173411</v>
      </c>
      <c r="G197" s="17" t="s">
        <v>4295</v>
      </c>
      <c r="H197" s="17" t="s">
        <v>4094</v>
      </c>
      <c r="I197" s="18" t="s">
        <v>4296</v>
      </c>
      <c r="J197" s="16" t="s">
        <v>2081</v>
      </c>
      <c r="K197" s="17">
        <v>1</v>
      </c>
      <c r="L197" s="18">
        <v>4000</v>
      </c>
      <c r="M197" s="16" t="s">
        <v>4294</v>
      </c>
      <c r="N197" s="17">
        <v>1</v>
      </c>
      <c r="O197" s="18">
        <v>825</v>
      </c>
      <c r="P197" s="16" t="s">
        <v>40</v>
      </c>
      <c r="Q197" s="17">
        <v>0</v>
      </c>
      <c r="R197" s="18">
        <v>0</v>
      </c>
      <c r="S197" s="16" t="s">
        <v>40</v>
      </c>
      <c r="T197" s="17">
        <v>0</v>
      </c>
      <c r="U197" s="18">
        <v>0</v>
      </c>
      <c r="V197" s="16" t="s">
        <v>40</v>
      </c>
      <c r="W197" s="17">
        <v>0</v>
      </c>
      <c r="X197" s="18">
        <v>0</v>
      </c>
      <c r="Y197" s="15">
        <v>0</v>
      </c>
      <c r="Z197" s="15">
        <v>4825</v>
      </c>
    </row>
    <row r="198" spans="1:26" x14ac:dyDescent="0.2">
      <c r="A198" s="15">
        <v>217</v>
      </c>
      <c r="B198" s="30">
        <v>43001.669070023148</v>
      </c>
      <c r="C198" s="16">
        <v>1707039</v>
      </c>
      <c r="D198" s="17" t="s">
        <v>3975</v>
      </c>
      <c r="E198" s="17" t="s">
        <v>254</v>
      </c>
      <c r="F198" s="19">
        <v>804595989</v>
      </c>
      <c r="G198" s="17" t="s">
        <v>1909</v>
      </c>
      <c r="H198" s="17" t="s">
        <v>3976</v>
      </c>
      <c r="I198" s="18" t="s">
        <v>2238</v>
      </c>
      <c r="J198" s="16" t="s">
        <v>2081</v>
      </c>
      <c r="K198" s="17">
        <v>1</v>
      </c>
      <c r="L198" s="18">
        <v>4000</v>
      </c>
      <c r="M198" s="16" t="s">
        <v>40</v>
      </c>
      <c r="N198" s="17">
        <v>0</v>
      </c>
      <c r="O198" s="18">
        <v>0</v>
      </c>
      <c r="P198" s="16" t="s">
        <v>40</v>
      </c>
      <c r="Q198" s="17">
        <v>0</v>
      </c>
      <c r="R198" s="18">
        <v>0</v>
      </c>
      <c r="S198" s="16" t="s">
        <v>40</v>
      </c>
      <c r="T198" s="17">
        <v>0</v>
      </c>
      <c r="U198" s="18">
        <v>0</v>
      </c>
      <c r="V198" s="16" t="s">
        <v>40</v>
      </c>
      <c r="W198" s="17">
        <v>0</v>
      </c>
      <c r="X198" s="18">
        <v>0</v>
      </c>
      <c r="Y198" s="15">
        <v>0</v>
      </c>
      <c r="Z198" s="15">
        <v>4000</v>
      </c>
    </row>
    <row r="199" spans="1:26" x14ac:dyDescent="0.2">
      <c r="A199" s="15">
        <v>218</v>
      </c>
      <c r="B199" s="30">
        <v>43003.460155671295</v>
      </c>
      <c r="C199" s="16">
        <v>1708072</v>
      </c>
      <c r="D199" s="17" t="s">
        <v>2429</v>
      </c>
      <c r="E199" s="17" t="s">
        <v>40</v>
      </c>
      <c r="F199" s="19">
        <v>847721043</v>
      </c>
      <c r="G199" s="17" t="s">
        <v>1693</v>
      </c>
      <c r="H199" s="17" t="s">
        <v>2430</v>
      </c>
      <c r="I199" s="18" t="s">
        <v>1713</v>
      </c>
      <c r="J199" s="16" t="s">
        <v>4297</v>
      </c>
      <c r="K199" s="17">
        <v>1</v>
      </c>
      <c r="L199" s="18">
        <v>20</v>
      </c>
      <c r="M199" s="16" t="s">
        <v>40</v>
      </c>
      <c r="N199" s="17">
        <v>0</v>
      </c>
      <c r="O199" s="18">
        <v>0</v>
      </c>
      <c r="P199" s="16" t="s">
        <v>40</v>
      </c>
      <c r="Q199" s="17">
        <v>0</v>
      </c>
      <c r="R199" s="18">
        <v>0</v>
      </c>
      <c r="S199" s="16" t="s">
        <v>40</v>
      </c>
      <c r="T199" s="17">
        <v>0</v>
      </c>
      <c r="U199" s="18">
        <v>0</v>
      </c>
      <c r="V199" s="16" t="s">
        <v>40</v>
      </c>
      <c r="W199" s="17">
        <v>0</v>
      </c>
      <c r="X199" s="18">
        <v>0</v>
      </c>
      <c r="Y199" s="15">
        <v>0</v>
      </c>
      <c r="Z199" s="15">
        <v>20</v>
      </c>
    </row>
    <row r="200" spans="1:26" x14ac:dyDescent="0.2">
      <c r="A200" s="15">
        <v>219</v>
      </c>
      <c r="B200" s="30">
        <v>43003.538218981485</v>
      </c>
      <c r="C200" s="16">
        <v>1709066</v>
      </c>
      <c r="D200" s="17" t="s">
        <v>4281</v>
      </c>
      <c r="E200" s="17" t="s">
        <v>40</v>
      </c>
      <c r="F200" s="19">
        <v>0</v>
      </c>
      <c r="G200" s="17" t="s">
        <v>4299</v>
      </c>
      <c r="H200" s="17" t="s">
        <v>4282</v>
      </c>
      <c r="I200" s="18" t="s">
        <v>1648</v>
      </c>
      <c r="J200" s="16" t="s">
        <v>4298</v>
      </c>
      <c r="K200" s="17">
        <v>1</v>
      </c>
      <c r="L200" s="18">
        <v>6400</v>
      </c>
      <c r="M200" s="16" t="s">
        <v>40</v>
      </c>
      <c r="N200" s="17">
        <v>0</v>
      </c>
      <c r="O200" s="18">
        <v>0</v>
      </c>
      <c r="P200" s="16" t="s">
        <v>40</v>
      </c>
      <c r="Q200" s="17">
        <v>0</v>
      </c>
      <c r="R200" s="18">
        <v>0</v>
      </c>
      <c r="S200" s="16" t="s">
        <v>40</v>
      </c>
      <c r="T200" s="17">
        <v>0</v>
      </c>
      <c r="U200" s="18">
        <v>0</v>
      </c>
      <c r="V200" s="16" t="s">
        <v>40</v>
      </c>
      <c r="W200" s="17">
        <v>0</v>
      </c>
      <c r="X200" s="18">
        <v>0</v>
      </c>
      <c r="Y200" s="15">
        <v>0</v>
      </c>
      <c r="Z200" s="15">
        <v>6400</v>
      </c>
    </row>
    <row r="201" spans="1:26" x14ac:dyDescent="0.2">
      <c r="A201" s="15">
        <v>220</v>
      </c>
      <c r="B201" s="30">
        <v>43004.744603125</v>
      </c>
      <c r="C201" s="16">
        <v>1708043</v>
      </c>
      <c r="D201" s="17" t="s">
        <v>4090</v>
      </c>
      <c r="E201" s="17" t="s">
        <v>243</v>
      </c>
      <c r="F201" s="19">
        <v>958176089</v>
      </c>
      <c r="G201" s="17" t="s">
        <v>4302</v>
      </c>
      <c r="H201" s="17" t="s">
        <v>4091</v>
      </c>
      <c r="I201" s="18" t="s">
        <v>4303</v>
      </c>
      <c r="J201" s="16" t="s">
        <v>2081</v>
      </c>
      <c r="K201" s="17">
        <v>1</v>
      </c>
      <c r="L201" s="18">
        <v>2000</v>
      </c>
      <c r="M201" s="16" t="s">
        <v>4300</v>
      </c>
      <c r="N201" s="17">
        <v>1</v>
      </c>
      <c r="O201" s="18">
        <v>300</v>
      </c>
      <c r="P201" s="16" t="s">
        <v>4301</v>
      </c>
      <c r="Q201" s="17">
        <v>0</v>
      </c>
      <c r="R201" s="18">
        <v>0</v>
      </c>
      <c r="S201" s="16" t="s">
        <v>40</v>
      </c>
      <c r="T201" s="17">
        <v>0</v>
      </c>
      <c r="U201" s="18">
        <v>0</v>
      </c>
      <c r="V201" s="16" t="s">
        <v>40</v>
      </c>
      <c r="W201" s="17">
        <v>0</v>
      </c>
      <c r="X201" s="18">
        <v>0</v>
      </c>
      <c r="Y201" s="15">
        <v>0</v>
      </c>
      <c r="Z201" s="15">
        <v>2300</v>
      </c>
    </row>
    <row r="202" spans="1:26" x14ac:dyDescent="0.2">
      <c r="A202" s="15">
        <v>220</v>
      </c>
      <c r="B202" s="30">
        <v>43006.677567129627</v>
      </c>
      <c r="C202" s="16">
        <v>1708068</v>
      </c>
      <c r="D202" s="17" t="s">
        <v>4131</v>
      </c>
      <c r="E202" s="17" t="s">
        <v>215</v>
      </c>
      <c r="F202" s="19">
        <v>894542767</v>
      </c>
      <c r="G202" s="17" t="s">
        <v>1672</v>
      </c>
      <c r="H202" s="17" t="s">
        <v>4132</v>
      </c>
      <c r="I202" s="18" t="s">
        <v>1715</v>
      </c>
      <c r="J202" s="16" t="s">
        <v>2100</v>
      </c>
      <c r="K202" s="17">
        <v>1</v>
      </c>
      <c r="L202" s="18">
        <v>4000</v>
      </c>
      <c r="M202" s="16" t="s">
        <v>40</v>
      </c>
      <c r="N202" s="17">
        <v>0</v>
      </c>
      <c r="O202" s="18">
        <v>0</v>
      </c>
      <c r="P202" s="16" t="s">
        <v>40</v>
      </c>
      <c r="Q202" s="17">
        <v>0</v>
      </c>
      <c r="R202" s="18">
        <v>0</v>
      </c>
      <c r="S202" s="16" t="s">
        <v>40</v>
      </c>
      <c r="T202" s="17">
        <v>0</v>
      </c>
      <c r="U202" s="18">
        <v>0</v>
      </c>
      <c r="V202" s="16" t="s">
        <v>40</v>
      </c>
      <c r="W202" s="17">
        <v>0</v>
      </c>
      <c r="X202" s="18">
        <v>0</v>
      </c>
      <c r="Y202" s="15">
        <v>0</v>
      </c>
      <c r="Z202" s="15">
        <v>4000</v>
      </c>
    </row>
    <row r="203" spans="1:26" x14ac:dyDescent="0.2">
      <c r="A203" s="15">
        <v>221</v>
      </c>
      <c r="B203" s="30">
        <v>43007.53564386574</v>
      </c>
      <c r="C203" s="16">
        <v>1707022</v>
      </c>
      <c r="D203" s="17" t="s">
        <v>3951</v>
      </c>
      <c r="E203" s="17" t="s">
        <v>267</v>
      </c>
      <c r="F203" s="19">
        <v>844699639</v>
      </c>
      <c r="G203" s="17" t="s">
        <v>4304</v>
      </c>
      <c r="H203" s="17" t="s">
        <v>3952</v>
      </c>
      <c r="I203" s="18" t="s">
        <v>4305</v>
      </c>
      <c r="J203" s="16" t="s">
        <v>2081</v>
      </c>
      <c r="K203" s="17">
        <v>1</v>
      </c>
      <c r="L203" s="18">
        <v>1000</v>
      </c>
      <c r="M203" s="16" t="s">
        <v>40</v>
      </c>
      <c r="N203" s="17">
        <v>0</v>
      </c>
      <c r="O203" s="18">
        <v>0</v>
      </c>
      <c r="P203" s="16" t="s">
        <v>40</v>
      </c>
      <c r="Q203" s="17">
        <v>0</v>
      </c>
      <c r="R203" s="18">
        <v>0</v>
      </c>
      <c r="S203" s="16" t="s">
        <v>40</v>
      </c>
      <c r="T203" s="17">
        <v>0</v>
      </c>
      <c r="U203" s="18">
        <v>0</v>
      </c>
      <c r="V203" s="16" t="s">
        <v>40</v>
      </c>
      <c r="W203" s="17">
        <v>0</v>
      </c>
      <c r="X203" s="18">
        <v>0</v>
      </c>
      <c r="Y203" s="15">
        <v>0</v>
      </c>
      <c r="Z203" s="15">
        <v>1000</v>
      </c>
    </row>
    <row r="204" spans="1:26" x14ac:dyDescent="0.2">
      <c r="A204" s="15">
        <v>222</v>
      </c>
      <c r="B204" s="30">
        <v>43010.640274652775</v>
      </c>
      <c r="C204" s="16">
        <v>1709034</v>
      </c>
      <c r="D204" s="17" t="s">
        <v>4198</v>
      </c>
      <c r="E204" s="17" t="s">
        <v>254</v>
      </c>
      <c r="F204" s="19">
        <v>817206937</v>
      </c>
      <c r="G204" s="17" t="s">
        <v>4306</v>
      </c>
      <c r="H204" s="17" t="s">
        <v>4199</v>
      </c>
      <c r="I204" s="18" t="s">
        <v>4307</v>
      </c>
      <c r="J204" s="16" t="s">
        <v>1677</v>
      </c>
      <c r="K204" s="17">
        <v>1</v>
      </c>
      <c r="L204" s="18">
        <v>1000</v>
      </c>
      <c r="M204" s="16" t="s">
        <v>40</v>
      </c>
      <c r="N204" s="17">
        <v>0</v>
      </c>
      <c r="O204" s="18">
        <v>0</v>
      </c>
      <c r="P204" s="16" t="s">
        <v>40</v>
      </c>
      <c r="Q204" s="17">
        <v>0</v>
      </c>
      <c r="R204" s="18">
        <v>0</v>
      </c>
      <c r="S204" s="16" t="s">
        <v>40</v>
      </c>
      <c r="T204" s="17">
        <v>0</v>
      </c>
      <c r="U204" s="18">
        <v>0</v>
      </c>
      <c r="V204" s="16" t="s">
        <v>40</v>
      </c>
      <c r="W204" s="17">
        <v>0</v>
      </c>
      <c r="X204" s="18">
        <v>0</v>
      </c>
      <c r="Y204" s="15">
        <v>0</v>
      </c>
      <c r="Z204" s="15">
        <v>1000</v>
      </c>
    </row>
    <row r="205" spans="1:26" x14ac:dyDescent="0.2">
      <c r="A205" s="15">
        <v>223</v>
      </c>
      <c r="B205" s="30">
        <v>43011.598156944441</v>
      </c>
      <c r="C205" s="16">
        <v>1709071</v>
      </c>
      <c r="D205" s="17" t="s">
        <v>4344</v>
      </c>
      <c r="E205" s="17" t="s">
        <v>233</v>
      </c>
      <c r="F205" s="19">
        <v>894928725</v>
      </c>
      <c r="G205" s="17" t="s">
        <v>2201</v>
      </c>
      <c r="H205" s="17" t="s">
        <v>4345</v>
      </c>
      <c r="I205" s="18" t="s">
        <v>1648</v>
      </c>
      <c r="J205" s="16" t="s">
        <v>4412</v>
      </c>
      <c r="K205" s="17">
        <v>0</v>
      </c>
      <c r="L205" s="18">
        <v>0</v>
      </c>
      <c r="M205" s="16" t="s">
        <v>4413</v>
      </c>
      <c r="N205" s="17">
        <v>1</v>
      </c>
      <c r="O205" s="18">
        <v>2500</v>
      </c>
      <c r="P205" s="16" t="s">
        <v>4414</v>
      </c>
      <c r="Q205" s="17">
        <v>1</v>
      </c>
      <c r="R205" s="18">
        <v>1500</v>
      </c>
      <c r="S205" s="16" t="s">
        <v>4415</v>
      </c>
      <c r="T205" s="17">
        <v>1</v>
      </c>
      <c r="U205" s="18">
        <v>900</v>
      </c>
      <c r="V205" s="16" t="s">
        <v>40</v>
      </c>
      <c r="W205" s="17">
        <v>0</v>
      </c>
      <c r="X205" s="18">
        <v>0</v>
      </c>
      <c r="Y205" s="15">
        <v>980</v>
      </c>
      <c r="Z205" s="15">
        <v>3920</v>
      </c>
    </row>
    <row r="206" spans="1:26" x14ac:dyDescent="0.2">
      <c r="A206" s="15">
        <v>224</v>
      </c>
      <c r="B206" s="30">
        <v>43011.600247685186</v>
      </c>
      <c r="C206" s="16">
        <v>1709071</v>
      </c>
      <c r="D206" s="17" t="s">
        <v>4344</v>
      </c>
      <c r="E206" s="17" t="s">
        <v>233</v>
      </c>
      <c r="F206" s="19">
        <v>894928725</v>
      </c>
      <c r="G206" s="17" t="s">
        <v>2201</v>
      </c>
      <c r="H206" s="17" t="s">
        <v>4345</v>
      </c>
      <c r="I206" s="18" t="s">
        <v>1648</v>
      </c>
      <c r="J206" s="16" t="s">
        <v>4416</v>
      </c>
      <c r="K206" s="17">
        <v>1</v>
      </c>
      <c r="L206" s="18">
        <v>2500</v>
      </c>
      <c r="M206" s="16" t="s">
        <v>4417</v>
      </c>
      <c r="N206" s="17">
        <v>1</v>
      </c>
      <c r="O206" s="18">
        <v>2200</v>
      </c>
      <c r="P206" s="16" t="s">
        <v>4418</v>
      </c>
      <c r="Q206" s="17" t="s">
        <v>4421</v>
      </c>
      <c r="R206" s="18">
        <v>0</v>
      </c>
      <c r="S206" s="16" t="s">
        <v>4419</v>
      </c>
      <c r="T206" s="17" t="s">
        <v>4421</v>
      </c>
      <c r="U206" s="18">
        <v>0</v>
      </c>
      <c r="V206" s="16" t="s">
        <v>4420</v>
      </c>
      <c r="W206" s="17" t="s">
        <v>4421</v>
      </c>
      <c r="X206" s="18">
        <v>0</v>
      </c>
      <c r="Y206" s="15">
        <v>705</v>
      </c>
      <c r="Z206" s="15">
        <v>3995</v>
      </c>
    </row>
    <row r="207" spans="1:26" x14ac:dyDescent="0.2">
      <c r="A207" s="15">
        <v>225</v>
      </c>
      <c r="B207" s="30">
        <v>43012.678035416669</v>
      </c>
      <c r="C207" s="16">
        <v>1703050</v>
      </c>
      <c r="D207" s="17" t="s">
        <v>2006</v>
      </c>
      <c r="E207" s="17" t="s">
        <v>979</v>
      </c>
      <c r="F207" s="19">
        <v>944930087</v>
      </c>
      <c r="G207" s="17" t="s">
        <v>2152</v>
      </c>
      <c r="H207" s="17" t="s">
        <v>2007</v>
      </c>
      <c r="I207" s="18" t="s">
        <v>2153</v>
      </c>
      <c r="J207" s="16" t="s">
        <v>2081</v>
      </c>
      <c r="K207" s="17">
        <v>1</v>
      </c>
      <c r="L207" s="18">
        <v>1000</v>
      </c>
      <c r="M207" s="16" t="s">
        <v>40</v>
      </c>
      <c r="N207" s="17">
        <v>0</v>
      </c>
      <c r="O207" s="18">
        <v>0</v>
      </c>
      <c r="P207" s="16" t="s">
        <v>40</v>
      </c>
      <c r="Q207" s="17">
        <v>0</v>
      </c>
      <c r="R207" s="18">
        <v>0</v>
      </c>
      <c r="S207" s="16" t="s">
        <v>40</v>
      </c>
      <c r="T207" s="17">
        <v>0</v>
      </c>
      <c r="U207" s="18">
        <v>0</v>
      </c>
      <c r="V207" s="16" t="s">
        <v>40</v>
      </c>
      <c r="W207" s="17">
        <v>0</v>
      </c>
      <c r="X207" s="18">
        <v>0</v>
      </c>
      <c r="Y207" s="15">
        <v>0</v>
      </c>
      <c r="Z207" s="15">
        <v>1000</v>
      </c>
    </row>
    <row r="208" spans="1:26" x14ac:dyDescent="0.2">
      <c r="A208" s="15">
        <v>226</v>
      </c>
      <c r="B208" s="30">
        <v>43014.60799571759</v>
      </c>
      <c r="C208" s="16">
        <v>1709041</v>
      </c>
      <c r="D208" s="17" t="s">
        <v>2433</v>
      </c>
      <c r="E208" s="17" t="s">
        <v>506</v>
      </c>
      <c r="F208" s="19">
        <v>872578823</v>
      </c>
      <c r="G208" s="17" t="s">
        <v>4422</v>
      </c>
      <c r="H208" s="17" t="s">
        <v>2434</v>
      </c>
      <c r="I208" s="18" t="s">
        <v>1715</v>
      </c>
      <c r="J208" s="16" t="s">
        <v>2081</v>
      </c>
      <c r="K208" s="17">
        <v>1</v>
      </c>
      <c r="L208" s="18">
        <v>2000</v>
      </c>
      <c r="M208" s="16" t="s">
        <v>40</v>
      </c>
      <c r="N208" s="17">
        <v>0</v>
      </c>
      <c r="O208" s="18">
        <v>0</v>
      </c>
      <c r="P208" s="16" t="s">
        <v>40</v>
      </c>
      <c r="Q208" s="17">
        <v>0</v>
      </c>
      <c r="R208" s="18">
        <v>0</v>
      </c>
      <c r="S208" s="16" t="s">
        <v>40</v>
      </c>
      <c r="T208" s="17">
        <v>0</v>
      </c>
      <c r="U208" s="18">
        <v>0</v>
      </c>
      <c r="V208" s="16" t="s">
        <v>40</v>
      </c>
      <c r="W208" s="17">
        <v>0</v>
      </c>
      <c r="X208" s="18">
        <v>0</v>
      </c>
      <c r="Y208" s="15">
        <v>0</v>
      </c>
      <c r="Z208" s="15">
        <v>2000</v>
      </c>
    </row>
    <row r="209" spans="1:26" x14ac:dyDescent="0.2">
      <c r="A209" s="15">
        <v>227</v>
      </c>
      <c r="B209" s="30">
        <v>43015.593035069447</v>
      </c>
      <c r="C209" s="16">
        <v>1709015</v>
      </c>
      <c r="D209" s="17" t="s">
        <v>4169</v>
      </c>
      <c r="E209" s="17" t="s">
        <v>263</v>
      </c>
      <c r="F209" s="19">
        <v>863218629</v>
      </c>
      <c r="G209" s="17" t="s">
        <v>4423</v>
      </c>
      <c r="H209" s="17" t="s">
        <v>4170</v>
      </c>
      <c r="I209" s="18" t="s">
        <v>1709</v>
      </c>
      <c r="J209" s="16" t="s">
        <v>2081</v>
      </c>
      <c r="K209" s="17">
        <v>1</v>
      </c>
      <c r="L209" s="18">
        <v>3000</v>
      </c>
      <c r="M209" s="16" t="s">
        <v>40</v>
      </c>
      <c r="N209" s="17">
        <v>0</v>
      </c>
      <c r="O209" s="18">
        <v>0</v>
      </c>
      <c r="P209" s="16" t="s">
        <v>40</v>
      </c>
      <c r="Q209" s="17">
        <v>0</v>
      </c>
      <c r="R209" s="18">
        <v>0</v>
      </c>
      <c r="S209" s="16" t="s">
        <v>40</v>
      </c>
      <c r="T209" s="17">
        <v>0</v>
      </c>
      <c r="U209" s="18">
        <v>0</v>
      </c>
      <c r="V209" s="16" t="s">
        <v>40</v>
      </c>
      <c r="W209" s="17">
        <v>0</v>
      </c>
      <c r="X209" s="18">
        <v>0</v>
      </c>
      <c r="Y209" s="15">
        <v>0</v>
      </c>
      <c r="Z209" s="15">
        <v>3000</v>
      </c>
    </row>
    <row r="210" spans="1:26" x14ac:dyDescent="0.2">
      <c r="A210" s="15">
        <v>228</v>
      </c>
      <c r="B210" s="30">
        <v>43028.398759143522</v>
      </c>
      <c r="C210" s="16">
        <v>1707059</v>
      </c>
      <c r="D210" s="17" t="s">
        <v>4000</v>
      </c>
      <c r="E210" s="17" t="s">
        <v>625</v>
      </c>
      <c r="F210" s="19">
        <v>929198638</v>
      </c>
      <c r="G210" s="17" t="s">
        <v>1640</v>
      </c>
      <c r="H210" s="17" t="s">
        <v>4001</v>
      </c>
      <c r="I210" s="18" t="s">
        <v>1715</v>
      </c>
      <c r="J210" s="16" t="s">
        <v>1677</v>
      </c>
      <c r="K210" s="17">
        <v>1</v>
      </c>
      <c r="L210" s="18">
        <v>4000</v>
      </c>
      <c r="M210" s="16" t="s">
        <v>40</v>
      </c>
      <c r="N210" s="17">
        <v>0</v>
      </c>
      <c r="O210" s="18">
        <v>0</v>
      </c>
      <c r="P210" s="16" t="s">
        <v>40</v>
      </c>
      <c r="Q210" s="17">
        <v>0</v>
      </c>
      <c r="R210" s="18">
        <v>0</v>
      </c>
      <c r="S210" s="16" t="s">
        <v>40</v>
      </c>
      <c r="T210" s="17">
        <v>0</v>
      </c>
      <c r="U210" s="18">
        <v>0</v>
      </c>
      <c r="V210" s="16" t="s">
        <v>40</v>
      </c>
      <c r="W210" s="17">
        <v>0</v>
      </c>
      <c r="X210" s="18">
        <v>0</v>
      </c>
      <c r="Y210" s="15">
        <v>0</v>
      </c>
      <c r="Z210" s="15">
        <v>4000</v>
      </c>
    </row>
  </sheetData>
  <mergeCells count="6">
    <mergeCell ref="V1:X1"/>
    <mergeCell ref="C1:I1"/>
    <mergeCell ref="J1:L1"/>
    <mergeCell ref="M1:O1"/>
    <mergeCell ref="P1:R1"/>
    <mergeCell ref="S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RECEIPT</vt:lpstr>
      <vt:lpstr>PROFILE</vt:lpstr>
      <vt:lpstr>RECLIST</vt:lpstr>
      <vt:lpstr>RECEIPT!Print_Area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Hi-070815</dc:creator>
  <cp:lastModifiedBy>TCOM1</cp:lastModifiedBy>
  <cp:lastPrinted>2017-10-20T02:36:00Z</cp:lastPrinted>
  <dcterms:created xsi:type="dcterms:W3CDTF">2016-10-13T13:49:14Z</dcterms:created>
  <dcterms:modified xsi:type="dcterms:W3CDTF">2017-10-20T02:38:26Z</dcterms:modified>
</cp:coreProperties>
</file>