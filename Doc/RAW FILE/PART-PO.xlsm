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COM1\Desktop\"/>
    </mc:Choice>
  </mc:AlternateContent>
  <bookViews>
    <workbookView xWindow="0" yWindow="0" windowWidth="15360" windowHeight="7530" xr2:uid="{00000000-000D-0000-FFFF-FFFF00000000}"/>
  </bookViews>
  <sheets>
    <sheet name="ASSB.FORM" sheetId="3" r:id="rId1"/>
    <sheet name="PROFILE" sheetId="1" r:id="rId2"/>
    <sheet name="ASSB.LIST" sheetId="2" r:id="rId3"/>
    <sheet name="STOCK" sheetId="5" r:id="rId4"/>
    <sheet name="FORM" sheetId="4" r:id="rId5"/>
  </sheets>
  <definedNames>
    <definedName name="_xlnm._FilterDatabase" localSheetId="2" hidden="1">ASSB.LIST!$B$2:$I$2250</definedName>
    <definedName name="_xlnm._FilterDatabase" localSheetId="3" hidden="1">STOCK!$B$3:$I$912</definedName>
    <definedName name="_xlnm.Print_Area" localSheetId="4">FORM!$B$2:$K$48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3" l="1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" i="3"/>
  <c r="I34" i="3" l="1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4" i="5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26" i="3" l="1"/>
  <c r="I27" i="3"/>
  <c r="I28" i="3"/>
  <c r="I29" i="3"/>
  <c r="I30" i="3"/>
  <c r="I31" i="3"/>
  <c r="I32" i="3"/>
  <c r="I33" i="3"/>
  <c r="A6" i="2" l="1"/>
  <c r="A4" i="2"/>
  <c r="A1" i="2"/>
  <c r="E1" i="3"/>
  <c r="C2" i="3"/>
  <c r="E4" i="3" l="1"/>
  <c r="B7" i="3"/>
  <c r="G8" i="3" s="1"/>
  <c r="I8" i="3" s="1"/>
  <c r="C5" i="3"/>
  <c r="E2" i="3"/>
  <c r="E3" i="3"/>
  <c r="E5" i="3"/>
  <c r="C3" i="3"/>
  <c r="C4" i="3"/>
  <c r="I18" i="3" l="1"/>
  <c r="I25" i="3"/>
  <c r="I19" i="3"/>
  <c r="I21" i="3"/>
  <c r="I23" i="3"/>
  <c r="I20" i="3"/>
  <c r="I22" i="3"/>
  <c r="I24" i="3"/>
  <c r="I17" i="3"/>
  <c r="I15" i="3"/>
  <c r="I14" i="3"/>
  <c r="I16" i="3"/>
  <c r="I13" i="3"/>
  <c r="I12" i="3" l="1"/>
  <c r="I11" i="3"/>
  <c r="E7" i="3"/>
  <c r="G3" i="3"/>
  <c r="G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Hungping</author>
  </authors>
  <commentList>
    <comment ref="F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Hungping:            ระบุปีเริ่มต้น model</t>
        </r>
      </text>
    </comment>
  </commentList>
</comments>
</file>

<file path=xl/sharedStrings.xml><?xml version="1.0" encoding="utf-8"?>
<sst xmlns="http://schemas.openxmlformats.org/spreadsheetml/2006/main" count="14397" uniqueCount="2955">
  <si>
    <t>ข้อมูลลูกค้า</t>
  </si>
  <si>
    <t>เลขที่</t>
  </si>
  <si>
    <t>วันที่เข้า</t>
  </si>
  <si>
    <t>วันที่นัดรับ</t>
  </si>
  <si>
    <t>วันที่ออก</t>
  </si>
  <si>
    <t>สถานะ</t>
  </si>
  <si>
    <t>ประเภท</t>
  </si>
  <si>
    <t>ความเสีย</t>
  </si>
  <si>
    <t>ประกันภัย</t>
  </si>
  <si>
    <t>ข้อมูลรถ</t>
  </si>
  <si>
    <t>สภาพ</t>
  </si>
  <si>
    <t>JOB</t>
  </si>
  <si>
    <t>ลงคิวงาน</t>
  </si>
  <si>
    <t>สั่งสี</t>
  </si>
  <si>
    <t>อะไหล่</t>
  </si>
  <si>
    <t>หาย</t>
  </si>
  <si>
    <t>ชื่อ</t>
  </si>
  <si>
    <t>ที่อยู่</t>
  </si>
  <si>
    <t>เบอร์โทร1</t>
  </si>
  <si>
    <t>เบอร์โทร2</t>
  </si>
  <si>
    <t>ทะเบียน</t>
  </si>
  <si>
    <t>ยี่ห้อ</t>
  </si>
  <si>
    <t>รุ่น</t>
  </si>
  <si>
    <t>ปี</t>
  </si>
  <si>
    <t>กธ หมดอายุ</t>
  </si>
  <si>
    <t>ประเภท/ทุน</t>
  </si>
  <si>
    <t>OUT</t>
  </si>
  <si>
    <t>กลาง</t>
  </si>
  <si>
    <t>ธนชาต</t>
  </si>
  <si>
    <t>ทินกร พิมพ์โสดา</t>
  </si>
  <si>
    <t>1ฒพ6139</t>
  </si>
  <si>
    <t>ISUZU</t>
  </si>
  <si>
    <t>DMAX</t>
  </si>
  <si>
    <t>1/550000</t>
  </si>
  <si>
    <t>เบา</t>
  </si>
  <si>
    <t>ทินกร ล่านาลาว</t>
  </si>
  <si>
    <t>บล8031</t>
  </si>
  <si>
    <t>MITSUBISHI</t>
  </si>
  <si>
    <t>TRIRON</t>
  </si>
  <si>
    <t>1/300000</t>
  </si>
  <si>
    <t>อดิเทพ พงษ์พิบูลย์</t>
  </si>
  <si>
    <t>ปากน้ำ</t>
  </si>
  <si>
    <t>ฌข6051</t>
  </si>
  <si>
    <t>CAB-4</t>
  </si>
  <si>
    <t>2+/100000</t>
  </si>
  <si>
    <t>เทเวศ</t>
  </si>
  <si>
    <t>พศิน หรั่งสอาด</t>
  </si>
  <si>
    <t>ท้ายบ้านใหม่</t>
  </si>
  <si>
    <t>ชส9724</t>
  </si>
  <si>
    <t>TOYOTA</t>
  </si>
  <si>
    <t>CAMRY</t>
  </si>
  <si>
    <t>หนัก</t>
  </si>
  <si>
    <t>ธนากร สมัครกสิการ</t>
  </si>
  <si>
    <t>บางหญ้าแพรก</t>
  </si>
  <si>
    <t>4กฆ5093</t>
  </si>
  <si>
    <t>HONDA</t>
  </si>
  <si>
    <t>CITY</t>
  </si>
  <si>
    <t>1/400000</t>
  </si>
  <si>
    <t>กรรณิการ์ แก้วกันเนตร</t>
  </si>
  <si>
    <t>บางเมืองใหม่</t>
  </si>
  <si>
    <t>ฎบ4333</t>
  </si>
  <si>
    <t>เมืองไทย</t>
  </si>
  <si>
    <t>เกียรติศักดิ์ ก๋ารินทร์</t>
  </si>
  <si>
    <t>ชต5641</t>
  </si>
  <si>
    <t>MAZDA</t>
  </si>
  <si>
    <t>2/200000</t>
  </si>
  <si>
    <t>กรุงไทย</t>
  </si>
  <si>
    <t>นงนุช กุลภัคจิรเดช</t>
  </si>
  <si>
    <t>แพรกษา</t>
  </si>
  <si>
    <t>ตษ1703</t>
  </si>
  <si>
    <t>NISSAN</t>
  </si>
  <si>
    <t>FRONTIER</t>
  </si>
  <si>
    <t>ไม่มีกรมธรรม์</t>
  </si>
  <si>
    <t>รอบคัน</t>
  </si>
  <si>
    <t>นิชภา นาคสมบูรณ์</t>
  </si>
  <si>
    <t>4กธ3446</t>
  </si>
  <si>
    <t>CIVIC</t>
  </si>
  <si>
    <t>มณีกานต์ สุทโท</t>
  </si>
  <si>
    <t>ถง846</t>
  </si>
  <si>
    <t>VIGO</t>
  </si>
  <si>
    <t>1/210000</t>
  </si>
  <si>
    <t>โตเกียว</t>
  </si>
  <si>
    <t>ภูดิศ จตุสิทธางกูรณ์</t>
  </si>
  <si>
    <t>1กศ5076</t>
  </si>
  <si>
    <t>1/420000</t>
  </si>
  <si>
    <t>สุวัฒน์ กวินภูมิเสถียร</t>
  </si>
  <si>
    <t>1กร 6299</t>
  </si>
  <si>
    <t>1/520000</t>
  </si>
  <si>
    <t>ไทยวิวัฒน์</t>
  </si>
  <si>
    <t>นันทชัย จันทำ</t>
  </si>
  <si>
    <t>5กฎ8642</t>
  </si>
  <si>
    <t>AVANZA</t>
  </si>
  <si>
    <t>No fix</t>
  </si>
  <si>
    <t>สมบูรณ์</t>
  </si>
  <si>
    <t>OK</t>
  </si>
  <si>
    <t>NON</t>
  </si>
  <si>
    <t>พิชิต ใจภักดี</t>
  </si>
  <si>
    <t>2กศ4570</t>
  </si>
  <si>
    <t>MIRAGE</t>
  </si>
  <si>
    <t>1/250000</t>
  </si>
  <si>
    <t>หิรัญชัย ขันติเรือง</t>
  </si>
  <si>
    <t>ถจ4467</t>
  </si>
  <si>
    <t>TRITON</t>
  </si>
  <si>
    <t>2+/250000</t>
  </si>
  <si>
    <t>อาทิตย์ คำพามา</t>
  </si>
  <si>
    <t>ฒห6913</t>
  </si>
  <si>
    <t>1/320000</t>
  </si>
  <si>
    <t>เทพารักษ์</t>
  </si>
  <si>
    <t>สมพร ทันธะศิริ</t>
  </si>
  <si>
    <t>บางครุ</t>
  </si>
  <si>
    <t>ญค3395</t>
  </si>
  <si>
    <t>ALTIS</t>
  </si>
  <si>
    <t>1/500000</t>
  </si>
  <si>
    <t>นฤนาท เขาลาด</t>
  </si>
  <si>
    <t>บางปูใหม่</t>
  </si>
  <si>
    <t>ฒว649</t>
  </si>
  <si>
    <t>SPACECAB</t>
  </si>
  <si>
    <t>1/360000</t>
  </si>
  <si>
    <t>เจ้าพระยา</t>
  </si>
  <si>
    <t>พีรยุทธ ตั้งจิตมั่นคง</t>
  </si>
  <si>
    <t>ท้ายบ้าน</t>
  </si>
  <si>
    <t>ฆฒ1995</t>
  </si>
  <si>
    <t>เคาะ</t>
  </si>
  <si>
    <t>อุดร เพ็งยะนะ</t>
  </si>
  <si>
    <t>ถฎ1867</t>
  </si>
  <si>
    <t>SPACE CAB</t>
  </si>
  <si>
    <t/>
  </si>
  <si>
    <t>ยงค์ทอง โชติประเสริฐ</t>
  </si>
  <si>
    <t>บางเมือง</t>
  </si>
  <si>
    <t>ฏอ4104</t>
  </si>
  <si>
    <t>VIOS</t>
  </si>
  <si>
    <t>นวล เจริญยิ่ง</t>
  </si>
  <si>
    <t>บย9580</t>
  </si>
  <si>
    <t>CHEVROLET</t>
  </si>
  <si>
    <t>COLORADO</t>
  </si>
  <si>
    <t>1/480000</t>
  </si>
  <si>
    <t>อนูกูล เชื้อตาพระ</t>
  </si>
  <si>
    <t>บว4324</t>
  </si>
  <si>
    <t>1/230000</t>
  </si>
  <si>
    <t>เอเซีย</t>
  </si>
  <si>
    <t>อภิสมา แจ้งยุบล</t>
  </si>
  <si>
    <t>กฉ2420</t>
  </si>
  <si>
    <t>JAZZ</t>
  </si>
  <si>
    <t>2/100000</t>
  </si>
  <si>
    <t>อภิสิทธิ์ วณิชยธร</t>
  </si>
  <si>
    <t>ชช5609</t>
  </si>
  <si>
    <t>แวนชัย พรมคำบุตร</t>
  </si>
  <si>
    <t>ญว6994</t>
  </si>
  <si>
    <t>1/490000</t>
  </si>
  <si>
    <t>ศักดิ์ชัย กรองสุวรรณ</t>
  </si>
  <si>
    <t>ฆฐ1607</t>
  </si>
  <si>
    <t>FORTUNER</t>
  </si>
  <si>
    <t>1/710000</t>
  </si>
  <si>
    <t>มงคลชัย แซ่คิ้ว</t>
  </si>
  <si>
    <t>ญณ9645</t>
  </si>
  <si>
    <t>1/410000</t>
  </si>
  <si>
    <t>ธีระชาติ ระหงษ์</t>
  </si>
  <si>
    <t>บางโปรง</t>
  </si>
  <si>
    <t>ฎร1106</t>
  </si>
  <si>
    <t>คมสัน จาระช้าด</t>
  </si>
  <si>
    <t>1ฒฌ1401</t>
  </si>
  <si>
    <t>MTISUBISHI</t>
  </si>
  <si>
    <t>2+/400000</t>
  </si>
  <si>
    <t>พรเทพ บุหรี่ทอง</t>
  </si>
  <si>
    <t>3กฌ9475</t>
  </si>
  <si>
    <t>BRIO</t>
  </si>
  <si>
    <t>1/310000</t>
  </si>
  <si>
    <t>สิทธิชัย จันทร์สอน</t>
  </si>
  <si>
    <t>1ฒฆ5821</t>
  </si>
  <si>
    <t>D-MAX SPACECAB</t>
  </si>
  <si>
    <t>โคม่า</t>
  </si>
  <si>
    <t>บุษยารัตน์ พิศเพ็ง</t>
  </si>
  <si>
    <t>ชฮ6962</t>
  </si>
  <si>
    <t>รอส่ง</t>
  </si>
  <si>
    <t>ฐิติกร โฉมงาม</t>
  </si>
  <si>
    <t>ตณ2810</t>
  </si>
  <si>
    <t>สมชาย พ่วงกลัด</t>
  </si>
  <si>
    <t>บต2350</t>
  </si>
  <si>
    <t>TIGER</t>
  </si>
  <si>
    <t>ประกอบ+ขัด</t>
  </si>
  <si>
    <t>ศิริวรรณ ชะเอมพงศ์</t>
  </si>
  <si>
    <t>บางปลา</t>
  </si>
  <si>
    <t>4กจ3890</t>
  </si>
  <si>
    <t>SUZUKI</t>
  </si>
  <si>
    <t>SWITF</t>
  </si>
  <si>
    <t>สุภาพรรณ แสนสมบูรณ์</t>
  </si>
  <si>
    <t>คลองด่าน</t>
  </si>
  <si>
    <t>สห4188</t>
  </si>
  <si>
    <t>กัญญาณัฐ ภูขันเงิน</t>
  </si>
  <si>
    <t>บางบ่อ</t>
  </si>
  <si>
    <t>ฆค3065</t>
  </si>
  <si>
    <t>สิงหา ชนประเสริฐ</t>
  </si>
  <si>
    <t>1กญ7104</t>
  </si>
  <si>
    <t>ALMERA</t>
  </si>
  <si>
    <t>1/270000</t>
  </si>
  <si>
    <t>อาทิตย์ ไวนุขัน</t>
  </si>
  <si>
    <t>2กช9411</t>
  </si>
  <si>
    <t>ประนอม ส่งกลิ่นจันทร์</t>
  </si>
  <si>
    <t>ถฮ764</t>
  </si>
  <si>
    <t>สีเทา ชัยโยกุล</t>
  </si>
  <si>
    <t>บางปูหม่</t>
  </si>
  <si>
    <t>ถล8994</t>
  </si>
  <si>
    <t>2+/370000</t>
  </si>
  <si>
    <t>ปุณยนุช สุขสมแดน</t>
  </si>
  <si>
    <t>2กธ4613</t>
  </si>
  <si>
    <t>YARIS</t>
  </si>
  <si>
    <t>โป๊ว</t>
  </si>
  <si>
    <t>ตระกูล สร้อยจิต</t>
  </si>
  <si>
    <t>แพรกษาใหม่</t>
  </si>
  <si>
    <t>กท2312</t>
  </si>
  <si>
    <t>ไพฑูรย์ แสนนางชน</t>
  </si>
  <si>
    <t>ตส5776</t>
  </si>
  <si>
    <t>สิทธิพันธ์ เสาโกมุท</t>
  </si>
  <si>
    <t>ฎฮ1450</t>
  </si>
  <si>
    <t>SOLUNA</t>
  </si>
  <si>
    <t>1/280000</t>
  </si>
  <si>
    <t>ณัฐวุฒิ แกมนาค</t>
  </si>
  <si>
    <t>บางแก้ว</t>
  </si>
  <si>
    <t>2กญ6637</t>
  </si>
  <si>
    <t>2+/200000</t>
  </si>
  <si>
    <t>ฐิติภัท ศรีจันทร์สุข</t>
  </si>
  <si>
    <t>ภท1042</t>
  </si>
  <si>
    <t>ACCORD</t>
  </si>
  <si>
    <t>1/200000</t>
  </si>
  <si>
    <t>เตือนใจ ผาระนัด</t>
  </si>
  <si>
    <t>ฌถ3979</t>
  </si>
  <si>
    <t>2+/300000</t>
  </si>
  <si>
    <t>เนธิญา ปี่ทอง</t>
  </si>
  <si>
    <t>ชภ7512</t>
  </si>
  <si>
    <t>1/260000</t>
  </si>
  <si>
    <t>วิสูตร์ แสงประสาน</t>
  </si>
  <si>
    <t>3กภ6310</t>
  </si>
  <si>
    <t>1/440000</t>
  </si>
  <si>
    <t>กัญญา ศรีธรรมา</t>
  </si>
  <si>
    <t>บางนา</t>
  </si>
  <si>
    <t>ฆอ7539</t>
  </si>
  <si>
    <t>สายพิณ อุปะเก</t>
  </si>
  <si>
    <t>ฆธ5948</t>
  </si>
  <si>
    <t>สุระเนตร ทองพุฒ</t>
  </si>
  <si>
    <t>บางปู</t>
  </si>
  <si>
    <t>ถษ1439</t>
  </si>
  <si>
    <t>วิวัฒน์ ร่มเลิศสุข</t>
  </si>
  <si>
    <t>ฆธ4652</t>
  </si>
  <si>
    <t>FORD</t>
  </si>
  <si>
    <t>RANGER</t>
  </si>
  <si>
    <t>อำนวย พิมพ์ขวัญ</t>
  </si>
  <si>
    <t>ถส1578</t>
  </si>
  <si>
    <t>2+/330000</t>
  </si>
  <si>
    <t>อรวรรณ จันทร์วงษ์</t>
  </si>
  <si>
    <t>ฆช1310</t>
  </si>
  <si>
    <t>1/370000</t>
  </si>
  <si>
    <t>นราทิพย์ ขัมภศร</t>
  </si>
  <si>
    <t>4กฬ6729</t>
  </si>
  <si>
    <t>อังกูร เกียรติสมบัติ</t>
  </si>
  <si>
    <t>บางโฉลง</t>
  </si>
  <si>
    <t>ภม6402</t>
  </si>
  <si>
    <t>สุนทร ชมจันทร์</t>
  </si>
  <si>
    <t>1ฒณ8987</t>
  </si>
  <si>
    <t>อนุชา สวัสดิ์เมือง</t>
  </si>
  <si>
    <t>1ฒท9647</t>
  </si>
  <si>
    <t>0/450000</t>
  </si>
  <si>
    <t>รัชชานนท์ คล่องดี</t>
  </si>
  <si>
    <t>สายไหม</t>
  </si>
  <si>
    <t>ตษ2890</t>
  </si>
  <si>
    <t>เกรียงศักดิ์ ภิรมย์</t>
  </si>
  <si>
    <t>ฒม9087</t>
  </si>
  <si>
    <t>1/450000</t>
  </si>
  <si>
    <t>ดำรงค์เดช แก้วสุขนนท์</t>
  </si>
  <si>
    <t>ญผ2407</t>
  </si>
  <si>
    <t>เงินสด</t>
  </si>
  <si>
    <t>จิระวิญญ์ ธีรอริยกานนท์</t>
  </si>
  <si>
    <t>2กต2665</t>
  </si>
  <si>
    <t>ปทุมวิลัย ทองคำ</t>
  </si>
  <si>
    <t>5กฉ8506</t>
  </si>
  <si>
    <t>สุกัญญา บุญเรา</t>
  </si>
  <si>
    <t>ชห565</t>
  </si>
  <si>
    <t>แนน</t>
  </si>
  <si>
    <t>1กบ2617</t>
  </si>
  <si>
    <t>เพ็ญลักษณ์ จิตประสาน</t>
  </si>
  <si>
    <t>ศช325</t>
  </si>
  <si>
    <t>2+/220000</t>
  </si>
  <si>
    <t>ชาญ วงค์จันทร์</t>
  </si>
  <si>
    <t>ฒฐ8043</t>
  </si>
  <si>
    <t>D-MAX</t>
  </si>
  <si>
    <t>นัฐวุฒิ สิงห์ราชา</t>
  </si>
  <si>
    <t>3กย9176</t>
  </si>
  <si>
    <t>1/570000</t>
  </si>
  <si>
    <t>กนก มั่นศรี</t>
  </si>
  <si>
    <t>พระโขนงเหนือ</t>
  </si>
  <si>
    <t>1กม3976</t>
  </si>
  <si>
    <t>MARCH</t>
  </si>
  <si>
    <t>ยิ่งยศ ผลทับทิม</t>
  </si>
  <si>
    <t>บฉ9670</t>
  </si>
  <si>
    <t>กฤษฎา สุขประเสริฐ</t>
  </si>
  <si>
    <t>ผพ8222</t>
  </si>
  <si>
    <t>อาคเนย์</t>
  </si>
  <si>
    <t>กรรณิการ์ แซ่จู</t>
  </si>
  <si>
    <t>3กค7607</t>
  </si>
  <si>
    <t>สุชาติ บัวแก้ว</t>
  </si>
  <si>
    <t>ฆศ5217</t>
  </si>
  <si>
    <t>ศุภชัย กัลปนารถ</t>
  </si>
  <si>
    <t>ภข2047</t>
  </si>
  <si>
    <t>ประดม รัดธรรม</t>
  </si>
  <si>
    <t>การเคหะ</t>
  </si>
  <si>
    <t>ฒท8048</t>
  </si>
  <si>
    <t>ว่าที่ รต.วีระ สงสะนะ</t>
  </si>
  <si>
    <t>ฒณ3969</t>
  </si>
  <si>
    <t>ยกเลิก</t>
  </si>
  <si>
    <t>สุวรรณ ศรีจันทร์</t>
  </si>
  <si>
    <t>ฮพ3158</t>
  </si>
  <si>
    <t>ประเภท3</t>
  </si>
  <si>
    <t>สุริยา หาญลือ</t>
  </si>
  <si>
    <t>ษต6242</t>
  </si>
  <si>
    <t>SUNNY NEO</t>
  </si>
  <si>
    <t>2+/190000</t>
  </si>
  <si>
    <t>ธเนตร โงนเงิน</t>
  </si>
  <si>
    <t>1ฒล8412</t>
  </si>
  <si>
    <t>NAVARA</t>
  </si>
  <si>
    <t>พรประดับ อารักษ์</t>
  </si>
  <si>
    <t>3กช3180</t>
  </si>
  <si>
    <t>MR. CAO SHANCHAO</t>
  </si>
  <si>
    <t>ผล138</t>
  </si>
  <si>
    <t>ศิรินทิพย์ สังข์เจริญ</t>
  </si>
  <si>
    <t>1ฒภ8482</t>
  </si>
  <si>
    <t>ชลิตา ศรีสุข</t>
  </si>
  <si>
    <t>ฌต7387</t>
  </si>
  <si>
    <t>จิตติมา รอดศิริ</t>
  </si>
  <si>
    <t>บางปะกอก</t>
  </si>
  <si>
    <t>ษห7082</t>
  </si>
  <si>
    <t>อรนุช คล้ายอินทร์</t>
  </si>
  <si>
    <t>ฆญ6645</t>
  </si>
  <si>
    <t>LANCER</t>
  </si>
  <si>
    <t>สุริยา ศรีชนะ</t>
  </si>
  <si>
    <t>ฒษ956</t>
  </si>
  <si>
    <t>อภินันท์ จันทร์เสน</t>
  </si>
  <si>
    <t>2กภ9105</t>
  </si>
  <si>
    <t>HILANDER</t>
  </si>
  <si>
    <t>1/540000</t>
  </si>
  <si>
    <t>มิตรแท้</t>
  </si>
  <si>
    <t>พิรดา วงศ์ธนาธิกุล</t>
  </si>
  <si>
    <t>3กน5366</t>
  </si>
  <si>
    <t>PAJERO</t>
  </si>
  <si>
    <t>1/350000</t>
  </si>
  <si>
    <t>สมพร เพ็งเขียว</t>
  </si>
  <si>
    <t>ฒฮ3078</t>
  </si>
  <si>
    <t>จิรายุส กล้าสมศักดิ์</t>
  </si>
  <si>
    <t>สำโรงใต้</t>
  </si>
  <si>
    <t>ชฎ6014</t>
  </si>
  <si>
    <t>วิโรจน์ เพ็ชรล้ำ</t>
  </si>
  <si>
    <t>บางเสาธง</t>
  </si>
  <si>
    <t>5กผ5412</t>
  </si>
  <si>
    <t>1/750000</t>
  </si>
  <si>
    <t>วิษณุ ซาเหลา</t>
  </si>
  <si>
    <t>1ฒย6588</t>
  </si>
  <si>
    <t>STRADA</t>
  </si>
  <si>
    <t>อนุพงษ์ พุฒแชม</t>
  </si>
  <si>
    <t>1กธ5891</t>
  </si>
  <si>
    <t>พรชัย จันทร์ตรี</t>
  </si>
  <si>
    <t>ถจ3961</t>
  </si>
  <si>
    <t>สุนันทา ทองหงษ์</t>
  </si>
  <si>
    <t>ญฮ4948</t>
  </si>
  <si>
    <t>2+/350000</t>
  </si>
  <si>
    <t>กาลวิไล ตั้งเด่นชัย</t>
  </si>
  <si>
    <t>กฉ2552</t>
  </si>
  <si>
    <t>1/870000คมสัน</t>
  </si>
  <si>
    <t>พ่น</t>
  </si>
  <si>
    <t>สิทธิ์ศักดา งามมาลา</t>
  </si>
  <si>
    <t>3กฒ6468</t>
  </si>
  <si>
    <t>ยกเลิกเคลม</t>
  </si>
  <si>
    <t>จักรรินทร์ ฝ่ายฉิมพลี</t>
  </si>
  <si>
    <t>1กผ3064</t>
  </si>
  <si>
    <t>กรทิพย์ เจริญสุข</t>
  </si>
  <si>
    <t>ญต7124</t>
  </si>
  <si>
    <t>SWIFT</t>
  </si>
  <si>
    <t>เกรียงไกร จาตุรงค์สกุล</t>
  </si>
  <si>
    <t>ชธ2651</t>
  </si>
  <si>
    <t>อนันต์ ต้นแก้ว</t>
  </si>
  <si>
    <t>ผข8181</t>
  </si>
  <si>
    <t>คิวบีอี</t>
  </si>
  <si>
    <t>สุวรินทร์ ปัญจณัฐบงกช</t>
  </si>
  <si>
    <t>บางพลี</t>
  </si>
  <si>
    <t>ฌจ3858</t>
  </si>
  <si>
    <t>MU-7</t>
  </si>
  <si>
    <t>ต่อศักดิ์ อิ่มแก้ว</t>
  </si>
  <si>
    <t>ฎธ4725</t>
  </si>
  <si>
    <t>กมล ลม้ายสกุล</t>
  </si>
  <si>
    <t>ญภ6367</t>
  </si>
  <si>
    <t>PAJERO SPORT</t>
  </si>
  <si>
    <t>1/660000</t>
  </si>
  <si>
    <t>ทิวากร บับภาวะตา</t>
  </si>
  <si>
    <t>ฒฉ6472</t>
  </si>
  <si>
    <t>นัฐวุฒิ สุตานนท์</t>
  </si>
  <si>
    <t>กร2247</t>
  </si>
  <si>
    <t>5กจ7450</t>
  </si>
  <si>
    <t>วริศรา เดือนขาว</t>
  </si>
  <si>
    <t>ฆฒ1310</t>
  </si>
  <si>
    <t>1/330000</t>
  </si>
  <si>
    <t>นิภาพร ระวิรัด</t>
  </si>
  <si>
    <t>1กล7595</t>
  </si>
  <si>
    <t>บุญเชาว์ วิทยามาศ</t>
  </si>
  <si>
    <t>ฒง9672</t>
  </si>
  <si>
    <t>ศรัณย์วัฒ ทองประเสริฐ</t>
  </si>
  <si>
    <t>2กฒ8201</t>
  </si>
  <si>
    <t>อัทชัย สุภาษิต</t>
  </si>
  <si>
    <t>ฒญ4290</t>
  </si>
  <si>
    <t>2+/340000</t>
  </si>
  <si>
    <t>วีรชัย พีระธรรม</t>
  </si>
  <si>
    <t>สำโรงเหนือ</t>
  </si>
  <si>
    <t>5กณ9002</t>
  </si>
  <si>
    <t>ทนงศักดิ์ รุ่งเจริญ</t>
  </si>
  <si>
    <t>วต2115</t>
  </si>
  <si>
    <t>CEFIRO</t>
  </si>
  <si>
    <t>พิไลพร งามขำ</t>
  </si>
  <si>
    <t>ญธ4088</t>
  </si>
  <si>
    <t>ณัฐคุณ เมนไทยสง</t>
  </si>
  <si>
    <t>ถร8075</t>
  </si>
  <si>
    <t>อินทร</t>
  </si>
  <si>
    <t>เทียนชัย กีรติชูวงศ์</t>
  </si>
  <si>
    <t>ษธ885</t>
  </si>
  <si>
    <t>BENZ</t>
  </si>
  <si>
    <t>E220</t>
  </si>
  <si>
    <t>1/650000</t>
  </si>
  <si>
    <t>บุญเฮ็ง คำสัตย์</t>
  </si>
  <si>
    <t>ฒค2586</t>
  </si>
  <si>
    <t>2+/310000</t>
  </si>
  <si>
    <t>กานต์หฤษฎ์ ไตรวงศ์</t>
  </si>
  <si>
    <t>ณข1099</t>
  </si>
  <si>
    <t>-</t>
  </si>
  <si>
    <t>พรบ</t>
  </si>
  <si>
    <t>เช้า กมลกลาง</t>
  </si>
  <si>
    <t>วว1088</t>
  </si>
  <si>
    <t>ว่าที่ รต.ณรงค์ ปัญญา</t>
  </si>
  <si>
    <t>สศ1829</t>
  </si>
  <si>
    <t>ภูรดา สวัสดีดวง</t>
  </si>
  <si>
    <t>วพ4053</t>
  </si>
  <si>
    <t>SUNNY</t>
  </si>
  <si>
    <t>ประสิทธิ์ ทรงศิริศิลป์</t>
  </si>
  <si>
    <t>สำโรงกลาง</t>
  </si>
  <si>
    <t>ชฉ2232</t>
  </si>
  <si>
    <t>สุรพล พันธุ์ลำใย</t>
  </si>
  <si>
    <t>ถน7643</t>
  </si>
  <si>
    <t>ผู้การ อินตา</t>
  </si>
  <si>
    <t>บท6173</t>
  </si>
  <si>
    <t>ชัยณรงค์ บุดดี</t>
  </si>
  <si>
    <t>ฒถ7932</t>
  </si>
  <si>
    <t>BT-50</t>
  </si>
  <si>
    <t>ยิ่งยศ นาคเทียน</t>
  </si>
  <si>
    <t>ฎป8538</t>
  </si>
  <si>
    <t>สง่า วรรณโคตร</t>
  </si>
  <si>
    <t>1ฒฒ4721</t>
  </si>
  <si>
    <t>อดิศักดิ์ จาตูม</t>
  </si>
  <si>
    <t>สฎ3396</t>
  </si>
  <si>
    <t>พงษ์พัฒน์ สีมันตะ</t>
  </si>
  <si>
    <t>2กค4169</t>
  </si>
  <si>
    <t>ภพ เหลือกาฬ</t>
  </si>
  <si>
    <t>ฆง1162</t>
  </si>
  <si>
    <t>FIESTA</t>
  </si>
  <si>
    <t>1/380000</t>
  </si>
  <si>
    <t>ประมาณการ</t>
  </si>
  <si>
    <t>ค่าซ่อม</t>
  </si>
  <si>
    <t>รายการ</t>
  </si>
  <si>
    <t>ชื่อร้าน</t>
  </si>
  <si>
    <t>ราคา</t>
  </si>
  <si>
    <t>วันที่สั่ง</t>
  </si>
  <si>
    <t>วันที่รับ</t>
  </si>
  <si>
    <t>ชื่อผู้รับ</t>
  </si>
  <si>
    <t>ASSM.ref No.</t>
  </si>
  <si>
    <t>วันที่ต้องการใช้</t>
  </si>
  <si>
    <t>วันที่คีย์ EMCS</t>
  </si>
  <si>
    <t>ชื่อ บ.ประกันภัย</t>
  </si>
  <si>
    <t>วันที่เข้า/นัดจอด</t>
  </si>
  <si>
    <t>เลขตัวถังรถยนต์</t>
  </si>
  <si>
    <t>เลขเครื่องยนต์</t>
  </si>
  <si>
    <t>เอกสารขออนุมัติสั่งอะไหล่</t>
  </si>
  <si>
    <t>รวมทั้งสิ้น</t>
  </si>
  <si>
    <t>หมายเหตุ</t>
  </si>
  <si>
    <t>บาท</t>
  </si>
  <si>
    <t>ที่</t>
  </si>
  <si>
    <t>ปภ.</t>
  </si>
  <si>
    <t>หน้า_____จาก_____</t>
  </si>
  <si>
    <t>ลงชื่อผู้ขอสั่งซื้อ _________________________</t>
  </si>
  <si>
    <t>วันที่</t>
  </si>
  <si>
    <t>________________</t>
  </si>
  <si>
    <t>ผลการอนุมัติ</t>
  </si>
  <si>
    <t>วันที่รับ/ลงชื่อ</t>
  </si>
  <si>
    <t>REF.NO.</t>
  </si>
  <si>
    <t>REF.NO.___________________</t>
  </si>
  <si>
    <t>ชื่อประกันภัย</t>
  </si>
  <si>
    <t>ระดับความเสียหาย</t>
  </si>
  <si>
    <t>รายการสั่งอะไหล่</t>
  </si>
  <si>
    <t>REF.</t>
  </si>
  <si>
    <t>ประเภทการจ่าย</t>
  </si>
  <si>
    <t>จำนวนอะไหล่ที่สั่ง</t>
  </si>
  <si>
    <t>จำนวนอะไหล่ที่ขาด</t>
  </si>
  <si>
    <t>ค้นหาข้อมูล</t>
  </si>
  <si>
    <t>ทะเบียนรถยนต์</t>
  </si>
  <si>
    <t>รหัส</t>
  </si>
  <si>
    <t>ชื่อร้านที่สั่ง</t>
  </si>
  <si>
    <t>ประมาณการราคาซ่อม</t>
  </si>
  <si>
    <t>รวมเงินซื้ออะไหล่</t>
  </si>
  <si>
    <t>บรรทัดที่</t>
  </si>
  <si>
    <t>จน.อะไหล่ใน ref</t>
  </si>
  <si>
    <t>จน.ทั้งหมด</t>
  </si>
  <si>
    <t>นครินทร์ จันทร์อ่อน</t>
  </si>
  <si>
    <t>กท9320</t>
  </si>
  <si>
    <t>สุรศักดิ์ เนื้อไม้หอม</t>
  </si>
  <si>
    <t>ฒล9414</t>
  </si>
  <si>
    <t>ชลธี ปลื้มมาลี</t>
  </si>
  <si>
    <t>ญร 7864</t>
  </si>
  <si>
    <t>1/600000</t>
  </si>
  <si>
    <t>วิทสรุต คำศรี</t>
  </si>
  <si>
    <t>บางหัวเสือ</t>
  </si>
  <si>
    <t>ตน4687</t>
  </si>
  <si>
    <t>ทัศรี อาจวิชัย</t>
  </si>
  <si>
    <t>1กภ6437</t>
  </si>
  <si>
    <t>นวลละออ ถนอมแก้วมรกต</t>
  </si>
  <si>
    <t>ฌฬ2810</t>
  </si>
  <si>
    <t>1/340000</t>
  </si>
  <si>
    <t>ขาด1ชิ้น</t>
  </si>
  <si>
    <t>ภาวัต เอี่ยมสอาด</t>
  </si>
  <si>
    <t>บางพลีใหญ่</t>
  </si>
  <si>
    <t>5กค174</t>
  </si>
  <si>
    <t>นิธินันท์ โฆษิตวัชรพัฒน์</t>
  </si>
  <si>
    <t>4กม6439</t>
  </si>
  <si>
    <t>PROTON</t>
  </si>
  <si>
    <t>PERSONA</t>
  </si>
  <si>
    <t>สุมิตตรา อัดเมือง</t>
  </si>
  <si>
    <t>1กฆ8286</t>
  </si>
  <si>
    <t>1/470000</t>
  </si>
  <si>
    <t>พงศ์ธร เกียรติวีระกุล</t>
  </si>
  <si>
    <t>ถห3834</t>
  </si>
  <si>
    <t>ภูมิพิพัฒน์ คล้อยคล้าย</t>
  </si>
  <si>
    <t>1ฒธ5449</t>
  </si>
  <si>
    <t>สถิต ชาญชิตร</t>
  </si>
  <si>
    <t>1ฒต5953</t>
  </si>
  <si>
    <t>สุขุม ชาวหงษา</t>
  </si>
  <si>
    <t>สายลวด</t>
  </si>
  <si>
    <t>3กอ1773</t>
  </si>
  <si>
    <t>MU-X</t>
  </si>
  <si>
    <t>1/850000</t>
  </si>
  <si>
    <t>สุธรรม ธรรมศิริ</t>
  </si>
  <si>
    <t>1ฒศ3239</t>
  </si>
  <si>
    <t>1/560000</t>
  </si>
  <si>
    <t>ซมโปะ</t>
  </si>
  <si>
    <t>อริสรา กุมภะ</t>
  </si>
  <si>
    <t>ญณ1134</t>
  </si>
  <si>
    <t>สำรวย เครือนิล</t>
  </si>
  <si>
    <t>กฉ3913</t>
  </si>
  <si>
    <t>2/150000</t>
  </si>
  <si>
    <t>ปรีดา อาชาทองสุข</t>
  </si>
  <si>
    <t>3กจ9405</t>
  </si>
  <si>
    <t>วรีรัตน์ อาชาทองสุข</t>
  </si>
  <si>
    <t>ชล9582</t>
  </si>
  <si>
    <t>หนูกรณ์ โนนตูม</t>
  </si>
  <si>
    <t>3กม5321</t>
  </si>
  <si>
    <t>CHEVROLEY</t>
  </si>
  <si>
    <t>1/510000</t>
  </si>
  <si>
    <t>สอดสี บุญชู</t>
  </si>
  <si>
    <t>3กต3262</t>
  </si>
  <si>
    <t>ณพเวศย์ จตุพรชัยกุล</t>
  </si>
  <si>
    <t>ฎฐ8725</t>
  </si>
  <si>
    <t>เสาวลักษณ์ ยอดคำ</t>
  </si>
  <si>
    <t>กฉ4881</t>
  </si>
  <si>
    <t>ประสิทธิ์ มาดา</t>
  </si>
  <si>
    <t>ถห5340</t>
  </si>
  <si>
    <t>สหรัฐ แก้วพวง</t>
  </si>
  <si>
    <t>1ฒฉ3770</t>
  </si>
  <si>
    <t>สำราญ ช้างวงษ์</t>
  </si>
  <si>
    <t>ฎป8239</t>
  </si>
  <si>
    <t>เอกภาพ แย้มศิริ</t>
  </si>
  <si>
    <t>ฎร6818</t>
  </si>
  <si>
    <t>บุญนำ วัดแย้ม</t>
  </si>
  <si>
    <t>ตต3318</t>
  </si>
  <si>
    <t>1/220000</t>
  </si>
  <si>
    <t>มินตรา จงสูงเนิน</t>
  </si>
  <si>
    <t>1กฐ6883</t>
  </si>
  <si>
    <t>ณัทณิชาดา สันติวรกุล</t>
  </si>
  <si>
    <t>ญถ5500</t>
  </si>
  <si>
    <t>CAPTIVA</t>
  </si>
  <si>
    <t>ตรีวิทย์ สุขยิ่ง</t>
  </si>
  <si>
    <t>กฉ5337</t>
  </si>
  <si>
    <t>1/240000</t>
  </si>
  <si>
    <t>โกมล คนซื่อ</t>
  </si>
  <si>
    <t>1ฒฒ6855</t>
  </si>
  <si>
    <t>สุขชัย เหลือวงศ์งาม</t>
  </si>
  <si>
    <t>ศง9055</t>
  </si>
  <si>
    <t>WISH</t>
  </si>
  <si>
    <t>2+/120000</t>
  </si>
  <si>
    <t>นฤพนธ์ จีนขาวขำ</t>
  </si>
  <si>
    <t>2กจ8863</t>
  </si>
  <si>
    <t>วรวุฒิ เสงี่ยมจิตร</t>
  </si>
  <si>
    <t>แพรกาษใหม่</t>
  </si>
  <si>
    <t>ตร1644</t>
  </si>
  <si>
    <t>ศรัณย์ธร จรรยา</t>
  </si>
  <si>
    <t>ญญ2226</t>
  </si>
  <si>
    <t>สุรชัย โสภณวัฒนะ</t>
  </si>
  <si>
    <t>ลย1225</t>
  </si>
  <si>
    <t>สหภพ ฝาดแสนศรี</t>
  </si>
  <si>
    <t>บางจาก</t>
  </si>
  <si>
    <t>ศว9499</t>
  </si>
  <si>
    <t>อนุชา ทับทวี</t>
  </si>
  <si>
    <t>ฎฐ4297</t>
  </si>
  <si>
    <t>1/730000</t>
  </si>
  <si>
    <t>ศรยุทธ์ แสงรังสี</t>
  </si>
  <si>
    <t>ษฐ2513</t>
  </si>
  <si>
    <t>เพลินพิศ วรรณสุ</t>
  </si>
  <si>
    <t>ญฬ9213</t>
  </si>
  <si>
    <t>ไม่ทราบ</t>
  </si>
  <si>
    <t>บริพันธ์ ไทยเย็น</t>
  </si>
  <si>
    <t>1ฒถ6042</t>
  </si>
  <si>
    <t>วีระชน ถนอมนาค</t>
  </si>
  <si>
    <t>กท1083</t>
  </si>
  <si>
    <t>ศรัณย์ ปรรภารโนบล</t>
  </si>
  <si>
    <t>ภน643</t>
  </si>
  <si>
    <t>อำพร จำปาเกตุ</t>
  </si>
  <si>
    <t>ฒษ2411</t>
  </si>
  <si>
    <t>อนุรตน์ เกสร</t>
  </si>
  <si>
    <t>ฌจ7073</t>
  </si>
  <si>
    <t>ณัฐพงศ์ คงทัน</t>
  </si>
  <si>
    <t>ชท4008</t>
  </si>
  <si>
    <t>เอกสิทธิ์ จงรักภักดี</t>
  </si>
  <si>
    <t>ษฉ5823</t>
  </si>
  <si>
    <t>สมศักดิ์ ดีพูล</t>
  </si>
  <si>
    <t>ฆอ5396</t>
  </si>
  <si>
    <t>ชูชาติ สอนลา</t>
  </si>
  <si>
    <t>ถบ5709</t>
  </si>
  <si>
    <t>อชิรญา วงษา</t>
  </si>
  <si>
    <t>5กก5365</t>
  </si>
  <si>
    <t>เขมะชาติ วงศ์วิสุทธิ์</t>
  </si>
  <si>
    <t>ชภ1896</t>
  </si>
  <si>
    <t>ธำรง อิ่มแช่ม</t>
  </si>
  <si>
    <t>ฌม1812</t>
  </si>
  <si>
    <t>1/430000</t>
  </si>
  <si>
    <t>ณัชชา เพียรประเสริฐ</t>
  </si>
  <si>
    <t>ฒฮ4157</t>
  </si>
  <si>
    <t>สุชาดา วาทิน</t>
  </si>
  <si>
    <t>ฆด7869</t>
  </si>
  <si>
    <t>กณิกนันต์ บานชื่น</t>
  </si>
  <si>
    <t>ญฐ1218</t>
  </si>
  <si>
    <t>หนุ่มสยาม นามสมบูรณ์</t>
  </si>
  <si>
    <t>ฒต7035</t>
  </si>
  <si>
    <t>2+/320000</t>
  </si>
  <si>
    <t>ภาคภูมิ เดชพ่วง</t>
  </si>
  <si>
    <t>สฉ7358</t>
  </si>
  <si>
    <t>สุวิทย์ แซ่ว่าง</t>
  </si>
  <si>
    <t>ญค2725</t>
  </si>
  <si>
    <t>พรเทพ มณฑปใหญื</t>
  </si>
  <si>
    <t>ญค7406</t>
  </si>
  <si>
    <t>รพีพงศ์ พิพัชร์เดดชกิจ</t>
  </si>
  <si>
    <t>1กก7785</t>
  </si>
  <si>
    <t>จรูณ บัวเสา</t>
  </si>
  <si>
    <t>ฆว9253</t>
  </si>
  <si>
    <t>วิสา สราคำ</t>
  </si>
  <si>
    <t>ถฬ1662</t>
  </si>
  <si>
    <t>พูลชัย พูลวิริยะ</t>
  </si>
  <si>
    <t>บต8155</t>
  </si>
  <si>
    <t>กฤษฎากร ตรุโนภาส</t>
  </si>
  <si>
    <t>บงาปูใหม่</t>
  </si>
  <si>
    <t>2กค7775</t>
  </si>
  <si>
    <t>อุทัย อุทก</t>
  </si>
  <si>
    <t>ฒธ8151</t>
  </si>
  <si>
    <t>2+/290000</t>
  </si>
  <si>
    <t>กชกร พัฒนกนก</t>
  </si>
  <si>
    <t>1กผ9867</t>
  </si>
  <si>
    <t>เกียรติยศ แย้มใย</t>
  </si>
  <si>
    <t>ฌจ4528</t>
  </si>
  <si>
    <t>ปรีดา ทีฆะสุข</t>
  </si>
  <si>
    <t>ฒถ3689</t>
  </si>
  <si>
    <t>ศุภเดช คุณภัทรดำรงกุล</t>
  </si>
  <si>
    <t>กว3526</t>
  </si>
  <si>
    <t>COROLLA</t>
  </si>
  <si>
    <t>3/50000</t>
  </si>
  <si>
    <t>ประดิษฐ ศรีเอก</t>
  </si>
  <si>
    <t>ฒฬ4980</t>
  </si>
  <si>
    <t>ช่วง โพธิ์ศรี</t>
  </si>
  <si>
    <t>ชห590</t>
  </si>
  <si>
    <t>สมโภช ละครพล</t>
  </si>
  <si>
    <t>ถจ7258</t>
  </si>
  <si>
    <t>อาทิตย์ ตะชุง</t>
  </si>
  <si>
    <t>1ฒข5065</t>
  </si>
  <si>
    <t>เชาวรัตน์ เลิศไธสง</t>
  </si>
  <si>
    <t>ฒฬ3626</t>
  </si>
  <si>
    <t>บุญเหลือ สุขพอดี</t>
  </si>
  <si>
    <t>ฎช5459</t>
  </si>
  <si>
    <t>นาย ศุภสวัสดิ์ นิ่มเสมอ</t>
  </si>
  <si>
    <t>ญฎ6792</t>
  </si>
  <si>
    <t>อานนท์ จันทร์อู่</t>
  </si>
  <si>
    <t>แพนกษา</t>
  </si>
  <si>
    <t>ญน533</t>
  </si>
  <si>
    <t>ธิดารัตน์ ตันติวิมงคล</t>
  </si>
  <si>
    <t>ทุ่งครุ</t>
  </si>
  <si>
    <t>สฮ9365</t>
  </si>
  <si>
    <t>NV</t>
  </si>
  <si>
    <t>จิรภัทร สระบัว</t>
  </si>
  <si>
    <t>กฉ455</t>
  </si>
  <si>
    <t>กรกฤช์ ศิรินิกร</t>
  </si>
  <si>
    <t>2กฐ6034</t>
  </si>
  <si>
    <t>CR-V</t>
  </si>
  <si>
    <t>ดวงเพ็ญ พุ่มจันทร์</t>
  </si>
  <si>
    <t>ถจ8390</t>
  </si>
  <si>
    <t>ปิยะศักดิ์ อินทะกะ</t>
  </si>
  <si>
    <t>ศง1685</t>
  </si>
  <si>
    <t>สว่าง พรมการ</t>
  </si>
  <si>
    <t>ณอ2851</t>
  </si>
  <si>
    <t>ปรีชา นรดี</t>
  </si>
  <si>
    <t>ตศ5103</t>
  </si>
  <si>
    <t>อุทัยวรรณ ลาภโพธิ์ชัย</t>
  </si>
  <si>
    <t>ฒต9608</t>
  </si>
  <si>
    <t>ขาด4ชิ้น</t>
  </si>
  <si>
    <t>อื่นๆ</t>
  </si>
  <si>
    <t>สมหมาย ทองอินทร์</t>
  </si>
  <si>
    <t>วม533</t>
  </si>
  <si>
    <t>ชานนท์ จันทร์สี่ทิศ</t>
  </si>
  <si>
    <t>ญบ6348</t>
  </si>
  <si>
    <t>อัมรินทร์ พรรณขาม</t>
  </si>
  <si>
    <t>ตจ8097</t>
  </si>
  <si>
    <t>วิวัฒน์ นาคจู</t>
  </si>
  <si>
    <t>1ฒห5790</t>
  </si>
  <si>
    <t>วรพงศ์ ศรีบุญเรือง</t>
  </si>
  <si>
    <t>ถอ6587</t>
  </si>
  <si>
    <t>อภิเชษฐ พิมศร</t>
  </si>
  <si>
    <t>ฒฒ2395</t>
  </si>
  <si>
    <t>ปิยะ สีแก้ว</t>
  </si>
  <si>
    <t>ฒจ3146</t>
  </si>
  <si>
    <t>อนันตชัย ฮั่นวิวัฒน์</t>
  </si>
  <si>
    <t>ฎถ5553</t>
  </si>
  <si>
    <t>ชาลี บุญเฉย</t>
  </si>
  <si>
    <t>1ฒว1183</t>
  </si>
  <si>
    <t>TOOYTA</t>
  </si>
  <si>
    <t>วารินทร์ โชคเจริญ</t>
  </si>
  <si>
    <t>4กฉ4821</t>
  </si>
  <si>
    <t>สุมนต์ ทองห่อ</t>
  </si>
  <si>
    <t>ญน6975</t>
  </si>
  <si>
    <t>สุชาติ ไมตรีจิตต์</t>
  </si>
  <si>
    <t>ฌบ9646</t>
  </si>
  <si>
    <t>YIOS</t>
  </si>
  <si>
    <t>นาย สุรชัย สุปัญญา</t>
  </si>
  <si>
    <t>ญฐ3793</t>
  </si>
  <si>
    <t>พูลลาภ บุญเกิด</t>
  </si>
  <si>
    <t>ชษ5638</t>
  </si>
  <si>
    <t>วรากรณ์ พฤติทัศน์</t>
  </si>
  <si>
    <t>3กต270</t>
  </si>
  <si>
    <t>สุรินทร์ สิทธิ</t>
  </si>
  <si>
    <t>ญง1656</t>
  </si>
  <si>
    <t>รุ่งลาวัลย์ อุ่มชะอุ้ม</t>
  </si>
  <si>
    <t>ฒบ8391</t>
  </si>
  <si>
    <t>ฐิศิรัตน์ นิยม</t>
  </si>
  <si>
    <t>บางมด</t>
  </si>
  <si>
    <t>1กฒ9038</t>
  </si>
  <si>
    <t>จตุพงษ์ พาเคน</t>
  </si>
  <si>
    <t>กจ4033</t>
  </si>
  <si>
    <t>อนันต์ กิมเต๊ก</t>
  </si>
  <si>
    <t>ณจ6761</t>
  </si>
  <si>
    <t>ถาวร บุตรศรี</t>
  </si>
  <si>
    <t>1ฒฒ2884</t>
  </si>
  <si>
    <t>สุพลพงษ์ หลีเลิศ</t>
  </si>
  <si>
    <t>2กท7127</t>
  </si>
  <si>
    <t>ธริกา หงษ์วิเศษ</t>
  </si>
  <si>
    <t>ศน3564</t>
  </si>
  <si>
    <t>อารีย์ แซ่เตีย</t>
  </si>
  <si>
    <t>ษข3042</t>
  </si>
  <si>
    <t>ธนวินท์วรัฒน์ มะเสริฐ</t>
  </si>
  <si>
    <t>บางบอน</t>
  </si>
  <si>
    <t>สฎ391</t>
  </si>
  <si>
    <t>ขจรชัย นิระวัน</t>
  </si>
  <si>
    <t>ฒต2696</t>
  </si>
  <si>
    <t>เช้น โชติศรีลือชา</t>
  </si>
  <si>
    <t>ถม8499</t>
  </si>
  <si>
    <t>1/170000</t>
  </si>
  <si>
    <t>คมเพชร คำภูษา</t>
  </si>
  <si>
    <t>4กฒ2859</t>
  </si>
  <si>
    <t>ทวีศักดิ์ ลิ้มประสิทธิ์วงศ์</t>
  </si>
  <si>
    <t>1กจ8275</t>
  </si>
  <si>
    <t>ประเสริฐ คงพลปาน</t>
  </si>
  <si>
    <t>ฒง5605</t>
  </si>
  <si>
    <t>3/0</t>
  </si>
  <si>
    <t>ประนอม หอมมาลา</t>
  </si>
  <si>
    <t>ญม9612</t>
  </si>
  <si>
    <t>ศิริลักษณ์ ใจมนต์</t>
  </si>
  <si>
    <t>ฆค7823</t>
  </si>
  <si>
    <t>กิตติ</t>
  </si>
  <si>
    <t>5กฏ8215</t>
  </si>
  <si>
    <t>จรรยา กล่ำดิษฐ</t>
  </si>
  <si>
    <t>ญล4108</t>
  </si>
  <si>
    <t>จตุพร ศรีมงคล</t>
  </si>
  <si>
    <t>ฎร5300</t>
  </si>
  <si>
    <t>สมพงษ์ กางด้วง</t>
  </si>
  <si>
    <t>ฒอ2812</t>
  </si>
  <si>
    <t>พิชิต เอกปัจชา</t>
  </si>
  <si>
    <t>ฒม9754</t>
  </si>
  <si>
    <t>เชาว์ ศรีบุญ</t>
  </si>
  <si>
    <t>กฉ9322</t>
  </si>
  <si>
    <t>จรรยา พิกุล</t>
  </si>
  <si>
    <t>3กฐ6543</t>
  </si>
  <si>
    <t>วันเพ็ญ จิตรักไทย</t>
  </si>
  <si>
    <t>สนามบิน</t>
  </si>
  <si>
    <t>ฆร4635</t>
  </si>
  <si>
    <t>เทอดศักดิ์ ศิริสาคร</t>
  </si>
  <si>
    <t>ศฉ8658</t>
  </si>
  <si>
    <t>OPTRA</t>
  </si>
  <si>
    <t>รจนชัย ชื่นบุญ</t>
  </si>
  <si>
    <t>ภก5058</t>
  </si>
  <si>
    <t>บุญรักษา ชาชุมวงศ์</t>
  </si>
  <si>
    <t>ฆพ1257</t>
  </si>
  <si>
    <t>อนุสรา แช่มช้อย</t>
  </si>
  <si>
    <t>2กฆ7056</t>
  </si>
  <si>
    <t>อำพร โพธิ์ระเดา</t>
  </si>
  <si>
    <t>ถม3133</t>
  </si>
  <si>
    <t>ประกอบ สุวรรณสิทธิ์</t>
  </si>
  <si>
    <t>ฎง5091</t>
  </si>
  <si>
    <t>ชวลิต ยงดีมิตรภาพ</t>
  </si>
  <si>
    <t>ฌอ411</t>
  </si>
  <si>
    <t>TIIDA</t>
  </si>
  <si>
    <t>รณฤทธิ์ สามัคคี</t>
  </si>
  <si>
    <t>ชม1385</t>
  </si>
  <si>
    <t>วิทยา สินโท</t>
  </si>
  <si>
    <t>กอ390</t>
  </si>
  <si>
    <t>บางกอกสห</t>
  </si>
  <si>
    <t>อัญชลี อิงคนันทวารี</t>
  </si>
  <si>
    <t>ปจ2546</t>
  </si>
  <si>
    <t>ภูษิต วรรณรัตน์</t>
  </si>
  <si>
    <t>4กอ7022</t>
  </si>
  <si>
    <t>E200</t>
  </si>
  <si>
    <t>1/1030000</t>
  </si>
  <si>
    <t>ชินาธิป บุญผาลา</t>
  </si>
  <si>
    <t>ฎง7675</t>
  </si>
  <si>
    <t>ปริญธิดา สุทธิชาติ</t>
  </si>
  <si>
    <t>ฌพ541</t>
  </si>
  <si>
    <t>สุดใจ ภูบุญลาภ</t>
  </si>
  <si>
    <t>ญค8378</t>
  </si>
  <si>
    <t xml:space="preserve">สุมาลี ใหญ่ลา </t>
  </si>
  <si>
    <t>ฎก2821</t>
  </si>
  <si>
    <t>อำนวย เจริญสุข</t>
  </si>
  <si>
    <t>ฒน112</t>
  </si>
  <si>
    <t>HI-LANDER</t>
  </si>
  <si>
    <t>ประพา นครโสภา</t>
  </si>
  <si>
    <t>1กร2289</t>
  </si>
  <si>
    <t>ดิเรกฤทธิ์ ภุมมางกูร</t>
  </si>
  <si>
    <t>สวนหลวง</t>
  </si>
  <si>
    <t>ญต8787</t>
  </si>
  <si>
    <t>1/790000</t>
  </si>
  <si>
    <t>ทัศชัย รจนาสันห์</t>
  </si>
  <si>
    <t>4กว5355</t>
  </si>
  <si>
    <t>HOAH</t>
  </si>
  <si>
    <t>วารุณี นรินทร์</t>
  </si>
  <si>
    <t>3กฮ5950</t>
  </si>
  <si>
    <t>แสงเทียน สุขศรีเจริญ</t>
  </si>
  <si>
    <t>ฆญ7180</t>
  </si>
  <si>
    <t>อาภาศรี สงวนวงษ์</t>
  </si>
  <si>
    <t>บงาเมืองใหม่</t>
  </si>
  <si>
    <t>ศท9580</t>
  </si>
  <si>
    <t>ศักดิ์ชัย โคตรธรรม</t>
  </si>
  <si>
    <t>3กข1723</t>
  </si>
  <si>
    <t>ซ้ำ</t>
  </si>
  <si>
    <t>รพีพัฒน์ กิ่งหิรัญ</t>
  </si>
  <si>
    <t>บงาเมือง</t>
  </si>
  <si>
    <t>ชณ3448</t>
  </si>
  <si>
    <t>ชรินรัตน์ ลีลาจริยาธรรม</t>
  </si>
  <si>
    <t>2กค6775</t>
  </si>
  <si>
    <t>ณธนา หลงบางพลี</t>
  </si>
  <si>
    <t>ลาดพร้าว</t>
  </si>
  <si>
    <t>ญฒ4950</t>
  </si>
  <si>
    <t>สำราญ อุ่นใจชน</t>
  </si>
  <si>
    <t>ญร4625</t>
  </si>
  <si>
    <t>2+/230000</t>
  </si>
  <si>
    <t>ณรงค์ เจริญพร้อม</t>
  </si>
  <si>
    <t>ชข8086</t>
  </si>
  <si>
    <t>ไม่มีกรมธรรม์สุริโย</t>
  </si>
  <si>
    <t>ศุภลักษณ์ ตันติถาวร</t>
  </si>
  <si>
    <t>1กจ5865</t>
  </si>
  <si>
    <t>อรรถพงษ์ พรมสมบัติ</t>
  </si>
  <si>
    <t>ฆช8286</t>
  </si>
  <si>
    <t>รุ่งเรือง ว่องสุวรรณสาร</t>
  </si>
  <si>
    <t>ฎพ1996</t>
  </si>
  <si>
    <t>สุรเชษฐ์ มะลิแย้ม</t>
  </si>
  <si>
    <t>นาเกลือ</t>
  </si>
  <si>
    <t>1กล3061</t>
  </si>
  <si>
    <t>1/460000</t>
  </si>
  <si>
    <t>สินมหัตธันยา เต่าทิง</t>
  </si>
  <si>
    <t>2กพ2362</t>
  </si>
  <si>
    <t>SYLPHY</t>
  </si>
  <si>
    <t>ภาวัต เย็นใส</t>
  </si>
  <si>
    <t>ญอ8498</t>
  </si>
  <si>
    <t>PRIUS</t>
  </si>
  <si>
    <t>ปรเมศวร ตันตระกูล</t>
  </si>
  <si>
    <t>4กท7980</t>
  </si>
  <si>
    <t>สยามซิตี้</t>
  </si>
  <si>
    <t>ธนารัตน์ แทนศิริ</t>
  </si>
  <si>
    <t>2กฬ6058</t>
  </si>
  <si>
    <t>1/610000</t>
  </si>
  <si>
    <t>วรลักษณ์ วรวุฒิ ณ อยุธยา</t>
  </si>
  <si>
    <t>ฌก6970</t>
  </si>
  <si>
    <t>ฌถ6970</t>
  </si>
  <si>
    <t>มนตรี วันทุมมา</t>
  </si>
  <si>
    <t>4กฉ5548</t>
  </si>
  <si>
    <t>ERTIGA</t>
  </si>
  <si>
    <t>เฉลิมศักดิ์ กองกาสี</t>
  </si>
  <si>
    <t>ญศ6383</t>
  </si>
  <si>
    <t>พิมพ์พล หงษ์ทอง</t>
  </si>
  <si>
    <t>5กช5361</t>
  </si>
  <si>
    <t>1/630000</t>
  </si>
  <si>
    <t>สมชาย บัวหลักเมือง</t>
  </si>
  <si>
    <t>ชฉ3440</t>
  </si>
  <si>
    <t>AVEO</t>
  </si>
  <si>
    <t>วัชรพงษ์ ศรีนภาวรรณ์</t>
  </si>
  <si>
    <t>1กจ4869</t>
  </si>
  <si>
    <t>สมาน มาตบัณดิษฐ</t>
  </si>
  <si>
    <t>2กย7935</t>
  </si>
  <si>
    <t>พชรพล ปฎิเสน</t>
  </si>
  <si>
    <t>กฉ1300</t>
  </si>
  <si>
    <t>ศุภชัย อ่อนศรีทอง</t>
  </si>
  <si>
    <t>1กจ9768</t>
  </si>
  <si>
    <t>รัชชานนท์ ศิริมาตย์</t>
  </si>
  <si>
    <t>ญท5554</t>
  </si>
  <si>
    <t>ชายนาท คงสวัสดิ์</t>
  </si>
  <si>
    <t>ถร7699</t>
  </si>
  <si>
    <t>อรุณ รุ่งเรือง</t>
  </si>
  <si>
    <t>2กญ6272</t>
  </si>
  <si>
    <t>SONIC</t>
  </si>
  <si>
    <t>สุพจน์ วงศ์จารูเดช</t>
  </si>
  <si>
    <t>ฆฎ694</t>
  </si>
  <si>
    <t>สุริยา แสนยากุล</t>
  </si>
  <si>
    <t>1ฒภ4170</t>
  </si>
  <si>
    <t>REVO</t>
  </si>
  <si>
    <t>จิตร์สุดา แซ่ฉั่ว</t>
  </si>
  <si>
    <t>ชย1256</t>
  </si>
  <si>
    <t>อรนุช อภิลักษณ์</t>
  </si>
  <si>
    <t>ทรงคนอง</t>
  </si>
  <si>
    <t>3กฒ3714</t>
  </si>
  <si>
    <t>นาย สมเจศ มุสิกะอินทร์</t>
  </si>
  <si>
    <t>ฒว9477</t>
  </si>
  <si>
    <t>ปริญญา แก้วงาม</t>
  </si>
  <si>
    <t>5กณ3290</t>
  </si>
  <si>
    <t>จิรภพ สุทธิศิริ</t>
  </si>
  <si>
    <t>รต6785</t>
  </si>
  <si>
    <t>นนทพัทธ์ เที่ยงท้องคุ้ง</t>
  </si>
  <si>
    <t>1ฒส3691</t>
  </si>
  <si>
    <t>พสิษฐ์ จินตสถาพร</t>
  </si>
  <si>
    <t>กจ2310</t>
  </si>
  <si>
    <t>พิมพิไล ทิมเจริญ</t>
  </si>
  <si>
    <t>วข1577</t>
  </si>
  <si>
    <t>สุธีรา โสภาพร</t>
  </si>
  <si>
    <t>กจ5554</t>
  </si>
  <si>
    <t>SPORT RIDER</t>
  </si>
  <si>
    <t>ไกรศร เรืองเรื่อ</t>
  </si>
  <si>
    <t>อาทิตย์ บุญพันธ์</t>
  </si>
  <si>
    <t>3กน1534</t>
  </si>
  <si>
    <t>กุลลดา รักษาวงศ์</t>
  </si>
  <si>
    <t>ฎฐ5338</t>
  </si>
  <si>
    <t>FREED</t>
  </si>
  <si>
    <t>1/470000พ</t>
  </si>
  <si>
    <t>ศิรดา เหลืองอรุณ</t>
  </si>
  <si>
    <t>ฎผ963</t>
  </si>
  <si>
    <t>มยุรี ยามี</t>
  </si>
  <si>
    <t>2กฉ8391</t>
  </si>
  <si>
    <t>2+/500000</t>
  </si>
  <si>
    <t>อนันต์ โสฤทธิ์</t>
  </si>
  <si>
    <t>ฒต6034</t>
  </si>
  <si>
    <t>วุฒิพัชร์ สงกล่ำธนาเศรษฐ์</t>
  </si>
  <si>
    <t>ชลบุรี</t>
  </si>
  <si>
    <t>ญญ9987</t>
  </si>
  <si>
    <t>ทอมสัน พะทะนะ</t>
  </si>
  <si>
    <t>ดอกไม้</t>
  </si>
  <si>
    <t>ตศ7641</t>
  </si>
  <si>
    <t>พรพรรณ แดงทองคำ</t>
  </si>
  <si>
    <t>ฆม622</t>
  </si>
  <si>
    <t>ธวัชชัย เลี้ยงประยูร</t>
  </si>
  <si>
    <t>5กธ2504</t>
  </si>
  <si>
    <t>นพดล ผมรี</t>
  </si>
  <si>
    <t>1กส640</t>
  </si>
  <si>
    <t>ศักดิ์รินทร์ เซสาย</t>
  </si>
  <si>
    <t>ฆฬ4923</t>
  </si>
  <si>
    <t>อนุวัตร สมใจ</t>
  </si>
  <si>
    <t>ฒฌ4669</t>
  </si>
  <si>
    <t>1/290000</t>
  </si>
  <si>
    <t>ตรวจสอบ</t>
  </si>
  <si>
    <t>นวมินทร์</t>
  </si>
  <si>
    <t>กมลชนก จันทร์ปุก</t>
  </si>
  <si>
    <t>กฉ8303</t>
  </si>
  <si>
    <t>จิรายุ ฉิมพาลี</t>
  </si>
  <si>
    <t>ฌป8770</t>
  </si>
  <si>
    <t>ชิ้นส่วน</t>
  </si>
  <si>
    <t>พัชรินทร์ ลิ้มวัฒนะ</t>
  </si>
  <si>
    <t>ฌฉ2671</t>
  </si>
  <si>
    <t>ภารดี ขันทอง</t>
  </si>
  <si>
    <t>ฆถ1922</t>
  </si>
  <si>
    <t>สมเกียรติ โพธิ์สุวรรณ</t>
  </si>
  <si>
    <t>ฌค5647</t>
  </si>
  <si>
    <t>TEANA</t>
  </si>
  <si>
    <t>ณัฐพงศ์ ขจรกลิ่น</t>
  </si>
  <si>
    <t>4กจ7487</t>
  </si>
  <si>
    <t>ECOSPORT</t>
  </si>
  <si>
    <t>ภาณุพงศ์ โสภาศรี</t>
  </si>
  <si>
    <t>1ฒศ4572</t>
  </si>
  <si>
    <t>ณรงค์ นิลบุตร</t>
  </si>
  <si>
    <t>ตร6918</t>
  </si>
  <si>
    <t>ยุพิณ หารินไสล</t>
  </si>
  <si>
    <t>ญย7206</t>
  </si>
  <si>
    <t>รุ้งนภา คูสมิต</t>
  </si>
  <si>
    <t>2กฬ5934</t>
  </si>
  <si>
    <t>หฤษฎ์ ประกอบผล</t>
  </si>
  <si>
    <t>ลางพลีใหญ่</t>
  </si>
  <si>
    <t>2กย1134</t>
  </si>
  <si>
    <t>นาย ธ๊ระชัย เทียมทอง</t>
  </si>
  <si>
    <t>ฒธ192</t>
  </si>
  <si>
    <t>สิริรัศมิ์ เข็มทอง</t>
  </si>
  <si>
    <t>ฆฉ8515</t>
  </si>
  <si>
    <t>INNOVA</t>
  </si>
  <si>
    <t>คำนวน เสนีย์วงศ์ ณ อยุธยา</t>
  </si>
  <si>
    <t>ถห2951</t>
  </si>
  <si>
    <t>สมชาย วีระพันธ์</t>
  </si>
  <si>
    <t>1ฒพ2129</t>
  </si>
  <si>
    <t>ธนเดช กิจสกุล</t>
  </si>
  <si>
    <t>2กล614</t>
  </si>
  <si>
    <t>พัชรีพร ทองอร่าม</t>
  </si>
  <si>
    <t>วว3498</t>
  </si>
  <si>
    <t>สิริพงศ์ แสงทรัพย์</t>
  </si>
  <si>
    <t>3กฮ9074</t>
  </si>
  <si>
    <t>1/530000</t>
  </si>
  <si>
    <t>ชนะสรณ์ ภักดีศิริพงศ์</t>
  </si>
  <si>
    <t>ถษ1980</t>
  </si>
  <si>
    <t>TATA</t>
  </si>
  <si>
    <t>XENON</t>
  </si>
  <si>
    <t>เกษม วงษ์สะมัน</t>
  </si>
  <si>
    <t>ตล3284</t>
  </si>
  <si>
    <t>ณัฐนนท์ นาคสุขศรี</t>
  </si>
  <si>
    <t>มจ1055</t>
  </si>
  <si>
    <t>ภวริศา บรรพสุข</t>
  </si>
  <si>
    <t>2กฆ2242</t>
  </si>
  <si>
    <t>AMAZE</t>
  </si>
  <si>
    <t>เอมอร เอกอติคุณ</t>
  </si>
  <si>
    <t>1กอ9592</t>
  </si>
  <si>
    <t>ขนิษฐา จันทรสภา</t>
  </si>
  <si>
    <t>2กช9870</t>
  </si>
  <si>
    <t>1/700000</t>
  </si>
  <si>
    <t>ยกเลิกรายการ</t>
  </si>
  <si>
    <t>ยศจุฑา เศรษฐสุวรรณ</t>
  </si>
  <si>
    <t>ตณ8381</t>
  </si>
  <si>
    <t>อมร ศรีพร</t>
  </si>
  <si>
    <t>1ฒณ5320</t>
  </si>
  <si>
    <t>ศุภกิจ อาชีวะวานิช</t>
  </si>
  <si>
    <t>ญณ5207</t>
  </si>
  <si>
    <t>จิราพน อนุสุริยา</t>
  </si>
  <si>
    <t>สฬ4291</t>
  </si>
  <si>
    <t>พงศ์ธร โภชะโน</t>
  </si>
  <si>
    <t>2กม3110</t>
  </si>
  <si>
    <t>อลงกรณ์ เกตุรัตน์</t>
  </si>
  <si>
    <t>กต9891</t>
  </si>
  <si>
    <t>สำราญ พะโคดม</t>
  </si>
  <si>
    <t>ฒก5239</t>
  </si>
  <si>
    <t>สุเทพ</t>
  </si>
  <si>
    <t>กฉ906</t>
  </si>
  <si>
    <t>บุญแท้ วงศ์กรนาวิน</t>
  </si>
  <si>
    <t>ศจ9617</t>
  </si>
  <si>
    <t>อำนวย เสาสวัสดิ์</t>
  </si>
  <si>
    <t>4กง4783</t>
  </si>
  <si>
    <t>1/590000</t>
  </si>
  <si>
    <t>ษว3297</t>
  </si>
  <si>
    <t>พรทิพย์ พุ่มกล่อม</t>
  </si>
  <si>
    <t>กบ6391</t>
  </si>
  <si>
    <t>นิธิกานต์ เสนีย์วงศ์ ณ อยุธยา</t>
  </si>
  <si>
    <t>วจ4860</t>
  </si>
  <si>
    <t>2/120000</t>
  </si>
  <si>
    <t>วิยราช ภูมลี</t>
  </si>
  <si>
    <t>5กศ1012</t>
  </si>
  <si>
    <t>กิตติ ไชยมี</t>
  </si>
  <si>
    <t>1ฒผ9746</t>
  </si>
  <si>
    <t>สุเนตร แรงทอง</t>
  </si>
  <si>
    <t>7ษ1703</t>
  </si>
  <si>
    <t>ประเภท 3</t>
  </si>
  <si>
    <t>วิชัย เมืองปลื้ม</t>
  </si>
  <si>
    <t>สย3990</t>
  </si>
  <si>
    <t>ณรงค์ แป้นบางนา</t>
  </si>
  <si>
    <t>พย5044</t>
  </si>
  <si>
    <t>ไม่มีกรมธรรม์0</t>
  </si>
  <si>
    <t>เจนจิรา จันทร์สังข์</t>
  </si>
  <si>
    <t>ฌพ634</t>
  </si>
  <si>
    <t>จันทิพา มรรคจินคา</t>
  </si>
  <si>
    <t>ฎฉ7499</t>
  </si>
  <si>
    <t>บางโพงพาง</t>
  </si>
  <si>
    <t>ณิชาภา ปองสุวรรณ</t>
  </si>
  <si>
    <t>ฒก764</t>
  </si>
  <si>
    <t>สรรเพชญ วังอินทร์</t>
  </si>
  <si>
    <t>5กฏ3239</t>
  </si>
  <si>
    <t>ธารารัตน์ สร้างนา</t>
  </si>
  <si>
    <t>1กส2291</t>
  </si>
  <si>
    <t>2+/170000</t>
  </si>
  <si>
    <t>ปีชาติ ทำนานอก</t>
  </si>
  <si>
    <t>1ฒช3231</t>
  </si>
  <si>
    <t>ณรงค์ บุญประเสริฐ</t>
  </si>
  <si>
    <t>ฌศ7221</t>
  </si>
  <si>
    <t>ชัยชาญ ปฎิทันโต</t>
  </si>
  <si>
    <t>กจ2155</t>
  </si>
  <si>
    <t>GRANDIS</t>
  </si>
  <si>
    <t>1/100000</t>
  </si>
  <si>
    <t>ศุกพัฒน์ เพชรโคตร</t>
  </si>
  <si>
    <t>ฒญ9795</t>
  </si>
  <si>
    <t>ไพลิน บิสสะเล็ม</t>
  </si>
  <si>
    <t>ญน9450</t>
  </si>
  <si>
    <t>CRUZE</t>
  </si>
  <si>
    <t>พิษณุวัส คำงาม</t>
  </si>
  <si>
    <t>สุขอนันต์ ทองก้อน</t>
  </si>
  <si>
    <t>1ฒต8945</t>
  </si>
  <si>
    <t>วิชัย โยธาราช</t>
  </si>
  <si>
    <t>ฒถ2722</t>
  </si>
  <si>
    <t>ฎส4975</t>
  </si>
  <si>
    <t>1กพ3104</t>
  </si>
  <si>
    <t>ฒร3116</t>
  </si>
  <si>
    <t>1+/500000</t>
  </si>
  <si>
    <t>ฒฒ4534</t>
  </si>
  <si>
    <t>1ฒข5722</t>
  </si>
  <si>
    <t>5กต2970</t>
  </si>
  <si>
    <t>5กค3592</t>
  </si>
  <si>
    <t>ชว4001</t>
  </si>
  <si>
    <t>ฆห9177</t>
  </si>
  <si>
    <t>ฎอ8806</t>
  </si>
  <si>
    <t>ญง4188</t>
  </si>
  <si>
    <t>ฌอ4437</t>
  </si>
  <si>
    <t>ธวัช อยู่นาน</t>
  </si>
  <si>
    <t>ฆฌ6713</t>
  </si>
  <si>
    <t>ลุงขายกาแฟ</t>
  </si>
  <si>
    <t>ผจ2948</t>
  </si>
  <si>
    <t>พนิดา ชำนาญชัยศรี</t>
  </si>
  <si>
    <t>ศฐ5049</t>
  </si>
  <si>
    <t>VQ 2.0</t>
  </si>
  <si>
    <t>ดวงกมล เข้มแข็ง</t>
  </si>
  <si>
    <t>ษฮ1028</t>
  </si>
  <si>
    <t>เรณู ตรุษทุ่ง</t>
  </si>
  <si>
    <t>3กว112</t>
  </si>
  <si>
    <t>ณัฐธิดา ศรีดี</t>
  </si>
  <si>
    <t>กง6860</t>
  </si>
  <si>
    <t>มาริสา บุญทวีวรพันธ์</t>
  </si>
  <si>
    <t>ฆธ3643</t>
  </si>
  <si>
    <t>เมธี นิสัยมั่น</t>
  </si>
  <si>
    <t>3กฆ8227</t>
  </si>
  <si>
    <t>EX</t>
  </si>
  <si>
    <t>จินดา พุฒตาล</t>
  </si>
  <si>
    <t>บงาพลีใหญ๋</t>
  </si>
  <si>
    <t>ฆธ436</t>
  </si>
  <si>
    <t>MARGH</t>
  </si>
  <si>
    <t>พลากร สุวัณจารุจินดากุล</t>
  </si>
  <si>
    <t>3กน2666</t>
  </si>
  <si>
    <t>ATTRAGE</t>
  </si>
  <si>
    <t>นิกร ชินโชติ</t>
  </si>
  <si>
    <t>1ฒย2823</t>
  </si>
  <si>
    <t>วรรณี ตรีเจริญรัตน์</t>
  </si>
  <si>
    <t>ฌศ6371</t>
  </si>
  <si>
    <t>ก้องเกียรติ กิจนางหงษ์</t>
  </si>
  <si>
    <t>5กง8262</t>
  </si>
  <si>
    <t>นิพนธ์ ชาวอ่างทอง</t>
  </si>
  <si>
    <t>ฒข7222</t>
  </si>
  <si>
    <t>มนัสพร วรรณดี</t>
  </si>
  <si>
    <t>2กฬ5382</t>
  </si>
  <si>
    <t>ยื่นเอกสาร</t>
  </si>
  <si>
    <t>P1704001-1</t>
  </si>
  <si>
    <t>ไฟหน้า L</t>
  </si>
  <si>
    <t>คิ้วบังโคลนหน้า L</t>
  </si>
  <si>
    <t>บังโคลนหน้า L</t>
  </si>
  <si>
    <t>กระจกหูช้างบังโคลน</t>
  </si>
  <si>
    <t>สยามเทพา</t>
  </si>
  <si>
    <t>MSJ/ชา</t>
  </si>
  <si>
    <t>รุ่งเรือง</t>
  </si>
  <si>
    <t>สไมล์</t>
  </si>
  <si>
    <t>P1704001-2</t>
  </si>
  <si>
    <t>P1704001-3</t>
  </si>
  <si>
    <t>P1704001-4</t>
  </si>
  <si>
    <t>อะไหล่ที่ซื้อได้</t>
  </si>
  <si>
    <t>P1705028-1</t>
  </si>
  <si>
    <t>คานรับฝากระโปรงหน้า</t>
  </si>
  <si>
    <t>ไฟหน้า R</t>
  </si>
  <si>
    <t>กระจังหน้า</t>
  </si>
  <si>
    <t>ฝากระโปรงหน้า</t>
  </si>
  <si>
    <t>เสารับกลอน</t>
  </si>
  <si>
    <t>กระปุกพักน้ำ</t>
  </si>
  <si>
    <t>กันชนหน้า</t>
  </si>
  <si>
    <t>แสงทอง</t>
  </si>
  <si>
    <t>P1705028-2</t>
  </si>
  <si>
    <t>P1705028-3</t>
  </si>
  <si>
    <t>P1705028-4</t>
  </si>
  <si>
    <t>P1705028-5</t>
  </si>
  <si>
    <t>P1705028-6</t>
  </si>
  <si>
    <t>P1705028-7</t>
  </si>
  <si>
    <t>แอน</t>
  </si>
  <si>
    <t>คอม้าหน้า L</t>
  </si>
  <si>
    <t>ปีกนกล่าง หน้า L</t>
  </si>
  <si>
    <t>พี่ตุ่น</t>
  </si>
  <si>
    <t>P1704001-5</t>
  </si>
  <si>
    <t>P1704001-6</t>
  </si>
  <si>
    <t>แอ้ม</t>
  </si>
  <si>
    <t>น้ำ</t>
  </si>
  <si>
    <t>P1701039-1</t>
  </si>
  <si>
    <t>แผงคอจิ้งหลีด</t>
  </si>
  <si>
    <t>พลาสติกหูช้าง R</t>
  </si>
  <si>
    <t>พลาสติกใต้เครื่อง</t>
  </si>
  <si>
    <t>กระจกบังลมหน้า</t>
  </si>
  <si>
    <t>P1701039-2</t>
  </si>
  <si>
    <t>P1701039-3</t>
  </si>
  <si>
    <t>P1701039-4</t>
  </si>
  <si>
    <t>ถวัลย์ ครูพิพรม</t>
  </si>
  <si>
    <t>2กง2210</t>
  </si>
  <si>
    <t>ปริญญา พูลผล</t>
  </si>
  <si>
    <t>ชม1029</t>
  </si>
  <si>
    <t>FOCUS</t>
  </si>
  <si>
    <t>สิณี มักเจริญลาภ</t>
  </si>
  <si>
    <t>4กบ2109</t>
  </si>
  <si>
    <t>กลองทอง บุญคง</t>
  </si>
  <si>
    <t>ปม5152</t>
  </si>
  <si>
    <t>1/160000</t>
  </si>
  <si>
    <t>บุญเกิน เปรมบุญ</t>
  </si>
  <si>
    <t>ญฎ6039</t>
  </si>
  <si>
    <t>มังกร</t>
  </si>
  <si>
    <t>ชิดชนก โท้มะวงศ์</t>
  </si>
  <si>
    <t>1ฒณ5463</t>
  </si>
  <si>
    <t>นันทวุฒิ หล้าละคร</t>
  </si>
  <si>
    <t>ฒม2156</t>
  </si>
  <si>
    <t>ธนกร เทียนชัย</t>
  </si>
  <si>
    <t>4กพ7960</t>
  </si>
  <si>
    <t>เศกสรรค์ วีตระกูล</t>
  </si>
  <si>
    <t>ทุ่งวัดดอน</t>
  </si>
  <si>
    <t>สจ4329</t>
  </si>
  <si>
    <t>NEW CITY</t>
  </si>
  <si>
    <t>ไม่มีกรมธรม์</t>
  </si>
  <si>
    <t>นพชัย ศรีรี</t>
  </si>
  <si>
    <t>สามเสนใน</t>
  </si>
  <si>
    <t>สอ5053</t>
  </si>
  <si>
    <t>สุพจน์ ถาวรสุข</t>
  </si>
  <si>
    <t>ฆฒ4653</t>
  </si>
  <si>
    <t>ไพศาล บุญอ่อน</t>
  </si>
  <si>
    <t>ถน4956</t>
  </si>
  <si>
    <t>P1701044-1</t>
  </si>
  <si>
    <t>P1703063-1</t>
  </si>
  <si>
    <t>บันไดเสริม L+R</t>
  </si>
  <si>
    <t>ไฟตัดหมอกคู่หน้า</t>
  </si>
  <si>
    <t>ท่อเก็บเสียง</t>
  </si>
  <si>
    <t>ชัยวัฒน์ 4x4</t>
  </si>
  <si>
    <t>P1703063-2</t>
  </si>
  <si>
    <t>P1703063-3</t>
  </si>
  <si>
    <t>P1703063-4</t>
  </si>
  <si>
    <t>หม้อน้ำ</t>
  </si>
  <si>
    <t>รังผึ้งแอร์</t>
  </si>
  <si>
    <t>สายเกียร์ออโต้</t>
  </si>
  <si>
    <t>พลาสติดบังฝุ่นหน้า L</t>
  </si>
  <si>
    <t>พลาสติดบังฝุ่นหน้า R</t>
  </si>
  <si>
    <t>พลาสติกใต้กันชนหน้า</t>
  </si>
  <si>
    <t>โครงซับกันชนหน้า</t>
  </si>
  <si>
    <t>ฝาครอบกล่องฟิวส์</t>
  </si>
  <si>
    <t>กระจกมองข้าง R</t>
  </si>
  <si>
    <t>พลาสติกข้างรังผึ้งแอร์</t>
  </si>
  <si>
    <t>ฝาปิดหูลากกันชนหน้า</t>
  </si>
  <si>
    <t>แผงกลั่นแอร์</t>
  </si>
  <si>
    <t>บังลมหม้อน้ำ</t>
  </si>
  <si>
    <t>ใบพัดลมหม้อน้ำ</t>
  </si>
  <si>
    <t>P1701044-2</t>
  </si>
  <si>
    <t>P1701044-3</t>
  </si>
  <si>
    <t>P1701044-4</t>
  </si>
  <si>
    <t>P1701044-5</t>
  </si>
  <si>
    <t>P1701044-6</t>
  </si>
  <si>
    <t>P1701044-7</t>
  </si>
  <si>
    <t>P1701044-8</t>
  </si>
  <si>
    <t>P1701044-9</t>
  </si>
  <si>
    <t>P1701044-10</t>
  </si>
  <si>
    <t>P1701044-11</t>
  </si>
  <si>
    <t>P1701044-12</t>
  </si>
  <si>
    <t>P1701044-13</t>
  </si>
  <si>
    <t>P1701044-14</t>
  </si>
  <si>
    <t>P1701044-15</t>
  </si>
  <si>
    <t>ศิวโรจน์ คงสกุล</t>
  </si>
  <si>
    <t>5กร1078</t>
  </si>
  <si>
    <t>1กร6299</t>
  </si>
  <si>
    <t>ธวัชชัย เชียงศรี</t>
  </si>
  <si>
    <t>02-1380405-6</t>
  </si>
  <si>
    <t>ถท5309</t>
  </si>
  <si>
    <t>บุญส่ง ดีเลิศ</t>
  </si>
  <si>
    <t>ฌศ4793</t>
  </si>
  <si>
    <t>SAVVY</t>
  </si>
  <si>
    <t>1/140000</t>
  </si>
  <si>
    <t>อมรรัษฎร์ พิกุลทอง</t>
  </si>
  <si>
    <t>1กศ3063</t>
  </si>
  <si>
    <t>สิงห์ โงนมณี</t>
  </si>
  <si>
    <t>1ฒค4167</t>
  </si>
  <si>
    <t>สามารถ อ่อนบุญ</t>
  </si>
  <si>
    <t>1ฒม5346</t>
  </si>
  <si>
    <t>2+400000พิรุณ/</t>
  </si>
  <si>
    <t>วินัส สมหวัง</t>
  </si>
  <si>
    <t>ในเมือง</t>
  </si>
  <si>
    <t>สช9042</t>
  </si>
  <si>
    <t>นิวาส คิดโสภา</t>
  </si>
  <si>
    <t>4กฬ7434</t>
  </si>
  <si>
    <t>ECO SPORT</t>
  </si>
  <si>
    <t>1/580000</t>
  </si>
  <si>
    <t>อนุรักษ์ ม่วงนาค</t>
  </si>
  <si>
    <t>ญต9771</t>
  </si>
  <si>
    <t>บังอร ขวัญวิเศษ</t>
  </si>
  <si>
    <t>ฎษ1733</t>
  </si>
  <si>
    <t>ณัฐพงศ์ กล่อมน้อย</t>
  </si>
  <si>
    <t>ษล4002</t>
  </si>
  <si>
    <t>2+/150000</t>
  </si>
  <si>
    <t>ณัฐวุฒิ เมธีธัญญลักษณ์</t>
  </si>
  <si>
    <t>ผว3445</t>
  </si>
  <si>
    <t>2/100000นภัทร</t>
  </si>
  <si>
    <t>สิทธิพงศ์ ปรัชญาโณทัย</t>
  </si>
  <si>
    <t>ฎบ2237</t>
  </si>
  <si>
    <t>สุวัฒน์ เกิดมงคล</t>
  </si>
  <si>
    <t>ชธ6932</t>
  </si>
  <si>
    <t>น.ส. สิริพรรณ นกขมิ้น</t>
  </si>
  <si>
    <t>ราชาเทวะ</t>
  </si>
  <si>
    <t>ชฬ4632</t>
  </si>
  <si>
    <t>วีระยุทธิ์ เอี่ยมคำพอง</t>
  </si>
  <si>
    <t>1กภ6473</t>
  </si>
  <si>
    <t>1/860000</t>
  </si>
  <si>
    <t>ปุญญิศา นนทรักษ์</t>
  </si>
  <si>
    <t>4กท</t>
  </si>
  <si>
    <t>MOBILIO</t>
  </si>
  <si>
    <t>สุทัย คำโมง</t>
  </si>
  <si>
    <t>ฒจ7656</t>
  </si>
  <si>
    <t>3/120000</t>
  </si>
  <si>
    <t>P1701052-1</t>
  </si>
  <si>
    <t>ดุมล้อ ABS</t>
  </si>
  <si>
    <t>ปีกนกล่าง หน้า ขวา</t>
  </si>
  <si>
    <t>โช๊คหน้า ขวา</t>
  </si>
  <si>
    <t>แผงคอจิ้งหรีด</t>
  </si>
  <si>
    <t>ตัวต่อแผงคอจิ้งหรีด</t>
  </si>
  <si>
    <t>ยางขอบกระจกบังลมหน้า</t>
  </si>
  <si>
    <t>P1701052-2</t>
  </si>
  <si>
    <t>P1701052-3</t>
  </si>
  <si>
    <t>P1701052-4</t>
  </si>
  <si>
    <t>P1701052-5</t>
  </si>
  <si>
    <t>P1701052-6</t>
  </si>
  <si>
    <t>P1701052-7</t>
  </si>
  <si>
    <t>ธนาดล</t>
  </si>
  <si>
    <t>P1704002-1</t>
  </si>
  <si>
    <t>แผงหน้า</t>
  </si>
  <si>
    <t>โครงกันชนหน้า</t>
  </si>
  <si>
    <t>เสารับกลอนฝาหน้า</t>
  </si>
  <si>
    <t>กลอนล็อคฝาหน้า</t>
  </si>
  <si>
    <t>ไฟหน้า ซ้าย</t>
  </si>
  <si>
    <t>ไฟหน้า ขวา</t>
  </si>
  <si>
    <t>P1704002-2</t>
  </si>
  <si>
    <t>P1704002-3</t>
  </si>
  <si>
    <t>P1704002-4</t>
  </si>
  <si>
    <t>P1704002-5</t>
  </si>
  <si>
    <t>P1704002-6</t>
  </si>
  <si>
    <t>P1704002-7</t>
  </si>
  <si>
    <t>P1704002-8</t>
  </si>
  <si>
    <t>ท้ายตัด</t>
  </si>
  <si>
    <t>P1704002-9</t>
  </si>
  <si>
    <t>เจริญ แก้วเกิด</t>
  </si>
  <si>
    <t>ฒถ3102</t>
  </si>
  <si>
    <t>มงคล มีสุข</t>
  </si>
  <si>
    <t>บท3484</t>
  </si>
  <si>
    <t>2+/160000</t>
  </si>
  <si>
    <t>กัญธินา ทองแสง</t>
  </si>
  <si>
    <t>ขพ1464</t>
  </si>
  <si>
    <t>นฤนาท เลื่อนสุขสันต์</t>
  </si>
  <si>
    <t>4กฮ3545</t>
  </si>
  <si>
    <t>สมพร แสวงไวศยสุข</t>
  </si>
  <si>
    <t>บพ5315</t>
  </si>
  <si>
    <t>อาทิตย์ ด่านแก้ว</t>
  </si>
  <si>
    <t>ฒต4084</t>
  </si>
  <si>
    <t>สำราญ จินา</t>
  </si>
  <si>
    <t>1ฒฉ6516</t>
  </si>
  <si>
    <t>จิรัฐติกร โพธิ์สวัสดิ์</t>
  </si>
  <si>
    <t>1กภ2149</t>
  </si>
  <si>
    <t>สมพิษ จอกทอง</t>
  </si>
  <si>
    <t>1ฒข3690</t>
  </si>
  <si>
    <t>ภาณุวัฒน์ อินธิแสง</t>
  </si>
  <si>
    <t>บค6023</t>
  </si>
  <si>
    <t>กฤติกา มาลาพันธ์</t>
  </si>
  <si>
    <t>3กษ3865</t>
  </si>
  <si>
    <t>องอาจ พลแสน</t>
  </si>
  <si>
    <t>ถจ4237</t>
  </si>
  <si>
    <t>เสริม เตือนจิตร</t>
  </si>
  <si>
    <t>ฒส9861</t>
  </si>
  <si>
    <t>จิรวัฒน์ กาญจนศิลปคม</t>
  </si>
  <si>
    <t>สย708</t>
  </si>
  <si>
    <t>2/250000</t>
  </si>
  <si>
    <t>ยุพิน กล่ำดี</t>
  </si>
  <si>
    <t>ชฐ7560</t>
  </si>
  <si>
    <t>2+/450000</t>
  </si>
  <si>
    <t>ศิริพร อินทร์จร</t>
  </si>
  <si>
    <t>ฒผ4547</t>
  </si>
  <si>
    <t>วัชราภรณ์ พูดดี</t>
  </si>
  <si>
    <t>1กถ8128</t>
  </si>
  <si>
    <t>พานิช ศรีสุขา</t>
  </si>
  <si>
    <t>2กด309</t>
  </si>
  <si>
    <t>กรรณิการ์ กลิ่นกุหลาบ</t>
  </si>
  <si>
    <t>ฆฮ4695</t>
  </si>
  <si>
    <t>TRAILBLAZER</t>
  </si>
  <si>
    <t>ปรียากร แก่นสาร</t>
  </si>
  <si>
    <t>ฒฐ9168</t>
  </si>
  <si>
    <t>ไพศาล หลงสวัสดิ์</t>
  </si>
  <si>
    <t>10 6614</t>
  </si>
  <si>
    <t>สมบุญ ม้ายอง</t>
  </si>
  <si>
    <t>ฒฉ9468</t>
  </si>
  <si>
    <t>พงศกร สุนทรศาลทูล</t>
  </si>
  <si>
    <t>3กข7481</t>
  </si>
  <si>
    <t>สิริวรรณ จิตคงคา</t>
  </si>
  <si>
    <t>1กอ3262</t>
  </si>
  <si>
    <t>ชาลิยา พลมิตร</t>
  </si>
  <si>
    <t>5กญ9872</t>
  </si>
  <si>
    <t>อโนชา มาอุ่น</t>
  </si>
  <si>
    <t>ญฮ8081</t>
  </si>
  <si>
    <t>2+/630000</t>
  </si>
  <si>
    <t>สุนันท์ สุขสำราญ</t>
  </si>
  <si>
    <t>ฎฟ276</t>
  </si>
  <si>
    <t>EXORA</t>
  </si>
  <si>
    <t>อนุชา มิตรมาตย์</t>
  </si>
  <si>
    <t>พร4052</t>
  </si>
  <si>
    <t>นภาวรรณ พิพัฒน์จตุพร</t>
  </si>
  <si>
    <t>3กส3271</t>
  </si>
  <si>
    <t>ปาลิตา ตุ่มสว่าง</t>
  </si>
  <si>
    <t>กฉ7948</t>
  </si>
  <si>
    <t>ธงชัย เมืองสองชั้น</t>
  </si>
  <si>
    <t>1ฒฉ9938</t>
  </si>
  <si>
    <t>ประวิทย์ แตงกลับ</t>
  </si>
  <si>
    <t>กจ6306</t>
  </si>
  <si>
    <t>ทน ตันทา</t>
  </si>
  <si>
    <t>ภบ2593</t>
  </si>
  <si>
    <t>เกศกนก ธรรมบัวชา</t>
  </si>
  <si>
    <t>ฒฎ4702</t>
  </si>
  <si>
    <t>4กท8083</t>
  </si>
  <si>
    <t>ชูชาติ เพ็งหนู</t>
  </si>
  <si>
    <t>3กฬ1095</t>
  </si>
  <si>
    <t>ละมูล เอี่ยมเวียง</t>
  </si>
  <si>
    <t>ชบ529</t>
  </si>
  <si>
    <t>2+/210000</t>
  </si>
  <si>
    <t>สุดอุทร พงษ์ประยูร</t>
  </si>
  <si>
    <t>ชท3546</t>
  </si>
  <si>
    <t>อะไหล่คงสต็อค</t>
  </si>
  <si>
    <t>ที่เก็บ</t>
  </si>
  <si>
    <t>STOCK ASSMB.</t>
  </si>
  <si>
    <t>ST-ASSMB NO.</t>
  </si>
  <si>
    <t>รุ่นย่อย</t>
  </si>
  <si>
    <t>V-CROSS</t>
  </si>
  <si>
    <t>CRV</t>
  </si>
  <si>
    <t>SMART</t>
  </si>
  <si>
    <t>NAVAR</t>
  </si>
  <si>
    <t>นางฟ้า</t>
  </si>
  <si>
    <t>DIMANTION</t>
  </si>
  <si>
    <t>COLLORA</t>
  </si>
  <si>
    <t>NEO</t>
  </si>
  <si>
    <t>ECAR</t>
  </si>
  <si>
    <t>ไฟหน้า ขวา โปรเจคเตอร์</t>
  </si>
  <si>
    <t>ไฟหน้า ขวา ธรรมดา</t>
  </si>
  <si>
    <t>ไฟท้าย ซ้าย</t>
  </si>
  <si>
    <t>ไฟท้าย คู่</t>
  </si>
  <si>
    <t>กระจกมองข้าง ขวา โครเมี่ยม 3 สาย</t>
  </si>
  <si>
    <t>กระจกมองข้างขวา 5 สาย</t>
  </si>
  <si>
    <t>ไฟหน้า ซ้าย มือสอง</t>
  </si>
  <si>
    <t>ไฟหน้า ขวา มือสอง</t>
  </si>
  <si>
    <t>แผงใต้ฝาปิดท้าย</t>
  </si>
  <si>
    <t>ไฟหน้า คู่ มือสอง</t>
  </si>
  <si>
    <t>กระจังหน้า TW</t>
  </si>
  <si>
    <t>ตะแกรงในกันชนหน้า</t>
  </si>
  <si>
    <t>กาบฝาปิดท้าย</t>
  </si>
  <si>
    <t>กระจังหน้า ตัวใน มือสอง</t>
  </si>
  <si>
    <t>ไฟท้าย ขวา TW</t>
  </si>
  <si>
    <t>ไฟทับทิมฝาปิดท้าย ซ้าย</t>
  </si>
  <si>
    <t>ไฟท้าย ขวา มือสอง</t>
  </si>
  <si>
    <t>กระจังหน้าโครเมียม TW</t>
  </si>
  <si>
    <t>กรอบกระจกมองข้าง ซ้าย ขวา มีไฟ</t>
  </si>
  <si>
    <t>กรอบกระจกมองข้าง ขวา</t>
  </si>
  <si>
    <t>ไฟท้าย ขวา ตกแต่ง</t>
  </si>
  <si>
    <t>ชั้น</t>
  </si>
  <si>
    <t>C2</t>
  </si>
  <si>
    <t>C3</t>
  </si>
  <si>
    <t>CHAMP</t>
  </si>
  <si>
    <t>MU7</t>
  </si>
  <si>
    <t>กระจกมองข้าง ขวา ธรรมดา</t>
  </si>
  <si>
    <t>กระจังหน้า ตัวใน</t>
  </si>
  <si>
    <t>ไฟท้าย ซ้าย มือสอง</t>
  </si>
  <si>
    <t>กระจกมองข้าง คู่ 5 สาย</t>
  </si>
  <si>
    <t>กระจังหน้าตัวใน มือสอง</t>
  </si>
  <si>
    <t>ไฟหน้า ซ้าย โปรเจคเตอร์</t>
  </si>
  <si>
    <t>ไฟหน้า ขวา โคมขาว</t>
  </si>
  <si>
    <t>แผงกรอบมือเปิดในฝาปิดท้าย</t>
  </si>
  <si>
    <t>คิ้วโครเมียม กระจังหน้า</t>
  </si>
  <si>
    <t>ไฟท้าย ขวา</t>
  </si>
  <si>
    <t>กระจังหน้า ซ้าย</t>
  </si>
  <si>
    <t>ฝาปิดท้าย</t>
  </si>
  <si>
    <t>หัวบันไดเสริม ข้าง 2 ชุด</t>
  </si>
  <si>
    <t>กระจังหน้า สีดำ</t>
  </si>
  <si>
    <t>ข้างกำแพง</t>
  </si>
  <si>
    <t>P1701085-1</t>
  </si>
  <si>
    <t>ประกันจัด</t>
  </si>
  <si>
    <t>1 รายการ</t>
  </si>
  <si>
    <t>P1706006-1</t>
  </si>
  <si>
    <t>พลาสติกปิดบนกันชนเสริมหลัง</t>
  </si>
  <si>
    <t>กันชนเสริมหลัง แท้</t>
  </si>
  <si>
    <t>หน้ากระจังชุบ 2 เส้น</t>
  </si>
  <si>
    <t>P1706006-2</t>
  </si>
  <si>
    <t>P1706006-3</t>
  </si>
  <si>
    <t>น้ำทิพย์</t>
  </si>
  <si>
    <t>C1 ชั้น1</t>
  </si>
  <si>
    <t>P1704041-1</t>
  </si>
  <si>
    <t>กรอบป้ายทะเบียน Standard</t>
  </si>
  <si>
    <t>ช่องลมกันชนหน้า ตัวกลาง</t>
  </si>
  <si>
    <t>P1704041-2</t>
  </si>
  <si>
    <t>C1 ชั้น1 มัดรวม</t>
  </si>
  <si>
    <t>C1 ชั้น2</t>
  </si>
  <si>
    <t>P1701068-1</t>
  </si>
  <si>
    <t>2 รายการ</t>
  </si>
  <si>
    <t>P1701105-1</t>
  </si>
  <si>
    <t>P1705049-1</t>
  </si>
  <si>
    <t>3 รายการ</t>
  </si>
  <si>
    <t>P1704020-1</t>
  </si>
  <si>
    <t>P1705054-1</t>
  </si>
  <si>
    <t>C1 ชั้น3</t>
  </si>
  <si>
    <t>P1702015-1</t>
  </si>
  <si>
    <t>เบอร์ติดต่อ</t>
  </si>
  <si>
    <t>P1708012-1</t>
  </si>
  <si>
    <t>ไม่ระบุ</t>
  </si>
  <si>
    <t>4/717</t>
  </si>
  <si>
    <t>ศภากร นันทเกษม</t>
  </si>
  <si>
    <t>ฎล7458</t>
  </si>
  <si>
    <t>เฉลิมพล ศรีสุข</t>
  </si>
  <si>
    <t>ฆฬ2703</t>
  </si>
  <si>
    <t>นวกร ถ้วนถี่</t>
  </si>
  <si>
    <t>ตฮ1006</t>
  </si>
  <si>
    <t>1/190000</t>
  </si>
  <si>
    <t>11/7/127</t>
  </si>
  <si>
    <t>วุฒิพงษ์ สุริยะแก่นทราย</t>
  </si>
  <si>
    <t>ชฉ2769</t>
  </si>
  <si>
    <t>มานพ ก๋องแก้ว</t>
  </si>
  <si>
    <t>ญข4858</t>
  </si>
  <si>
    <t>สาธิต แสงเงิน</t>
  </si>
  <si>
    <t>ฒพ5630</t>
  </si>
  <si>
    <t>กฤษณพงค์ จันทร์ชุ่ม</t>
  </si>
  <si>
    <t>ฒช34</t>
  </si>
  <si>
    <t>ปรัชญา บัวเฟื่อง</t>
  </si>
  <si>
    <t>6กช3015</t>
  </si>
  <si>
    <t>เจษฎา บุญเรือง</t>
  </si>
  <si>
    <t>3กฆ2850</t>
  </si>
  <si>
    <t>ยุทธพงศ์ สดเจริญ</t>
  </si>
  <si>
    <t>3กอ2640</t>
  </si>
  <si>
    <t>สมบัติ ชินทะนา</t>
  </si>
  <si>
    <t>ชย4029</t>
  </si>
  <si>
    <t>ฐิติรัตน์ มณฑา</t>
  </si>
  <si>
    <t>5กน4937</t>
  </si>
  <si>
    <t>เฑียรวิภา สุขโชติ</t>
  </si>
  <si>
    <t>ฆภ4475</t>
  </si>
  <si>
    <t>3+/100000</t>
  </si>
  <si>
    <t>วัลลภ นาคงาม</t>
  </si>
  <si>
    <t>1ฒภ980</t>
  </si>
  <si>
    <t>จักรกริช มิตรอุดม</t>
  </si>
  <si>
    <t>ฆถ6018</t>
  </si>
  <si>
    <t>กัน ยิ่งแก้ว</t>
  </si>
  <si>
    <t>หน่อง โพธิ์ขวาง</t>
  </si>
  <si>
    <t>ตว957</t>
  </si>
  <si>
    <t>วราภรณ์ เลิศพิสุทธิ์</t>
  </si>
  <si>
    <t>ฎบ3146</t>
  </si>
  <si>
    <t>ศุภธนิศร์ กุลโรจน์ชลาลัย</t>
  </si>
  <si>
    <t>พข4316</t>
  </si>
  <si>
    <t>เถิง นันทิสิงห์</t>
  </si>
  <si>
    <t>ตล3283</t>
  </si>
  <si>
    <t>1/180000</t>
  </si>
  <si>
    <t>ประกาย เทียมนนท์</t>
  </si>
  <si>
    <t>ฒฌ2856</t>
  </si>
  <si>
    <t>อาทิตย์ บุญมา</t>
  </si>
  <si>
    <t>ญม8853</t>
  </si>
  <si>
    <t>ปัญญาวุฒิ เปี่ยมการุญรัตน์</t>
  </si>
  <si>
    <t>สช9878</t>
  </si>
  <si>
    <t>1/150000</t>
  </si>
  <si>
    <t>ฒฎ4792</t>
  </si>
  <si>
    <t>น.ส. บุญยาวีร์ อดิศัยเดชรินทร์</t>
  </si>
  <si>
    <t>1กพ224</t>
  </si>
  <si>
    <t>อนุสรณ์ ไชยพิมูล</t>
  </si>
  <si>
    <t>ฆถ2427</t>
  </si>
  <si>
    <t>นภัส วิชชุประภาพร</t>
  </si>
  <si>
    <t>ชช2486</t>
  </si>
  <si>
    <t>สันติ ประทุมสาย</t>
  </si>
  <si>
    <t>ฆห1626</t>
  </si>
  <si>
    <t>วิรุฬห์ ไชยเทศ</t>
  </si>
  <si>
    <t>ฒฉ7132</t>
  </si>
  <si>
    <t>อาคุณ แจ้งจำรัส</t>
  </si>
  <si>
    <t>ถล1710</t>
  </si>
  <si>
    <t>กิตติศักดิ์ หมีดำ</t>
  </si>
  <si>
    <t>ประเวศ</t>
  </si>
  <si>
    <t>ษร1006</t>
  </si>
  <si>
    <t>ไกรภพ ขาวล้วน</t>
  </si>
  <si>
    <t>ฆช4246</t>
  </si>
  <si>
    <t>พีระศักดิ์ อนาวิโล</t>
  </si>
  <si>
    <t>พข274</t>
  </si>
  <si>
    <t>แก้ไข</t>
  </si>
  <si>
    <t>มานะ กลัดพุฒ</t>
  </si>
  <si>
    <t>มักกะสัน</t>
  </si>
  <si>
    <t>2กธ2164</t>
  </si>
  <si>
    <t>ภูเบศ จีบจิรวัชร</t>
  </si>
  <si>
    <t>2กษ3857</t>
  </si>
  <si>
    <t>1/390000</t>
  </si>
  <si>
    <t>ภุชงค์ สินธวาชีวะ</t>
  </si>
  <si>
    <t>1กง7806</t>
  </si>
  <si>
    <t>ภีราภัทร ศักดิ์เจริญชัยกูล</t>
  </si>
  <si>
    <t>บม7621</t>
  </si>
  <si>
    <t>ธิลาวัลย์ วิบูลย์</t>
  </si>
  <si>
    <t>ฎณ4308</t>
  </si>
  <si>
    <t>บุญถัน ชุมจันทร์</t>
  </si>
  <si>
    <t>บต9925</t>
  </si>
  <si>
    <t>X-TRAIL</t>
  </si>
  <si>
    <t>บุญส่ง เวชภัณฑ์</t>
  </si>
  <si>
    <t>ฒผ6553</t>
  </si>
  <si>
    <t>พิชิต สาลี</t>
  </si>
  <si>
    <t>กจ1389</t>
  </si>
  <si>
    <t>วีรนันท์ สุมนนอก</t>
  </si>
  <si>
    <t>สฎ7284</t>
  </si>
  <si>
    <t>นาย พศิน หรั่งสอาด</t>
  </si>
  <si>
    <t>อัจฉรา งามขำ</t>
  </si>
  <si>
    <t>กฉ5806</t>
  </si>
  <si>
    <t>จิราวัฒน์ สะมะโน</t>
  </si>
  <si>
    <t>กข5618</t>
  </si>
  <si>
    <t>พ.ต.ท. อาชาไพ แสนสุข</t>
  </si>
  <si>
    <t>ชฬ909</t>
  </si>
  <si>
    <t>รวิภาส เจริญชันษา</t>
  </si>
  <si>
    <t>1กษ7140</t>
  </si>
  <si>
    <t>วิลาวัณย์ วงษ์อินทร์ตา</t>
  </si>
  <si>
    <t>กท3556</t>
  </si>
  <si>
    <t>อนุวัตร เจือจันทร์</t>
  </si>
  <si>
    <t>1มอ3618</t>
  </si>
  <si>
    <t>วัฒนา สุธรรมวงศ์</t>
  </si>
  <si>
    <t>ถษ10</t>
  </si>
  <si>
    <t>ชัยรุ่งเรือง</t>
  </si>
  <si>
    <t>จาตุรงค์ แสงทอง</t>
  </si>
  <si>
    <t>ชว725</t>
  </si>
  <si>
    <t>ทิวา รุ่งศรี</t>
  </si>
  <si>
    <t>บธ6681</t>
  </si>
  <si>
    <t>DAIHATSU</t>
  </si>
  <si>
    <t>HIJET</t>
  </si>
  <si>
    <t>จารุวรรณ ชัยกิจ</t>
  </si>
  <si>
    <t>ผร8114</t>
  </si>
  <si>
    <t>นาราวินท์ โสภะบุญ</t>
  </si>
  <si>
    <t>3กล1393</t>
  </si>
  <si>
    <t>สุสิมา บุญเจริญ</t>
  </si>
  <si>
    <t>ฌห4510</t>
  </si>
  <si>
    <t>ไมมีกรมธรรม์</t>
  </si>
  <si>
    <t>ไพฑูรย์ จีนอยู่</t>
  </si>
  <si>
    <t>ฒค5304</t>
  </si>
  <si>
    <t>ณัฐพล สุขวิสุทธิ์</t>
  </si>
  <si>
    <t>ศว8204</t>
  </si>
  <si>
    <t>อาภรณ์ พันธุ์สว่าง</t>
  </si>
  <si>
    <t>2กผ7853</t>
  </si>
  <si>
    <t>เมธาวิน โดธิเสน</t>
  </si>
  <si>
    <t>1ฒบ160</t>
  </si>
  <si>
    <t>สุพต ขาวผ่อง</t>
  </si>
  <si>
    <t>1ฒล4220</t>
  </si>
  <si>
    <t>ชัยณรงค์ แหมา</t>
  </si>
  <si>
    <t>ญบ8590</t>
  </si>
  <si>
    <t>วิชชา ศรีสนั่น</t>
  </si>
  <si>
    <t>ญฌ4845</t>
  </si>
  <si>
    <t>นลชัย วิเศษศรี</t>
  </si>
  <si>
    <t>1กต7252</t>
  </si>
  <si>
    <t>อรรถพล ชื่นฉ่ำ</t>
  </si>
  <si>
    <t>ฒญ4292</t>
  </si>
  <si>
    <t>ปาณิสรา แสวงชัย</t>
  </si>
  <si>
    <t>ฌป2803</t>
  </si>
  <si>
    <t>เจนณิตตา สุจริต</t>
  </si>
  <si>
    <t>ฎย1894</t>
  </si>
  <si>
    <t>เพ็ญสิริ เอี่ยมสะอาด</t>
  </si>
  <si>
    <t>กว6245</t>
  </si>
  <si>
    <t>วาดี อ่อนจะรี</t>
  </si>
  <si>
    <t>ถย3878</t>
  </si>
  <si>
    <t>นฤชา ทองลังกา</t>
  </si>
  <si>
    <t>ขร9378</t>
  </si>
  <si>
    <t>กิตติศักดิ์ ชาญอักษร</t>
  </si>
  <si>
    <t>2กศ3501</t>
  </si>
  <si>
    <t>วัลลภ จันทรัตน์</t>
  </si>
  <si>
    <t>ฮง2795</t>
  </si>
  <si>
    <t>องอาจ ส้มกลิ่น</t>
  </si>
  <si>
    <t>ฎฬ1751</t>
  </si>
  <si>
    <t>สุริศักดิ์ สุทธิสุวรรณ</t>
  </si>
  <si>
    <t>2ฒก8580</t>
  </si>
  <si>
    <t>ศิริพร แจ่มเมือง</t>
  </si>
  <si>
    <t>ฌฬ4560</t>
  </si>
  <si>
    <t>กิตติมศักดิ์ ตันตระกูล</t>
  </si>
  <si>
    <t>กต6564</t>
  </si>
  <si>
    <t>ชัยวัฒน์ โพธิ์สุวรรณ</t>
  </si>
  <si>
    <t>ฆศ804</t>
  </si>
  <si>
    <t>สันติ สนตุ่น</t>
  </si>
  <si>
    <t>กต6891</t>
  </si>
  <si>
    <t>เรวัติ ระรื่นรมย์</t>
  </si>
  <si>
    <t>5กท8549</t>
  </si>
  <si>
    <t>สุรศักดิ์ คามะปะใน</t>
  </si>
  <si>
    <t>4กจ3990</t>
  </si>
  <si>
    <t>อรษา ทิพย์พิมล</t>
  </si>
  <si>
    <t>ฆก5185</t>
  </si>
  <si>
    <t>ชลอ ยั่งยืน</t>
  </si>
  <si>
    <t>พอ110</t>
  </si>
  <si>
    <t>ผจงศักดิ์</t>
  </si>
  <si>
    <t>2กน5052</t>
  </si>
  <si>
    <t>มนตรี รามณี</t>
  </si>
  <si>
    <t>1ฒข3526</t>
  </si>
  <si>
    <t>นาย ดนัย คหัตฐา</t>
  </si>
  <si>
    <t>ษธ9011</t>
  </si>
  <si>
    <t>นิเวศน์ สืบพันธ์</t>
  </si>
  <si>
    <t>ฆต2290</t>
  </si>
  <si>
    <t>วรรณวิภา สุตนนท์</t>
  </si>
  <si>
    <t>กจ7601</t>
  </si>
  <si>
    <t>MIRGE</t>
  </si>
  <si>
    <t>ฌฬ7072</t>
  </si>
  <si>
    <t>พรวิษณุ เขมา</t>
  </si>
  <si>
    <t>ถก6079</t>
  </si>
  <si>
    <t>ณัฐพงศ์ แสวงศรี</t>
  </si>
  <si>
    <t>บฉ6252</t>
  </si>
  <si>
    <t>2+/1000000</t>
  </si>
  <si>
    <t>ส่งเสริม จงเพลินนภาพร</t>
  </si>
  <si>
    <t>1ฒค6691</t>
  </si>
  <si>
    <t>นิติ แก้วมงคล</t>
  </si>
  <si>
    <t>1กฐ6970</t>
  </si>
  <si>
    <t>ลมบล เวชกามา</t>
  </si>
  <si>
    <t>1กค4378</t>
  </si>
  <si>
    <t>มนตรี พานแก้ว</t>
  </si>
  <si>
    <t>ญช7387</t>
  </si>
  <si>
    <t>กฤษตากร เทพอินทร์</t>
  </si>
  <si>
    <t>ฒข1517</t>
  </si>
  <si>
    <t>ปภังกร อัศวทิตย์สกุล</t>
  </si>
  <si>
    <t>ฎก3213</t>
  </si>
  <si>
    <t>ทวีศักดิ์ มะนิยม</t>
  </si>
  <si>
    <t>ณย803</t>
  </si>
  <si>
    <t>ทิฆัมพร พงษ์พัฒนา</t>
  </si>
  <si>
    <t>กง2109</t>
  </si>
  <si>
    <t>ขวัญชนก ระกาสี</t>
  </si>
  <si>
    <t>ฎว3847</t>
  </si>
  <si>
    <t>นาย สมพรต จันทร์ทัต</t>
  </si>
  <si>
    <t>1ฒฎ586</t>
  </si>
  <si>
    <t>ธนวุฒิ หวานแท้</t>
  </si>
  <si>
    <t>ฒษ8361</t>
  </si>
  <si>
    <t>บัณฑิต แก้วคนตรง</t>
  </si>
  <si>
    <t>1ฒฌ3085</t>
  </si>
  <si>
    <t>รณรวีย์ สาฆ้อง</t>
  </si>
  <si>
    <t>ฒถ6164</t>
  </si>
  <si>
    <t>พงศธร วัธนเวคิน</t>
  </si>
  <si>
    <t>ชย9225</t>
  </si>
  <si>
    <t>จิราภรณ์ อัญโย</t>
  </si>
  <si>
    <t>บางด้วน</t>
  </si>
  <si>
    <t>ยุทธพงษ์ เจริญผล</t>
  </si>
  <si>
    <t>ฆฐ207</t>
  </si>
  <si>
    <t>วิชาญ ศรีกลชาญ</t>
  </si>
  <si>
    <t>ฒอ4797</t>
  </si>
  <si>
    <t xml:space="preserve">อดุลย์ ศณีนนทา </t>
  </si>
  <si>
    <t>ฒล3280</t>
  </si>
  <si>
    <t>สมรรถชัย ปัญญาดี</t>
  </si>
  <si>
    <t>1กฬ1207</t>
  </si>
  <si>
    <t>นพรัตน์ ประกอบสุข</t>
  </si>
  <si>
    <t>1กฒ9683</t>
  </si>
  <si>
    <t>สิริภาลักษณ์ บุญช่วยพงศ์</t>
  </si>
  <si>
    <t>2กม4323</t>
  </si>
  <si>
    <t>บังอร บรรจง</t>
  </si>
  <si>
    <t>1ฒฬ4979</t>
  </si>
  <si>
    <t>ธัญญา แซ่โค้ว</t>
  </si>
  <si>
    <t>ญร907</t>
  </si>
  <si>
    <t>พิทักษ์พล ปรีชาชาติ</t>
  </si>
  <si>
    <t>กฉ5573</t>
  </si>
  <si>
    <t>คำผุน บังไธสงค์</t>
  </si>
  <si>
    <t>ฌฮ9522</t>
  </si>
  <si>
    <t>นัยร์ปพร ภัตร์จันทน์</t>
  </si>
  <si>
    <t>ชฮ5816</t>
  </si>
  <si>
    <t>ปรัชญา แคว้นคอนฉิม</t>
  </si>
  <si>
    <t>กต2104</t>
  </si>
  <si>
    <t>27/21/16</t>
  </si>
  <si>
    <t>ดาวประกาย สายเกต</t>
  </si>
  <si>
    <t>ชณ5493</t>
  </si>
  <si>
    <t>จารุวัฒน์ ไชยประสิทธิ์</t>
  </si>
  <si>
    <t>1กฌ6057</t>
  </si>
  <si>
    <t>1/680000</t>
  </si>
  <si>
    <t>ธันวา พิเคราะห์</t>
  </si>
  <si>
    <t>ศว3544</t>
  </si>
  <si>
    <t>น้องหนู ปั้นทอง</t>
  </si>
  <si>
    <t>1กฬ8345</t>
  </si>
  <si>
    <t>กุลหิรัญ บุตรพลวง</t>
  </si>
  <si>
    <t>ภย8768</t>
  </si>
  <si>
    <t>3+/0</t>
  </si>
  <si>
    <t>ยุทธพงศ์ สุดเจริญ</t>
  </si>
  <si>
    <t>MR.NMHID ALAM</t>
  </si>
  <si>
    <t>1กพ1162</t>
  </si>
  <si>
    <t>เผ่าพันธ์ อารีพันธ์</t>
  </si>
  <si>
    <t>ตม826</t>
  </si>
  <si>
    <t>สุภิชาติ ประทุมวงศ์</t>
  </si>
  <si>
    <t>ษย8938</t>
  </si>
  <si>
    <t>อภิสิทธิ์ ว่องไว</t>
  </si>
  <si>
    <t>4กช8503</t>
  </si>
  <si>
    <t>จิรพงศ์ จิตปิตินันท์</t>
  </si>
  <si>
    <t>4กถ6747</t>
  </si>
  <si>
    <t>สมศักดิ์ พาพลงาม</t>
  </si>
  <si>
    <t>ฒณ8905</t>
  </si>
  <si>
    <t>จุ๊ รักวิชา</t>
  </si>
  <si>
    <t>ณฎ4093</t>
  </si>
  <si>
    <t>ภาณิน ชุติรัตน์</t>
  </si>
  <si>
    <t>2กฐ4201</t>
  </si>
  <si>
    <t>เงินสด+ประกันภัย</t>
  </si>
  <si>
    <t>กรณ์จักรพรรดิ์ ยศเปี่ยม</t>
  </si>
  <si>
    <t>3กย5343</t>
  </si>
  <si>
    <t>1/810000</t>
  </si>
  <si>
    <t>เจียมจิตต์ วงศาโรจน์</t>
  </si>
  <si>
    <t>ฆส3697</t>
  </si>
  <si>
    <t>บัวพันธ์ ศรัทธาพันธ์</t>
  </si>
  <si>
    <t>ฒธ6208</t>
  </si>
  <si>
    <t>ชัยณรงค์ กุตัน</t>
  </si>
  <si>
    <t>ญณ5842</t>
  </si>
  <si>
    <t>สุดารัตน์ ไชยมิ่ง</t>
  </si>
  <si>
    <t>1กค1247</t>
  </si>
  <si>
    <t>ศรชัย ประจักษ์จิตร์</t>
  </si>
  <si>
    <t>ฒล5446</t>
  </si>
  <si>
    <t>ภทรพร นามนาศ</t>
  </si>
  <si>
    <t>กฉ3322</t>
  </si>
  <si>
    <t>กจ5041</t>
  </si>
  <si>
    <t>สังเวียน ศรีชามุก</t>
  </si>
  <si>
    <t>ถอ3956</t>
  </si>
  <si>
    <t>1/370000เ</t>
  </si>
  <si>
    <t>ศุภฤกษ์ ผู้เรืองทรัพย์</t>
  </si>
  <si>
    <t>วก6723</t>
  </si>
  <si>
    <t>ธนู สุขเกษม</t>
  </si>
  <si>
    <t>วิรัตน์ เทพตาแสง</t>
  </si>
  <si>
    <t>ฒผ2610</t>
  </si>
  <si>
    <t>สงัด เหล่าเขตรกิจ</t>
  </si>
  <si>
    <t>3กฎ8487</t>
  </si>
  <si>
    <t>มณีรัตน์ คุณประทุม</t>
  </si>
  <si>
    <t>1กม9953</t>
  </si>
  <si>
    <t>จัน สาสุด</t>
  </si>
  <si>
    <t>ฒศ2032</t>
  </si>
  <si>
    <t>โชคดี ปรีวิลัย</t>
  </si>
  <si>
    <t>ฆข7544</t>
  </si>
  <si>
    <t>มนันญา สุวรรณบุตร์</t>
  </si>
  <si>
    <t>ญท3982</t>
  </si>
  <si>
    <t>มารุด ช่วยบำรุง</t>
  </si>
  <si>
    <t>ณร7628</t>
  </si>
  <si>
    <t>ณัฐกานต์ บ้วยเจริญ</t>
  </si>
  <si>
    <t>ญร5363</t>
  </si>
  <si>
    <t>พายัพ ทิพย์โชติ</t>
  </si>
  <si>
    <t>กต319</t>
  </si>
  <si>
    <t>เทวิน ภิญโญสุข</t>
  </si>
  <si>
    <t>2กว6387</t>
  </si>
  <si>
    <t>นภัสวรรณ ผดาศรี</t>
  </si>
  <si>
    <t>5กฎ9205</t>
  </si>
  <si>
    <t>นนทวัฒน์ โตยะวณิช</t>
  </si>
  <si>
    <t>ฎบ9291</t>
  </si>
  <si>
    <t>อนิวรรตน์ เทพทอง</t>
  </si>
  <si>
    <t>ญพ5414</t>
  </si>
  <si>
    <t>หาญ สีเสือน</t>
  </si>
  <si>
    <t>ฒพ5010</t>
  </si>
  <si>
    <t>สราวุฒิ อยู่รัตน์</t>
  </si>
  <si>
    <t>1ฒน9822</t>
  </si>
  <si>
    <t>จิณภัชณ์ พูลเกษ</t>
  </si>
  <si>
    <t>ฎษ6200</t>
  </si>
  <si>
    <t>มาลินี เสียงเพราะ</t>
  </si>
  <si>
    <t>ญฮ1523</t>
  </si>
  <si>
    <t>ภานุวัฒน์ จากผา</t>
  </si>
  <si>
    <t>4กม6086</t>
  </si>
  <si>
    <t>บธ7431</t>
  </si>
  <si>
    <t>รัฐพล พึ่งธรรมะสกุล</t>
  </si>
  <si>
    <t>ฒง3277</t>
  </si>
  <si>
    <t>อมรา บุญร่วม</t>
  </si>
  <si>
    <t>ฆค7203</t>
  </si>
  <si>
    <t>จักรพันธ์ โพธิ์สมบัติ</t>
  </si>
  <si>
    <t>ถจ6122</t>
  </si>
  <si>
    <t>ศิริชัย ประวรรณา</t>
  </si>
  <si>
    <t>5กณ3802</t>
  </si>
  <si>
    <t>สุรกฤษ ศิริโชคบุญอุดม</t>
  </si>
  <si>
    <t>กค3112</t>
  </si>
  <si>
    <t>MR.CHANG,CHIN-WEN</t>
  </si>
  <si>
    <t>02-3230684-101</t>
  </si>
  <si>
    <t>ฎถ9843</t>
  </si>
  <si>
    <t>สนิท รอดลันดา</t>
  </si>
  <si>
    <t>1กถ5774</t>
  </si>
  <si>
    <t>ละมัย ไชยยงค์</t>
  </si>
  <si>
    <t>ฆส8167</t>
  </si>
  <si>
    <t>หัน ผุ้สมเก่า</t>
  </si>
  <si>
    <t>ฒค2305</t>
  </si>
  <si>
    <t>พิเชษฐ์ อ่อนหวาน</t>
  </si>
  <si>
    <t>ถบ9607</t>
  </si>
  <si>
    <t>พฤกษชาติ ฉายสุวรรณ</t>
  </si>
  <si>
    <t>ษศ1571</t>
  </si>
  <si>
    <t>LANCCER</t>
  </si>
  <si>
    <t>สังข์วร คำแก้ว</t>
  </si>
  <si>
    <t>1กร4068</t>
  </si>
  <si>
    <t>โอฬาร พวงมณี</t>
  </si>
  <si>
    <t>ฌศ3586</t>
  </si>
  <si>
    <t>สุนีย์ อุ่นจิตร</t>
  </si>
  <si>
    <t>ญค6594</t>
  </si>
  <si>
    <t>อรทัย พึ่งไม้</t>
  </si>
  <si>
    <t>ปากคลองบางปลากด</t>
  </si>
  <si>
    <t>2กญ9843</t>
  </si>
  <si>
    <t>ทิพย</t>
  </si>
  <si>
    <t>อุทัย สัตยากร</t>
  </si>
  <si>
    <t>3กภ1342</t>
  </si>
  <si>
    <t xml:space="preserve">HONDA </t>
  </si>
  <si>
    <t>อมร วิธิสินธุ์</t>
  </si>
  <si>
    <t>ศช3107</t>
  </si>
  <si>
    <t xml:space="preserve">NISSAN </t>
  </si>
  <si>
    <t>SUPPER NEO A</t>
  </si>
  <si>
    <t>P1708029-1</t>
  </si>
  <si>
    <t>กุญหิรัญ บุตรพลวง</t>
  </si>
  <si>
    <t>สมชาย ชาญธัญการ</t>
  </si>
  <si>
    <t>ฒภ7205</t>
  </si>
  <si>
    <t>กันชนหลังตัวบนขวา</t>
  </si>
  <si>
    <t>กันชนหลัวตัวหลัง</t>
  </si>
  <si>
    <t>ตัวรองยึดกันชนหลังขวา</t>
  </si>
  <si>
    <t>ยางกันโคลนหลัวขวา</t>
  </si>
  <si>
    <t>คิ้วขอบล้อบังโหคลนหลังซ้าย</t>
  </si>
  <si>
    <t>c2/1</t>
  </si>
  <si>
    <t>P1708029-2</t>
  </si>
  <si>
    <t>P1708029-3</t>
  </si>
  <si>
    <t>P1708029-4</t>
  </si>
  <si>
    <t>P1708029-5</t>
  </si>
  <si>
    <t>นันทยา อุชุปาละนันท์</t>
  </si>
  <si>
    <t>ศษ2399</t>
  </si>
  <si>
    <t>ศิรพัชร คงสง</t>
  </si>
  <si>
    <t>ฒผ8874</t>
  </si>
  <si>
    <t>สิทธิพันธ์ กล่ำประชา</t>
  </si>
  <si>
    <t>ฌจ178</t>
  </si>
  <si>
    <t>รุ่งโรจน์ บัวเผือก</t>
  </si>
  <si>
    <t>สจ8442</t>
  </si>
  <si>
    <t>2+/600000</t>
  </si>
  <si>
    <t>P1709018-1</t>
  </si>
  <si>
    <t>กันชนหลัง</t>
  </si>
  <si>
    <t>ขายึดปลายกันชนหลังด้านซ้าย</t>
  </si>
  <si>
    <t>ไฟท้ายทั้งชุดด้านซ้าย</t>
  </si>
  <si>
    <t>P1709018-2</t>
  </si>
  <si>
    <t>P1709018-3</t>
  </si>
  <si>
    <t>P1708021-1</t>
  </si>
  <si>
    <t>กระจกมองขวาข้างขวา</t>
  </si>
  <si>
    <t>ฝาครอบกระจกมองข้างด้านขวา</t>
  </si>
  <si>
    <t>c1/1</t>
  </si>
  <si>
    <t>ไฟเลี้ยวที่กระจกมองข้างด้านขวา</t>
  </si>
  <si>
    <t>เลนส์กระจกมองข้างไฟฟ้าด้านขวา</t>
  </si>
  <si>
    <t>P1708021-2</t>
  </si>
  <si>
    <t>P1708021-3</t>
  </si>
  <si>
    <t>P1708021-4</t>
  </si>
  <si>
    <t>P1708053-1</t>
  </si>
  <si>
    <t>ไฟท้ายที่ฝากระโปรงด้านซ้ายทั้งชุด</t>
  </si>
  <si>
    <t>สปอยเลอร์ฝาปิดท้าย</t>
  </si>
  <si>
    <t>คิ้วโครเมี่มยมฝากระโปรท้าย</t>
  </si>
  <si>
    <t>P1708053-2</t>
  </si>
  <si>
    <t>P1708053-3</t>
  </si>
  <si>
    <t>P1709013-1</t>
  </si>
  <si>
    <t>P1701167-1</t>
  </si>
  <si>
    <t>P1702063-1</t>
  </si>
  <si>
    <t>แผ่นปิดปลายกันชนหลังซ้าย</t>
  </si>
  <si>
    <t>ไฟทับทิบกันชนหลังซ้าย</t>
  </si>
  <si>
    <t>ชั้นวางกันชน</t>
  </si>
  <si>
    <t>c2/2</t>
  </si>
  <si>
    <t>P1702063-2</t>
  </si>
  <si>
    <t>P1702063-3</t>
  </si>
  <si>
    <t>P1702063-4</t>
  </si>
  <si>
    <t>P1708041-1</t>
  </si>
  <si>
    <t>กรอบคิ้วหน้ากระจัง</t>
  </si>
  <si>
    <t>บันไดเสริมด้านข้างขวา</t>
  </si>
  <si>
    <t>สติ๊กเกอร์แผงข้างกระบะ</t>
  </si>
  <si>
    <t>แอ้น</t>
  </si>
  <si>
    <t>P1708041-2</t>
  </si>
  <si>
    <t>P1708041-3</t>
  </si>
  <si>
    <t>P1708041-4</t>
  </si>
  <si>
    <t>P1706063-1</t>
  </si>
  <si>
    <t>สเกิร์ตกันชนหลัง</t>
  </si>
  <si>
    <t>ที่วางกันชน</t>
  </si>
  <si>
    <t>P1708050-1</t>
  </si>
  <si>
    <t>กระจกมองข้างไฟข้างซ้าย</t>
  </si>
  <si>
    <t>สเกิร์ตกันชนหน้า+ยาง</t>
  </si>
  <si>
    <t>P1708050-2</t>
  </si>
  <si>
    <t>P1709019-1</t>
  </si>
  <si>
    <t>รุ่งเพชร ไฝทาคำ</t>
  </si>
  <si>
    <t>ฒอ3454</t>
  </si>
  <si>
    <t>เพ็ญศรี ฤดูดี</t>
  </si>
  <si>
    <t>ฌฎ</t>
  </si>
  <si>
    <t>ฌฎ1355</t>
  </si>
  <si>
    <t>ทองคำ พงษ์สุระ</t>
  </si>
  <si>
    <t>บท4642</t>
  </si>
  <si>
    <t>P1702067-1</t>
  </si>
  <si>
    <t>ขายึดปลายกันชนหน้าด้านขวา</t>
  </si>
  <si>
    <t>คิ้วปลายกันชนหน้าขวา</t>
  </si>
  <si>
    <t>กิ๊ปยึดคิ้วกันชนหน้าขวา</t>
  </si>
  <si>
    <t>ไฟใหญ่หน้าทั้งชุดด้านขวา</t>
  </si>
  <si>
    <t>พลาสติกซุ้มล้อหน้าด้านขวา</t>
  </si>
  <si>
    <t>P1702067-2</t>
  </si>
  <si>
    <t>P1702067-3</t>
  </si>
  <si>
    <t>P1702067-4</t>
  </si>
  <si>
    <t>P1702067-5</t>
  </si>
  <si>
    <t>P1702067-6</t>
  </si>
  <si>
    <t>พันติดกับกันชน</t>
  </si>
  <si>
    <t>อยู่ในเก๊ะ</t>
  </si>
  <si>
    <t>P1707059-1</t>
  </si>
  <si>
    <t>ขายึดกันชนหลังด้านซ้าย</t>
  </si>
  <si>
    <t>P1709013-2</t>
  </si>
  <si>
    <t>สปอยเลอร์กันชนหน้า</t>
  </si>
  <si>
    <t>สปอร์ยเลอร์กันชนหน้า</t>
  </si>
  <si>
    <t>P-1</t>
  </si>
  <si>
    <t>P1701160-1</t>
  </si>
  <si>
    <t>กันชนหลังตัวหลัง</t>
  </si>
  <si>
    <t>P1708029-6</t>
  </si>
  <si>
    <t>P1708040-1</t>
  </si>
  <si>
    <t>กรอบป้ายทะเบียนกันชนหน้า</t>
  </si>
  <si>
    <t>คานยึดกันชนหน้าขวา</t>
  </si>
  <si>
    <t>P1708075-1</t>
  </si>
  <si>
    <t>ตะแกรงช่องลมกันชนหน้า</t>
  </si>
  <si>
    <t>แผงปิดช่องลมกันชนหน้าด้านขวา</t>
  </si>
  <si>
    <t>ที</t>
  </si>
  <si>
    <t>P1708075-2</t>
  </si>
  <si>
    <t>P1708075-3</t>
  </si>
  <si>
    <t>P1708075-4</t>
  </si>
  <si>
    <t>P1708075-5</t>
  </si>
  <si>
    <t>c1/2</t>
  </si>
  <si>
    <t>ไฟใหญ่หน้าขวาทั้งชุด</t>
  </si>
  <si>
    <t>คานยึดกันชนหน้าซ้าย</t>
  </si>
  <si>
    <t>กระจังหน้าตัวนอก(ตัวนอก)</t>
  </si>
  <si>
    <t>กระจังหน้าตัวนอก(ตัวใน)</t>
  </si>
  <si>
    <t>คลิ๊ปยึด</t>
  </si>
  <si>
    <t>พลาสติกซุ้มล้อหน้าขวา</t>
  </si>
  <si>
    <t>อนู่ในกล่องไฟหน้า</t>
  </si>
  <si>
    <t>P1708040-2</t>
  </si>
  <si>
    <t>P1708040-3</t>
  </si>
  <si>
    <t>P1708040-4</t>
  </si>
  <si>
    <t>P1708040-5</t>
  </si>
  <si>
    <t>P1708040-6</t>
  </si>
  <si>
    <t>P1708040-7</t>
  </si>
  <si>
    <t>P1708040-8</t>
  </si>
  <si>
    <t>P1708040-9</t>
  </si>
  <si>
    <t>P1708040-10</t>
  </si>
  <si>
    <t>สุชาดา ขุนสันเทียะ</t>
  </si>
  <si>
    <t>ญฐ2580</t>
  </si>
  <si>
    <t>วัชรา สุขวงค์</t>
  </si>
  <si>
    <t>บล4389</t>
  </si>
  <si>
    <t>P1709015-1</t>
  </si>
  <si>
    <t>P1708016-1</t>
  </si>
  <si>
    <t>กันชนหน้าไม่มีสีพื้น</t>
  </si>
  <si>
    <t>แพงบันไดขวา</t>
  </si>
  <si>
    <t>คลิ๊ปพลาสติก</t>
  </si>
  <si>
    <t>พลาสติกบังโคลนหน้าขวา</t>
  </si>
  <si>
    <t>โครเมี่ยมปิดบันไดขวา</t>
  </si>
  <si>
    <t>P1708016-2</t>
  </si>
  <si>
    <t>P1708016-3</t>
  </si>
  <si>
    <t>P1708016-4</t>
  </si>
  <si>
    <t>P1708016-5</t>
  </si>
  <si>
    <t>P1707008-1</t>
  </si>
  <si>
    <t>P1706042-1</t>
  </si>
  <si>
    <t>กระจกมองข้างขวาทั้งชุด(ไม่มีไฟเลี้ยว)ไฟฟ้า</t>
  </si>
  <si>
    <t>กระจกมองข้างซ้ายทั้งชุด(ไม่มีไฟเลี้ยว)ไฟฟ้า</t>
  </si>
  <si>
    <t>c3/2</t>
  </si>
  <si>
    <t>c3/22</t>
  </si>
  <si>
    <t>P1706042-2</t>
  </si>
  <si>
    <t>P1708025-1</t>
  </si>
  <si>
    <t>P1708025-2</t>
  </si>
  <si>
    <t>P1709017-1</t>
  </si>
  <si>
    <t>กระจกมองข้างทั้งชุดด้านขวา</t>
  </si>
  <si>
    <t>P1709017-2</t>
  </si>
  <si>
    <t>P1708054-1</t>
  </si>
  <si>
    <t>กันชนเสริมหลัง</t>
  </si>
  <si>
    <t>ข้างชั้นวางกันชน</t>
  </si>
  <si>
    <t>P1708063-1</t>
  </si>
  <si>
    <t>คิ้วโคเมี่ยมกันชนหน้าตัวบน</t>
  </si>
  <si>
    <t>โลโก้กันชนหน้า</t>
  </si>
  <si>
    <t>P1708063-2</t>
  </si>
  <si>
    <t>P1704008-1</t>
  </si>
  <si>
    <t>สเกิร์ตกันชนหน้า</t>
  </si>
  <si>
    <t>P1709006-1</t>
  </si>
  <si>
    <t>ขากันชนหน้าข้างขวา</t>
  </si>
  <si>
    <t>ไฟใหญ่หน้าขวา</t>
  </si>
  <si>
    <t>ซุ้มบังโคลนหน้าขวา</t>
  </si>
  <si>
    <t>บังโคลนหน้าขวา</t>
  </si>
  <si>
    <t>P1709006-2</t>
  </si>
  <si>
    <t>P1709006-3</t>
  </si>
  <si>
    <t>P1709006-4</t>
  </si>
  <si>
    <t>P1709006-5</t>
  </si>
  <si>
    <t>P1707036-1</t>
  </si>
  <si>
    <t>ข้างชั้นวางสปอยเลอร์</t>
  </si>
  <si>
    <t>ในเก๊ะ</t>
  </si>
  <si>
    <t>ขายึดกันชนหน้าซ้าย</t>
  </si>
  <si>
    <t>ยางล้อหน้าซ้าย</t>
  </si>
  <si>
    <t>P1707036-2</t>
  </si>
  <si>
    <t>P1707036-3</t>
  </si>
  <si>
    <t>P1708070-1</t>
  </si>
  <si>
    <t>สุวนันท์ สุทธิประภา</t>
  </si>
  <si>
    <t>ฎน746</t>
  </si>
  <si>
    <t>จรรยา กล่ำดิษฐ์</t>
  </si>
  <si>
    <t>กันชนเสริมหลัง(โครเมี่มยม)ซ้าย</t>
  </si>
  <si>
    <t>สติ๊กเกอร์D-max ติดแผงข้าง</t>
  </si>
  <si>
    <t>สติ๊กเกอร์Hi-landerติดฝาท้าย</t>
  </si>
  <si>
    <t>สติกเกอร์GLOD SERIED</t>
  </si>
  <si>
    <t>P1708070-2</t>
  </si>
  <si>
    <t>P1708070-3</t>
  </si>
  <si>
    <t>P1708070-4</t>
  </si>
  <si>
    <t>อนุสรณ์ แดงเรือง</t>
  </si>
  <si>
    <t>อ9356</t>
  </si>
  <si>
    <t>กรอบสปอร์ตไลท์ใต้กันชนหน้าR</t>
  </si>
  <si>
    <t>กันชนหน้าทั้งชุด(ยูรีเทน)</t>
  </si>
  <si>
    <t>กิ๊บล็อคพลาสติก(ซับใน) ซุ้มล้อ(โครงล้อ) บังโคลนหน้า R</t>
  </si>
  <si>
    <t>ขา(กิ๊บ) (น็อต)ยึดปลายกันชนหน้า R</t>
  </si>
  <si>
    <t>ชั้นกันชน</t>
  </si>
  <si>
    <t>อยู่กับกันชน</t>
  </si>
  <si>
    <t>P1709027-1</t>
  </si>
  <si>
    <t>P1709027-2</t>
  </si>
  <si>
    <t>P1709027-3</t>
  </si>
  <si>
    <t>P1709027-4</t>
  </si>
  <si>
    <t>P1708037-1</t>
  </si>
  <si>
    <t>กรอบไฟตัดหมอกหน้าขวา</t>
  </si>
  <si>
    <t>บัณฑิต ภู่ตระกูล</t>
  </si>
  <si>
    <t>2กฌ2892</t>
  </si>
  <si>
    <t>ไฟท้ายทั้งชุด+ขั่ว+หลอด R</t>
  </si>
  <si>
    <t>P1709028-1</t>
  </si>
  <si>
    <t>P1708066-1</t>
  </si>
  <si>
    <t>สปอยเลอร์ใต้กันชนหลัง(ของตกแต่ง)</t>
  </si>
  <si>
    <t>P1709030-1</t>
  </si>
  <si>
    <t>เปรมินทร์ ครุฑจันทร์</t>
  </si>
  <si>
    <t>ญฉ5615</t>
  </si>
  <si>
    <t>สปอยเลอร์ต่อใต้กันชนหน้าของตบแต่ง</t>
  </si>
  <si>
    <t>ชั้นวางซุ้มล้อ</t>
  </si>
  <si>
    <t>ขายึดกันชนหน้าขวา</t>
  </si>
  <si>
    <t>ตัวล็อคฝากระโปรงหน้า</t>
  </si>
  <si>
    <t>แผงไฟใหญ่หน้าซ้าย</t>
  </si>
  <si>
    <t>แผงใต้เครื่องขวา</t>
  </si>
  <si>
    <t>แผงใต้เครื่องซ้าย</t>
  </si>
  <si>
    <t>แผงไฟใหญ่หน้าขวา</t>
  </si>
  <si>
    <t>เสื้อไฟใหญ่หน้าด้านขวา</t>
  </si>
  <si>
    <t>เสื้อไฟใหญ่หน้าด้านซ้าย</t>
  </si>
  <si>
    <t>ฝั่งประกอบ</t>
  </si>
  <si>
    <t>หน้าออฟฟิต</t>
  </si>
  <si>
    <t>P1708032-1</t>
  </si>
  <si>
    <t>คิ้วโครเมียคิ้วกระจังหน้าตัวบนโครเมียม</t>
  </si>
  <si>
    <t>ในรถ</t>
  </si>
  <si>
    <t>P1707033-1</t>
  </si>
  <si>
    <t>ไฟท้ายทั้งดวง+ขั่ว+หลอด-L กระบะแวน</t>
  </si>
  <si>
    <t>ยางกันโคลนหลังดำ-L(กระบะ)กระบะแวน</t>
  </si>
  <si>
    <t>สติ๊กเกอร์ขาดข้างกระบะL</t>
  </si>
  <si>
    <t>P1707033-2</t>
  </si>
  <si>
    <t>P1707033-3</t>
  </si>
  <si>
    <t>P1706056-1</t>
  </si>
  <si>
    <t>P1707052-1</t>
  </si>
  <si>
    <t>P1704017-1</t>
  </si>
  <si>
    <t>กันชนหน้า(เปลือก)</t>
  </si>
  <si>
    <t>เสื้อไฟใหญ่ด้านขวา</t>
  </si>
  <si>
    <t>P1704017-2</t>
  </si>
  <si>
    <t>P1704017-3</t>
  </si>
  <si>
    <t>P1704017-4</t>
  </si>
  <si>
    <t>P1704017-5</t>
  </si>
  <si>
    <t>P1704017-6</t>
  </si>
  <si>
    <t>P1704017-7</t>
  </si>
  <si>
    <t>P1704017-8</t>
  </si>
  <si>
    <t>P1704017-9</t>
  </si>
  <si>
    <t>P1704017-10</t>
  </si>
  <si>
    <t>P1704017-11</t>
  </si>
  <si>
    <t>P1704017-12</t>
  </si>
  <si>
    <t>บนรถ</t>
  </si>
  <si>
    <t>P1707052-2</t>
  </si>
  <si>
    <t>P1707052-3</t>
  </si>
  <si>
    <t>P1707052-4</t>
  </si>
  <si>
    <t>P1707052-5</t>
  </si>
  <si>
    <t>P1707052-6</t>
  </si>
  <si>
    <t>P1707052-7</t>
  </si>
  <si>
    <t>P1707052-8</t>
  </si>
  <si>
    <t>P1707052-9</t>
  </si>
  <si>
    <t>P1707052-10</t>
  </si>
  <si>
    <t>P1707052-11</t>
  </si>
  <si>
    <t>P1707052-12</t>
  </si>
  <si>
    <t>P1707060-1</t>
  </si>
  <si>
    <t>บังโคลนหน้าL</t>
  </si>
  <si>
    <t>ปีกนกล่าง R</t>
  </si>
  <si>
    <t>โช๊คหน้า R</t>
  </si>
  <si>
    <t>ที่รถ</t>
  </si>
  <si>
    <t>P1707060-2</t>
  </si>
  <si>
    <t>P1707060-3</t>
  </si>
  <si>
    <t>P1708015-1</t>
  </si>
  <si>
    <t>TRC</t>
  </si>
  <si>
    <t>เมก้า</t>
  </si>
  <si>
    <t xml:space="preserve">เชิดชัย </t>
  </si>
  <si>
    <t>PUN</t>
  </si>
  <si>
    <t>MB</t>
  </si>
  <si>
    <t>สายัณ</t>
  </si>
  <si>
    <t>02-7150558</t>
  </si>
  <si>
    <t>081-1315142</t>
  </si>
  <si>
    <t>084-0893366</t>
  </si>
  <si>
    <t>02-7533490-3</t>
  </si>
  <si>
    <t>088-4971934</t>
  </si>
  <si>
    <t>02-3952386</t>
  </si>
  <si>
    <t>02-7532272</t>
  </si>
  <si>
    <t>081-859-3663</t>
  </si>
  <si>
    <t>086-0724811</t>
  </si>
  <si>
    <t>083-1445163</t>
  </si>
  <si>
    <t>02-3850491</t>
  </si>
  <si>
    <t>089-4583450</t>
  </si>
  <si>
    <t>092-2894145</t>
  </si>
  <si>
    <t>089-1643411</t>
  </si>
  <si>
    <t>P1708038-1</t>
  </si>
  <si>
    <t>สายดึงฝากระโปรงหน้า</t>
  </si>
  <si>
    <t>ขายึดปลายกันชนหน้า L</t>
  </si>
  <si>
    <t>ขายึดปลายกันชนหน้า R</t>
  </si>
  <si>
    <t>ตะแกรงกันชนหน้า</t>
  </si>
  <si>
    <t>ขายึดใต้ไฟหน้า L</t>
  </si>
  <si>
    <t>ขายึดใต้ไฟหน้า R</t>
  </si>
  <si>
    <t>กลอนฝากระโปรงหน้า</t>
  </si>
  <si>
    <t>ขายึดฝากระโปรงหน้า L</t>
  </si>
  <si>
    <t>ขายึดฝากระโปรงหน้า R</t>
  </si>
  <si>
    <t>P1708038-2</t>
  </si>
  <si>
    <t>P1708038-3</t>
  </si>
  <si>
    <t>P1708038-4</t>
  </si>
  <si>
    <t>P1708038-5</t>
  </si>
  <si>
    <t>P1708038-6</t>
  </si>
  <si>
    <t>P1708038-7</t>
  </si>
  <si>
    <t>P1708038-8</t>
  </si>
  <si>
    <t>P1708038-9</t>
  </si>
  <si>
    <t>P1708038-10</t>
  </si>
  <si>
    <t>P1708038-11</t>
  </si>
  <si>
    <t>P1708038-12</t>
  </si>
  <si>
    <t>P1708038-13</t>
  </si>
  <si>
    <t>P1708038-14</t>
  </si>
  <si>
    <t>P1708038-15</t>
  </si>
  <si>
    <t>P1708038-16</t>
  </si>
  <si>
    <t>P1708038-17</t>
  </si>
  <si>
    <t>P1708038-18</t>
  </si>
  <si>
    <t>คานหลัง+ดุมล้อ</t>
  </si>
  <si>
    <t>โช๊คอัพหลัง R</t>
  </si>
  <si>
    <t>สเกิร์ตบันได R</t>
  </si>
  <si>
    <t>ไฟท้าย R</t>
  </si>
  <si>
    <t>ไฟทับทิม R</t>
  </si>
  <si>
    <t>สเกิร์ตหลัง</t>
  </si>
  <si>
    <t>ขายึดปลายกันชนหลัง R</t>
  </si>
  <si>
    <t>P1708015-2</t>
  </si>
  <si>
    <t>P1708015-3</t>
  </si>
  <si>
    <t>P1708015-4</t>
  </si>
  <si>
    <t>P1708015-5</t>
  </si>
  <si>
    <t>P1708015-6</t>
  </si>
  <si>
    <t>P1708015-7</t>
  </si>
  <si>
    <t>P1708015-8</t>
  </si>
  <si>
    <t>กันชนหลัง (เปลือก)</t>
  </si>
  <si>
    <t>ขายึดกันชนหลังขวา</t>
  </si>
  <si>
    <t>พลาสสติกซุ้มล้อหลังขวา</t>
  </si>
  <si>
    <t>กระจกมองข้าง</t>
  </si>
  <si>
    <t>ฝาครอบกระจกมองหน้าขวา</t>
  </si>
  <si>
    <t>P1708015-9</t>
  </si>
  <si>
    <t>P1708015-10</t>
  </si>
  <si>
    <t>P1708015-11</t>
  </si>
  <si>
    <t>P1708015-12</t>
  </si>
  <si>
    <t>P1708015-13</t>
  </si>
  <si>
    <t>P1708015-14</t>
  </si>
  <si>
    <t>P1708015-15</t>
  </si>
  <si>
    <t>ย</t>
  </si>
  <si>
    <t>P1708072-1</t>
  </si>
  <si>
    <t>พต.ลฌอคปลายหน้าซ้าย</t>
  </si>
  <si>
    <t>ไฟหน้าขวา</t>
  </si>
  <si>
    <t>ไฟหน้าซ้าย</t>
  </si>
  <si>
    <t>P1708072-2</t>
  </si>
  <si>
    <t>P1708072-3</t>
  </si>
  <si>
    <t>P1708072-4</t>
  </si>
  <si>
    <t>ในกล่องไฟหน้า L</t>
  </si>
  <si>
    <t>ทำสี</t>
  </si>
  <si>
    <t>P1709024-1</t>
  </si>
  <si>
    <t>บันไดเสริมข้างขวาทั้งชุด</t>
  </si>
  <si>
    <t>P1709005-1</t>
  </si>
  <si>
    <t>อยู่ที่รถ</t>
  </si>
  <si>
    <t>กระจกหูช้าง</t>
  </si>
  <si>
    <t>อยู่ในรถ</t>
  </si>
  <si>
    <t>P1708032-2</t>
  </si>
  <si>
    <t>สเกิร์ตหน้า</t>
  </si>
  <si>
    <t>P1708072-5</t>
  </si>
  <si>
    <t>P1708072-6</t>
  </si>
  <si>
    <t>P1709025-1</t>
  </si>
  <si>
    <t>ขากันชนหน้าข้างซ้าย</t>
  </si>
  <si>
    <t>ขายึดปลายกันหลังซ้าย</t>
  </si>
  <si>
    <t>ขายึดปลายกันหลังขวา</t>
  </si>
  <si>
    <t>P1709025-2</t>
  </si>
  <si>
    <t>P1709025-3</t>
  </si>
  <si>
    <t>P1709025-4</t>
  </si>
  <si>
    <t>P1709025-5</t>
  </si>
  <si>
    <t>P1709025-6</t>
  </si>
  <si>
    <t>กนะจังหน้าแต่ง</t>
  </si>
  <si>
    <t>P1709025-7</t>
  </si>
  <si>
    <t>P1708034-1</t>
  </si>
  <si>
    <t>ขาฝากระโปรงหน้า L</t>
  </si>
  <si>
    <t>ขาฝากระโปรงหน้า R</t>
  </si>
  <si>
    <t>เหล็กรับกลอน</t>
  </si>
  <si>
    <t>บังโคลนหน้า R</t>
  </si>
  <si>
    <t>หม้อกรองอากาศ</t>
  </si>
  <si>
    <t>กลอนฝาหน้า</t>
  </si>
  <si>
    <t>กร๋ะองฉีดน้ำ</t>
  </si>
  <si>
    <t>เสื้อไฟหน้า R</t>
  </si>
  <si>
    <t>เสื้อไฟหน้า L</t>
  </si>
  <si>
    <t>ช่องลมกันชนหน้าอันกลาง</t>
  </si>
  <si>
    <t>พลาสติกยึดกันชนหน้า R</t>
  </si>
  <si>
    <t>พลาสติกยึดกันชนหน้า L</t>
  </si>
  <si>
    <t>พลาสติกปิดข้างแผงแอร์ L</t>
  </si>
  <si>
    <t>ตราหน้ากาก</t>
  </si>
  <si>
    <t>เสื้อไฟท้าย R</t>
  </si>
  <si>
    <t>rพลาสติกปิดข้างแผงแอร์ R</t>
  </si>
  <si>
    <t>เหล็กรัดแบตรี่</t>
  </si>
  <si>
    <t>ยางกันชนหลังอันข้าง R</t>
  </si>
  <si>
    <t>P1708034-2</t>
  </si>
  <si>
    <t>P1708034-3</t>
  </si>
  <si>
    <t>P1708034-4</t>
  </si>
  <si>
    <t>P1708034-5</t>
  </si>
  <si>
    <t>P1708034-6</t>
  </si>
  <si>
    <t>P1708034-7</t>
  </si>
  <si>
    <t>P1708034-8</t>
  </si>
  <si>
    <t>P1708034-9</t>
  </si>
  <si>
    <t>P1708034-10</t>
  </si>
  <si>
    <t>P1708034-11</t>
  </si>
  <si>
    <t>P1708034-12</t>
  </si>
  <si>
    <t>P1708034-13</t>
  </si>
  <si>
    <t>P1708034-14</t>
  </si>
  <si>
    <t>P1708034-15</t>
  </si>
  <si>
    <t>P1708034-16</t>
  </si>
  <si>
    <t>P1708034-17</t>
  </si>
  <si>
    <t>P1708034-18</t>
  </si>
  <si>
    <t>P1708034-19</t>
  </si>
  <si>
    <t>P1708034-20</t>
  </si>
  <si>
    <t>P1708034-21</t>
  </si>
  <si>
    <t>P1708034-22</t>
  </si>
  <si>
    <t>P1708034-23</t>
  </si>
  <si>
    <t>P1708034-24</t>
  </si>
  <si>
    <t>P1708043-1</t>
  </si>
  <si>
    <t>ไฟสปอร์ตไลท์ในกันชนหน้า L</t>
  </si>
  <si>
    <t>อยู่บนชั้นออฟฟิต</t>
  </si>
  <si>
    <t>P1708043-2</t>
  </si>
  <si>
    <t>P1707053-1</t>
  </si>
  <si>
    <t>พลาสติกยึดกันชนหน้า</t>
  </si>
  <si>
    <t>พลาสติกปลายกันชนหน้า</t>
  </si>
  <si>
    <t>กิ๊บล็อคคิ้วโปรงล้อ</t>
  </si>
  <si>
    <t>P1707053-2</t>
  </si>
  <si>
    <t>P1707053-3</t>
  </si>
  <si>
    <t>P1707053-4</t>
  </si>
  <si>
    <t>P1707049-1</t>
  </si>
  <si>
    <t>ขายึดปลายกันชนหน้าซ้ายติดบังโคลน</t>
  </si>
  <si>
    <t>หน้ากระจังซ้าย</t>
  </si>
  <si>
    <t>ไฟใหญ่หน้าซ้าย</t>
  </si>
  <si>
    <t>P1707049-2</t>
  </si>
  <si>
    <t>P1707049-3</t>
  </si>
  <si>
    <t>P1707049-4</t>
  </si>
  <si>
    <t>P1708065-1</t>
  </si>
  <si>
    <t>สเกิร์ตบันไดข้างซ้าย</t>
  </si>
  <si>
    <t>P1709011-1</t>
  </si>
  <si>
    <t>P1707019-1</t>
  </si>
  <si>
    <t>ไฟเลี้ยงข้างกระจก L</t>
  </si>
  <si>
    <t>อยู่ในเกะ</t>
  </si>
  <si>
    <t>กันชนหน้าไม่มีรู</t>
  </si>
  <si>
    <t>P1709011-2</t>
  </si>
  <si>
    <t>P1709022-1</t>
  </si>
  <si>
    <t>ประตูหลังขวา</t>
  </si>
  <si>
    <t>ยางกันชนหลัง</t>
  </si>
  <si>
    <t>P1709022-2</t>
  </si>
  <si>
    <t>กันชนหลังชุบ</t>
  </si>
  <si>
    <t>P1708075-6</t>
  </si>
  <si>
    <t>P1708075-7</t>
  </si>
  <si>
    <t>P1709016-1</t>
  </si>
  <si>
    <t>กันชนหลัง ชุบ</t>
  </si>
  <si>
    <t>ธวัชชัย สร้อยมาตร</t>
  </si>
  <si>
    <t>ชง1139</t>
  </si>
  <si>
    <t>สุวัฒน์ ฝ่ายสิงห์</t>
  </si>
  <si>
    <t>1ฒส5437</t>
  </si>
  <si>
    <t>FIGHTER</t>
  </si>
  <si>
    <t>บรรจง ชาญศรี</t>
  </si>
  <si>
    <t>ฆธ4408</t>
  </si>
  <si>
    <t>กฤษฎา กาวีละเต็ม</t>
  </si>
  <si>
    <t>5กธ5497</t>
  </si>
  <si>
    <t>ฎอ4104</t>
  </si>
  <si>
    <t>อำภา สิริวงศ์วัฒนชัย</t>
  </si>
  <si>
    <t>4กฌ656</t>
  </si>
  <si>
    <t>อนงค์ลักษณ์ รื่นพจน์</t>
  </si>
  <si>
    <t>ตม425</t>
  </si>
  <si>
    <t>ณัฐพงศ์ คชรินทร์</t>
  </si>
  <si>
    <t>1ฒท9589</t>
  </si>
  <si>
    <t>5กณ5524</t>
  </si>
  <si>
    <t>อารีย์ เดชมิตร</t>
  </si>
  <si>
    <t>3กภ7810</t>
  </si>
  <si>
    <t>ศรนรินทร์ ตอนปัญญา</t>
  </si>
  <si>
    <t>ฒอ5864</t>
  </si>
  <si>
    <t>ชยันต์ นิรอรัมย์</t>
  </si>
  <si>
    <t>บห551</t>
  </si>
  <si>
    <t>พิเชษฐ์ แพรพงษ์ศรี</t>
  </si>
  <si>
    <t>กฉ8926</t>
  </si>
  <si>
    <t>สุนีย์ ถนอมวงศ์</t>
  </si>
  <si>
    <t>1กฆ7167</t>
  </si>
  <si>
    <t>เสวก เดชณรงค์</t>
  </si>
  <si>
    <t>ชง5637</t>
  </si>
  <si>
    <t>ทรงพล กลิ่นหอม</t>
  </si>
  <si>
    <t>ฎฮ6952</t>
  </si>
  <si>
    <t>หงษ์ทอง ศิลศร</t>
  </si>
  <si>
    <t>4กท4825</t>
  </si>
  <si>
    <t>กัลยา เทียมกลาง</t>
  </si>
  <si>
    <t>ฌง3136</t>
  </si>
  <si>
    <t>รัชตะวรรณ เรืองสวัสดิ์</t>
  </si>
  <si>
    <t>ฒย8429</t>
  </si>
  <si>
    <t>ภคพร เจริญสุข</t>
  </si>
  <si>
    <t>ญก2652</t>
  </si>
  <si>
    <t>ยุทธนากร แปลยาว</t>
  </si>
  <si>
    <t>บพ105</t>
  </si>
  <si>
    <t>สมพงษ์ เปงยาวงษ์</t>
  </si>
  <si>
    <t>1ฒฮ5884</t>
  </si>
  <si>
    <t>อิงขวัญ ทยาอุไร</t>
  </si>
  <si>
    <t>ฎร2939</t>
  </si>
  <si>
    <t>ณัฐวุฒิ ตังคะพิภพ</t>
  </si>
  <si>
    <t>ญอ9896</t>
  </si>
  <si>
    <t>ภูวิช วริศวรกฤต</t>
  </si>
  <si>
    <t>ฆฐ1875</t>
  </si>
  <si>
    <t>P1709037-1</t>
  </si>
  <si>
    <t>กันชนหลังซ้ายโคมเมี่มยมไม่มีเซ็นเซอร์</t>
  </si>
  <si>
    <t>P1709011-3</t>
  </si>
  <si>
    <t>ช่องลมกันชนหน้า L</t>
  </si>
  <si>
    <t>คิ้วกันชนหน้า L</t>
  </si>
  <si>
    <t>ข้างหลังพี่แอ้ม</t>
  </si>
  <si>
    <t>P1709011-4</t>
  </si>
  <si>
    <t>P1709053-1</t>
  </si>
  <si>
    <t>ยางรองกันชนหลังอันกลาง</t>
  </si>
  <si>
    <t>P1706027-1</t>
  </si>
  <si>
    <t>ไฟตัดหมอกซ้าย(มีหมวก)</t>
  </si>
  <si>
    <t>P1707043-1</t>
  </si>
  <si>
    <t>P1707039-1</t>
  </si>
  <si>
    <t>ฝาปิดรูกันชนหน้า</t>
  </si>
  <si>
    <t>กอบป้ายทะบียน</t>
  </si>
  <si>
    <t>P1707039-2</t>
  </si>
  <si>
    <t>P1707039-3</t>
  </si>
  <si>
    <t>ในออฟฟิต</t>
  </si>
  <si>
    <t>P1709026-1</t>
  </si>
  <si>
    <t>อยู่กับรายการแรก</t>
  </si>
  <si>
    <t>P1709026-2</t>
  </si>
  <si>
    <t>ไฟท้ายขวา</t>
  </si>
  <si>
    <t>สตก.แผงข้างกระบะ</t>
  </si>
  <si>
    <t>แม็กไลน์เนอร์</t>
  </si>
  <si>
    <t>ชั้นใหม่ข้างบน</t>
  </si>
  <si>
    <t>P1709036-1</t>
  </si>
  <si>
    <t>P1709036-2</t>
  </si>
  <si>
    <t>P1709036-3</t>
  </si>
  <si>
    <t>P1709012-1</t>
  </si>
  <si>
    <t>ขายึดกันชนหน้า R</t>
  </si>
  <si>
    <t>ขายึดกันชนหน้า L</t>
  </si>
  <si>
    <t>หน้ากระจังรุ่งสองแนวตั้ง</t>
  </si>
  <si>
    <t>P1709012-2</t>
  </si>
  <si>
    <t>P1709012-3</t>
  </si>
  <si>
    <t>P1709012-4</t>
  </si>
  <si>
    <t>P1708042-1</t>
  </si>
  <si>
    <t>ฝากระโปรง</t>
  </si>
  <si>
    <t>แผงไฟหน้า</t>
  </si>
  <si>
    <t>เสารับกลอนแผงไฟหน้า</t>
  </si>
  <si>
    <t>หน้ากระจัง คิ้วดำ</t>
  </si>
  <si>
    <t>พลาสติกยึดปลายกันชนหน้า</t>
  </si>
  <si>
    <t>P1708042-2</t>
  </si>
  <si>
    <t>P1708042-3</t>
  </si>
  <si>
    <t>P1708042-4</t>
  </si>
  <si>
    <t>P1708042-5</t>
  </si>
  <si>
    <t>P1708042-6</t>
  </si>
  <si>
    <t>P1708042-7</t>
  </si>
  <si>
    <t>P1708042-8</t>
  </si>
  <si>
    <t>P1708042-9</t>
  </si>
  <si>
    <t>อยู่ที่รถฝั่งประกอบ</t>
  </si>
  <si>
    <t>ยางกันชโคลนหลังขวา</t>
  </si>
  <si>
    <t>P1708054-2</t>
  </si>
  <si>
    <t>ไม้ตักกลอง</t>
  </si>
  <si>
    <t>สายอ่อนเบรค</t>
  </si>
  <si>
    <t>กันฝุ่นเพลาตัวนอก</t>
  </si>
  <si>
    <t>กระจกมองข้าง L</t>
  </si>
  <si>
    <t>ไฟใหญ่หน้า L</t>
  </si>
  <si>
    <t>ไฟเลี้ยวบังโคลนหน้า</t>
  </si>
  <si>
    <t>P1707060-4</t>
  </si>
  <si>
    <t>P1707060-5</t>
  </si>
  <si>
    <t>P1707060-6</t>
  </si>
  <si>
    <t>P1707060-7</t>
  </si>
  <si>
    <t>P1707060-8</t>
  </si>
  <si>
    <t>P1707060-9</t>
  </si>
  <si>
    <t>P1708074-1</t>
  </si>
  <si>
    <t>ตัวล็อคปลายกันชนหน้าขวา</t>
  </si>
  <si>
    <t>ฝาครอบไฟสปอตไลท์กันชนหน้าขวา</t>
  </si>
  <si>
    <t>กันชนหลังขวา</t>
  </si>
  <si>
    <t>ตะแกรงช่องลมหนน้า</t>
  </si>
  <si>
    <t>กรอบป้าย</t>
  </si>
  <si>
    <t>P1708074-2</t>
  </si>
  <si>
    <t>P1708074-3</t>
  </si>
  <si>
    <t>P1708074-4</t>
  </si>
  <si>
    <t>P1708074-5</t>
  </si>
  <si>
    <t>P1708074-6</t>
  </si>
  <si>
    <t>P1708057-1</t>
  </si>
  <si>
    <t>ไฟท้าย L</t>
  </si>
  <si>
    <t>ขาฝากระโปรงหลังซ้ายขวา</t>
  </si>
  <si>
    <t>ฝาท้าย</t>
  </si>
  <si>
    <t>แผงท้าย</t>
  </si>
  <si>
    <t>ยางกันโคลนหลังขวา</t>
  </si>
  <si>
    <t>P1708057-2</t>
  </si>
  <si>
    <t>P1708057-3</t>
  </si>
  <si>
    <t>P1708057-4</t>
  </si>
  <si>
    <t>P1708057-5</t>
  </si>
  <si>
    <t>P1708057-6</t>
  </si>
  <si>
    <t>P1709031-1</t>
  </si>
  <si>
    <t>ไฟท้ายทั้งดวง+ขั้ว+หลอด L</t>
  </si>
  <si>
    <t>ไฟท้ายทั้งดวง+ขั้ว+หลอด R</t>
  </si>
  <si>
    <t>พลาสติกใต้กันชนหน้าซ้าย</t>
  </si>
  <si>
    <t>พลาสติกใต้กันชนหน้าขวา</t>
  </si>
  <si>
    <t>พลาสติกใต้กันชนหน้าชิ้นกลาง</t>
  </si>
  <si>
    <t>กิ๊บล็อคพลาสติกใต้กันชนหน้า24ตัว</t>
  </si>
  <si>
    <t>P1709031-2</t>
  </si>
  <si>
    <t>P1709031-3</t>
  </si>
  <si>
    <t>P1709031-4</t>
  </si>
  <si>
    <t>P1709031-5</t>
  </si>
  <si>
    <t>P1709031-6</t>
  </si>
  <si>
    <t>พลาสติกซุ้มล้อหน้า L</t>
  </si>
  <si>
    <t>พลาสติกปิดแผงอร์ L</t>
  </si>
  <si>
    <t>P1708042-10</t>
  </si>
  <si>
    <t>P1708042-11</t>
  </si>
  <si>
    <t>P1708042-12</t>
  </si>
  <si>
    <t>P1708042-13</t>
  </si>
  <si>
    <t>P1709046-1</t>
  </si>
  <si>
    <t>แผ่นผิดชิ้นกันชนหลังชิ้นกลาง</t>
  </si>
  <si>
    <t>P1709046-2</t>
  </si>
  <si>
    <t>P1709049-1</t>
  </si>
  <si>
    <t>P1709056-1</t>
  </si>
  <si>
    <t>P1709061-1</t>
  </si>
  <si>
    <t>คิ้วกาบขอบล้อหลังซ้าย</t>
  </si>
  <si>
    <t>P1709065-1</t>
  </si>
  <si>
    <t>ประเจิด พึ่งจะแย้ม</t>
  </si>
  <si>
    <t>ญฐ6440</t>
  </si>
  <si>
    <t>ทิวาพร คอนทอง</t>
  </si>
  <si>
    <t>3กญ2275</t>
  </si>
  <si>
    <t>ระวีวรรณ นนทรักษ์ชัยศร</t>
  </si>
  <si>
    <t>4กจ5633</t>
  </si>
  <si>
    <t>ธำรงค์ศักดิ์ จุนทอง</t>
  </si>
  <si>
    <t>ฒส1839</t>
  </si>
  <si>
    <t>ฑริกา นนทศรี</t>
  </si>
  <si>
    <t>ฆก8821</t>
  </si>
  <si>
    <t>กพ1622</t>
  </si>
  <si>
    <t>วุฒิพงษ์ สุนิลวงศ์</t>
  </si>
  <si>
    <t>ฒก5110</t>
  </si>
  <si>
    <t>กัณติพณณ์ ยาระมัง</t>
  </si>
  <si>
    <t>ญท246</t>
  </si>
  <si>
    <t>วิทยา กลีบบัว</t>
  </si>
  <si>
    <t>ถช7261</t>
  </si>
  <si>
    <t>มานพ นาคสุขศรี</t>
  </si>
  <si>
    <t>6กช7981</t>
  </si>
  <si>
    <t>สัญญา ยันวงษา</t>
  </si>
  <si>
    <t>ณธ7078</t>
  </si>
  <si>
    <t>TIGER D4D</t>
  </si>
  <si>
    <t>สมรัก สุดรอด</t>
  </si>
  <si>
    <t>สฎ3854</t>
  </si>
  <si>
    <t>คลิ๊ปยึดคิ้วกาบ</t>
  </si>
  <si>
    <t>ยางคิ้วบังโคลนหลังซ้าย</t>
  </si>
  <si>
    <t>P1709061-2</t>
  </si>
  <si>
    <t>P1709061-3</t>
  </si>
  <si>
    <t>P1709061-4</t>
  </si>
  <si>
    <t>P1709069-1</t>
  </si>
  <si>
    <t>ขายึดกันชนหน้าล่างขวา</t>
  </si>
  <si>
    <t>ขั้วหลอดไฟเลี้ยวในไฟใหญ่หน้าและไฟท้ายหลังซ้าย/ขวา</t>
  </si>
  <si>
    <t>เสื้อไฟใหญ่หน้าขวา</t>
  </si>
  <si>
    <t>คลิ๊ปยึดพลาสติกซุ้มล้อหน้า 5 มม</t>
  </si>
  <si>
    <t>P1709069-2</t>
  </si>
  <si>
    <t>P1709069-3</t>
  </si>
  <si>
    <t>P1709069-4</t>
  </si>
  <si>
    <t>P1709069-5</t>
  </si>
  <si>
    <t>P1709069-6</t>
  </si>
  <si>
    <t>P1709069-7</t>
  </si>
  <si>
    <t>P1709069-8</t>
  </si>
  <si>
    <t>P1709042-1</t>
  </si>
  <si>
    <t>บันไดเสริมซ้าย+ขา</t>
  </si>
  <si>
    <t>P1707022-1</t>
  </si>
  <si>
    <t>กัชนหลังเสริมหลัง</t>
  </si>
  <si>
    <t>ยางเหยียบบนกันชนหลัง</t>
  </si>
  <si>
    <t>สติ๊กเกอร์คาดข้างกระบะ R</t>
  </si>
  <si>
    <t>P1707022-2</t>
  </si>
  <si>
    <t>P1707022-3</t>
  </si>
  <si>
    <t>P1709064-1</t>
  </si>
  <si>
    <t>กระจกมองข้างไฟฟ้าพับได้พ่นสีทั้งชุด R</t>
  </si>
  <si>
    <t>ฝากระโปรงหลัง</t>
  </si>
  <si>
    <t>P1709064-2</t>
  </si>
  <si>
    <t>P1709039-1</t>
  </si>
  <si>
    <t>ขายึดกันชนหน้าตัสยาว</t>
  </si>
  <si>
    <t>กรอบป้ายทะเบียนหน้า</t>
  </si>
  <si>
    <t>P1709039-2</t>
  </si>
  <si>
    <t>P1709039-3</t>
  </si>
  <si>
    <t>P1709065-2</t>
  </si>
  <si>
    <t>ไม้อัดในฝาท้าย</t>
  </si>
  <si>
    <t>กลอนล็อคฝาท้าย</t>
  </si>
  <si>
    <t>สปอยเลอร์ฝาท้าย</t>
  </si>
  <si>
    <t>P1708016-6</t>
  </si>
  <si>
    <t>P1708016-7</t>
  </si>
  <si>
    <t>P1708016-8</t>
  </si>
  <si>
    <t>P1709071-1</t>
  </si>
  <si>
    <t>เฮีย</t>
  </si>
  <si>
    <t>P1709071-2</t>
  </si>
  <si>
    <t>P1709071-3</t>
  </si>
  <si>
    <t>ชิ้นเดียวกัน</t>
  </si>
  <si>
    <t>แอน รายการนี้คีผิด</t>
  </si>
  <si>
    <t>ชั้นใหม่</t>
  </si>
  <si>
    <t>หน้ากระจัง</t>
  </si>
  <si>
    <t>โลโก้หน้ากระจัง</t>
  </si>
  <si>
    <t>พลาสติกซุ้มหน้าซ้าย</t>
  </si>
  <si>
    <t>P1709049-2</t>
  </si>
  <si>
    <t>P1709049-3</t>
  </si>
  <si>
    <t>P1709049-4</t>
  </si>
  <si>
    <t>P1708039-1</t>
  </si>
  <si>
    <t>กระจกมองข้างซ้าย</t>
  </si>
  <si>
    <t>โลโก้</t>
  </si>
  <si>
    <t>พลาสติกปิดข้างแผงแอร์</t>
  </si>
  <si>
    <t>P1708042-14</t>
  </si>
  <si>
    <t>P1708042-15</t>
  </si>
  <si>
    <t>P1709050-1</t>
  </si>
  <si>
    <t>กันชนหนาไม่มีรู W</t>
  </si>
  <si>
    <t>พลาสติกล็อคปลายหน้า R</t>
  </si>
  <si>
    <t>พลาสติกล็อคปลายหน้า L</t>
  </si>
  <si>
    <t>พลาสติกช่องลมกันชนล่าง</t>
  </si>
  <si>
    <t>P1709050-2</t>
  </si>
  <si>
    <t>P1709050-3</t>
  </si>
  <si>
    <t>P1709050-4</t>
  </si>
  <si>
    <t>P1709050-5</t>
  </si>
  <si>
    <t>P1708072-7</t>
  </si>
  <si>
    <t>P1708020-1</t>
  </si>
  <si>
    <t>ขายึดปลายกันชนหลัง L+R</t>
  </si>
  <si>
    <t>กระจกประตูหน้าขวา</t>
  </si>
  <si>
    <t>กระจกบังโคลนหลังขวา</t>
  </si>
  <si>
    <t>คิ้วประตูหลังขวา</t>
  </si>
  <si>
    <t>มือจับในเก๋ง</t>
  </si>
  <si>
    <t>คิ้วยางประตูหน้าขวา</t>
  </si>
  <si>
    <t>พลาสติกบังโคลนหลังขวา</t>
  </si>
  <si>
    <t>24/817</t>
  </si>
  <si>
    <t>P1708020-2</t>
  </si>
  <si>
    <t>P1708020-3</t>
  </si>
  <si>
    <t>P1708020-4</t>
  </si>
  <si>
    <t>P1708020-5</t>
  </si>
  <si>
    <t>P1708020-6</t>
  </si>
  <si>
    <t>P1708020-7</t>
  </si>
  <si>
    <t>P1708020-8</t>
  </si>
  <si>
    <t>P1708020-9</t>
  </si>
  <si>
    <t>P1708020-10</t>
  </si>
  <si>
    <t>P1708023-1</t>
  </si>
  <si>
    <t>โครงยึดกันชนหน้า R</t>
  </si>
  <si>
    <t>พลาสติกบังโคลนใน L</t>
  </si>
  <si>
    <t>ยังโคลนหน้า</t>
  </si>
  <si>
    <t>หนากระจัง</t>
  </si>
  <si>
    <t>P1708023-2</t>
  </si>
  <si>
    <t>P1708023-3</t>
  </si>
  <si>
    <t>P1708023-4</t>
  </si>
  <si>
    <t>P1708023-5</t>
  </si>
  <si>
    <t>P1708023-6</t>
  </si>
  <si>
    <t>P1708023-7</t>
  </si>
  <si>
    <t>P1708023-8</t>
  </si>
  <si>
    <t>P1708023-9</t>
  </si>
  <si>
    <t>P1708023-10</t>
  </si>
  <si>
    <t>P1708023-11</t>
  </si>
  <si>
    <t>ในกล่องไฟหน้า</t>
  </si>
  <si>
    <t>หน้าห้องน้ำ</t>
  </si>
  <si>
    <t>แผงท้ายอันใหม่อันแรกส่งมาผิด</t>
  </si>
  <si>
    <t>P1708057-7</t>
  </si>
  <si>
    <t>กระจกหลังวีออส</t>
  </si>
  <si>
    <t>P1708057-8</t>
  </si>
  <si>
    <t>กันชนหน้า รายการแรกพิมผิด</t>
  </si>
  <si>
    <t>P1709015-2</t>
  </si>
  <si>
    <t>P1708038-19</t>
  </si>
  <si>
    <t>ข้างพึ่แอ้ม</t>
  </si>
  <si>
    <t>P1705022-1</t>
  </si>
  <si>
    <t>ยางรีดน้ำประตูหน้านอก R</t>
  </si>
  <si>
    <t>แผงประตูหน้า R</t>
  </si>
  <si>
    <t>P1708020-11</t>
  </si>
  <si>
    <t>P1708020-12</t>
  </si>
  <si>
    <t>P1709052-1</t>
  </si>
  <si>
    <t>เสื้อไฟท้าย L</t>
  </si>
  <si>
    <t>สติ๊กเกอร์ preruner</t>
  </si>
  <si>
    <t>สติ๊กเกอร์ฝาท้าย smart cab vigo2011</t>
  </si>
  <si>
    <t>P1709052-2</t>
  </si>
  <si>
    <t>P1709052-3</t>
  </si>
  <si>
    <t>P1709052-4</t>
  </si>
  <si>
    <t>สเกิตบันไดซ้าย</t>
  </si>
  <si>
    <t>P1709025-8</t>
  </si>
  <si>
    <t>P1709080-1</t>
  </si>
  <si>
    <t>ศว6610</t>
  </si>
  <si>
    <t>สอ927</t>
  </si>
  <si>
    <t>ประเสริฐ พิชญ์เสถียร</t>
  </si>
  <si>
    <t>บ4824</t>
  </si>
  <si>
    <t>ปัญญา สุริยันต์</t>
  </si>
  <si>
    <t>ฒง7513</t>
  </si>
  <si>
    <t>รชต เสาสิงห์</t>
  </si>
  <si>
    <t>ฒอ1943</t>
  </si>
  <si>
    <t>สมบัติ เครือพลับ</t>
  </si>
  <si>
    <t>แรพกษา</t>
  </si>
  <si>
    <t>ฒม5244</t>
  </si>
  <si>
    <t>วิฑุรย์ แสงนพรัตน์</t>
  </si>
  <si>
    <t>ณต5393</t>
  </si>
  <si>
    <t>บุญเหลือ กักจัตุรัส</t>
  </si>
  <si>
    <t>ฒฎ8533</t>
  </si>
  <si>
    <t>VIGO CHAMP</t>
  </si>
  <si>
    <t>เตชิณห์ นันทิวิภาวี</t>
  </si>
  <si>
    <t>ฎท1868</t>
  </si>
  <si>
    <t>ประชา สายแสง</t>
  </si>
  <si>
    <t>ชช169</t>
  </si>
  <si>
    <t>1/640000</t>
  </si>
  <si>
    <t>ศุจินันท์ ไทรสุวรรณ</t>
  </si>
  <si>
    <t>ชฉ5880</t>
  </si>
  <si>
    <t>สมพร สินธุ</t>
  </si>
  <si>
    <t>ฌล2307</t>
  </si>
  <si>
    <t>ปัญญา นามสว่าง</t>
  </si>
  <si>
    <t>ถถ7689</t>
  </si>
  <si>
    <t>อนุวัฒน์ วันทองสังข์</t>
  </si>
  <si>
    <t>ญน1975</t>
  </si>
  <si>
    <t>ดวงมณี สุขโข</t>
  </si>
  <si>
    <t>บางพลีใหญ๋</t>
  </si>
  <si>
    <t>ฆช1478</t>
  </si>
  <si>
    <t>คชภัค รัตน์พันธ์</t>
  </si>
  <si>
    <t>ฎบ4572</t>
  </si>
  <si>
    <t>ปราโมช ธรรมวงษา</t>
  </si>
  <si>
    <t>บางเพรียง</t>
  </si>
  <si>
    <t>ฒว2770</t>
  </si>
  <si>
    <t>COLOADOX-CAB 1</t>
  </si>
  <si>
    <t>บุญญานุช เริ่มภักดี</t>
  </si>
  <si>
    <t>ฌห7669</t>
  </si>
  <si>
    <t>สมพร ขาวสว่าง</t>
  </si>
  <si>
    <t>ฌข9705</t>
  </si>
  <si>
    <t>ณฐา จตุสิทธางกูรณ์</t>
  </si>
  <si>
    <t>3กษ8907</t>
  </si>
  <si>
    <t>1/780000</t>
  </si>
  <si>
    <t>นิจวรรณ นาพันปอง</t>
  </si>
  <si>
    <t>1กว531</t>
  </si>
  <si>
    <t>1/900000</t>
  </si>
  <si>
    <t>สกุล สะสมทรัพย์</t>
  </si>
  <si>
    <t>2ฒฆ865</t>
  </si>
  <si>
    <t>สุรศักดิ์ อยู่นาน</t>
  </si>
  <si>
    <t>3กฒ4537</t>
  </si>
  <si>
    <t>ขายึดปลานกันชนหน้าด้านซ้าย</t>
  </si>
  <si>
    <t>คิ้วปลายกันชนหน้าซ้าย</t>
  </si>
  <si>
    <t>กิ๊บยึดคิ้วปลายกันชน</t>
  </si>
  <si>
    <t>ขายึดคิ้วปลายกันชนหน้าซ้าย</t>
  </si>
  <si>
    <t>กิ๊ปล็อคคิ้วบังโคลนหน้าซ้าย</t>
  </si>
  <si>
    <t>ไฟใหญ่หน้าทั้งชุดด้านซ้าย</t>
  </si>
  <si>
    <t>พลาสติกซุ้มล้อด้านซ้าย</t>
  </si>
  <si>
    <t>บังโคลนหน้าด้านซ้าย</t>
  </si>
  <si>
    <t>P1709080-2</t>
  </si>
  <si>
    <t>P1709080-3</t>
  </si>
  <si>
    <t>P1709080-4</t>
  </si>
  <si>
    <t>P1709080-5</t>
  </si>
  <si>
    <t>P1709080-6</t>
  </si>
  <si>
    <t>P1709080-7</t>
  </si>
  <si>
    <t>P1709080-8</t>
  </si>
  <si>
    <t>P1709080-9</t>
  </si>
  <si>
    <t>P1709080-10</t>
  </si>
  <si>
    <t>แผงครอบแป้นรับกลอนฝาท้าย</t>
  </si>
  <si>
    <t>c1/3</t>
  </si>
  <si>
    <t>P1708016-9</t>
  </si>
  <si>
    <t>P1709086-1</t>
  </si>
  <si>
    <t>ขายึดกันชนหลังซ้าย</t>
  </si>
  <si>
    <t>P1709086-2</t>
  </si>
  <si>
    <t>P1709076-1</t>
  </si>
  <si>
    <t>ขายึดกันชนหน้าตัวสั้น</t>
  </si>
  <si>
    <t>คานในกันชนหน้าตัวล่าง</t>
  </si>
  <si>
    <t>คิ้วมุมกันชนหน้าด้านล่างซ้าย</t>
  </si>
  <si>
    <t>ตัวรับลมตัวบนซ้าย</t>
  </si>
  <si>
    <t>เหล็กรองกันชนหน้าซ้าย</t>
  </si>
  <si>
    <t>ไฟใหญ่หน้าซ้ายทั้งชุด โปรเจ็กเตอร์</t>
  </si>
  <si>
    <t>ไฟตัดหมอกหน้าในกันชนหน้า</t>
  </si>
  <si>
    <t>ซุ้มล้อพลาสติกหน้าซ่าย</t>
  </si>
  <si>
    <t>ยางกันโคลนหน้าซ้าย</t>
  </si>
  <si>
    <t>กระจังหน้าตัวใน</t>
  </si>
  <si>
    <t>ขายึดกันชนหน้าตัวยาว</t>
  </si>
  <si>
    <t>P1709076-2</t>
  </si>
  <si>
    <t>P1709076-3</t>
  </si>
  <si>
    <t>P1709076-4</t>
  </si>
  <si>
    <t>P1709076-5</t>
  </si>
  <si>
    <t>P1709076-6</t>
  </si>
  <si>
    <t>P1709076-7</t>
  </si>
  <si>
    <t>P1709076-8</t>
  </si>
  <si>
    <t>P1709076-9</t>
  </si>
  <si>
    <t>P1709076-10</t>
  </si>
  <si>
    <t>P1709076-11</t>
  </si>
  <si>
    <t>P1709076-12</t>
  </si>
  <si>
    <t>P1709076-13</t>
  </si>
  <si>
    <t>P1709072-1</t>
  </si>
  <si>
    <t>P1709083-1</t>
  </si>
  <si>
    <t>P1709083-2</t>
  </si>
  <si>
    <t>P1709002-1</t>
  </si>
  <si>
    <t>ประตูหน้า</t>
  </si>
  <si>
    <t>โครงรับกันชนหลัง</t>
  </si>
  <si>
    <t>P1709037-2</t>
  </si>
  <si>
    <t>ในเกะ</t>
  </si>
  <si>
    <t>ฝาครอบล้อ</t>
  </si>
  <si>
    <t>คิ้วรีดน้ำนอกประตูหน้าขวา</t>
  </si>
  <si>
    <t xml:space="preserve">กระจกมองข้าง R </t>
  </si>
  <si>
    <t>P1709002-2</t>
  </si>
  <si>
    <t>P1709002-3</t>
  </si>
  <si>
    <t>P1709002-4</t>
  </si>
  <si>
    <t>P1709048-1</t>
  </si>
  <si>
    <t>เสื้อไฟท้ายด้านขวา</t>
  </si>
  <si>
    <t>เสื้อไฟท้ายด้านซ้าย</t>
  </si>
  <si>
    <t>ยางสเกิร์ตกันชนหลัง</t>
  </si>
  <si>
    <t>P1709048-2</t>
  </si>
  <si>
    <t>P1709048-3</t>
  </si>
  <si>
    <t>P1709088-1</t>
  </si>
  <si>
    <t>P1709088-2</t>
  </si>
  <si>
    <t>P1709088-3</t>
  </si>
  <si>
    <t>P1709088-4</t>
  </si>
  <si>
    <t>สวิตล็อรประตูกระจกขวา</t>
  </si>
  <si>
    <t>P1708020-13</t>
  </si>
  <si>
    <t>กระจกมองข้าง R ไฟฟ้า รายการแรกส่งมาผิด</t>
  </si>
  <si>
    <t>บนออฟฟิต</t>
  </si>
  <si>
    <t>P1709026-3</t>
  </si>
  <si>
    <t>P1709079-1</t>
  </si>
  <si>
    <t>สติกเกอร์ spark</t>
  </si>
  <si>
    <t>สติกเกอร์ประตู</t>
  </si>
  <si>
    <t>สติกเกอร์ 2.5</t>
  </si>
  <si>
    <t>สติกเกอร์ spark สติกเกอร์ isusu</t>
  </si>
  <si>
    <t>P1709079-2</t>
  </si>
  <si>
    <t>P1709079-3</t>
  </si>
  <si>
    <t>P1709079-4</t>
  </si>
  <si>
    <t>P1709079-5</t>
  </si>
  <si>
    <t>P1709079-6</t>
  </si>
  <si>
    <t>P1708023-12</t>
  </si>
  <si>
    <t>P1710015-1</t>
  </si>
  <si>
    <t>ฌฬ9213</t>
  </si>
  <si>
    <t>กต452</t>
  </si>
  <si>
    <t>ณรงค์ฤทธิ์ รอดเจริญ</t>
  </si>
  <si>
    <t>บงาพลีใหญ่</t>
  </si>
  <si>
    <t>ชร1963</t>
  </si>
  <si>
    <t>บัวขาว แจ้งจรรยา</t>
  </si>
  <si>
    <t>1ฒน6567</t>
  </si>
  <si>
    <t>อนุศักดิ์ บุญศรี</t>
  </si>
  <si>
    <t>ษธ9446</t>
  </si>
  <si>
    <t>จำนน จิ๋วสุข</t>
  </si>
  <si>
    <t>บบ6324</t>
  </si>
  <si>
    <t>ธัญญาภรณ์ แจ้งสว่าง</t>
  </si>
  <si>
    <t>5กร8381</t>
  </si>
  <si>
    <t>เอริญา สมสุข</t>
  </si>
  <si>
    <t>5กถ5709</t>
  </si>
  <si>
    <t>ลำดวน คีรีวงษ์</t>
  </si>
  <si>
    <t>ฒน5120</t>
  </si>
  <si>
    <t>ธัชฐิราธร นิธิวุฒิยากรณ์</t>
  </si>
  <si>
    <t>3กผ2201</t>
  </si>
  <si>
    <t>สะรายุทร์ ปิ่นปราณี</t>
  </si>
  <si>
    <t>ฆศ524</t>
  </si>
  <si>
    <t>เฉวียน คำแก้ว</t>
  </si>
  <si>
    <t>ฎห2320</t>
  </si>
  <si>
    <t>ภิรมศักดิ์ ศรีอาจ</t>
  </si>
  <si>
    <t>6กณ6062</t>
  </si>
  <si>
    <t>ชวลิต โชติรุ่งโรจน์</t>
  </si>
  <si>
    <t>1กฬ2912</t>
  </si>
  <si>
    <t>1ฒถ3618</t>
  </si>
  <si>
    <t>โกศัย สิทธิสอน</t>
  </si>
  <si>
    <t>ฌล4323</t>
  </si>
  <si>
    <t>ออฟฟิต</t>
  </si>
  <si>
    <t>P1710015-2</t>
  </si>
  <si>
    <t>P1710001-1</t>
  </si>
  <si>
    <t>หน่ากระจังนอก+ใน</t>
  </si>
  <si>
    <t>พต.ล็อคปลายหน้าขวา</t>
  </si>
  <si>
    <t>พต.ล็อคปลายหน้าซ้าย</t>
  </si>
  <si>
    <t>พต.ครอบหน้ากระจังตัวบน</t>
  </si>
  <si>
    <t>ไฟตัดหมอกกันชนหน้า</t>
  </si>
  <si>
    <t>สเกิร์ตบันไดซ้าย</t>
  </si>
  <si>
    <t>ยางรองสเกิร์ตดำ</t>
  </si>
  <si>
    <t>P1710001-2</t>
  </si>
  <si>
    <t>P1710001-3</t>
  </si>
  <si>
    <t>P1710001-4</t>
  </si>
  <si>
    <t>P1710001-5</t>
  </si>
  <si>
    <t>P1710001-6</t>
  </si>
  <si>
    <t>P1710001-7</t>
  </si>
  <si>
    <t>P1710001-8</t>
  </si>
  <si>
    <t>P1710001-9</t>
  </si>
  <si>
    <t>P1710001-10</t>
  </si>
  <si>
    <t>P1710001-11</t>
  </si>
  <si>
    <t>เก๊ะ</t>
  </si>
  <si>
    <t>พลาสติกใต้เครื่องหน้า ข้างซ้าย</t>
  </si>
  <si>
    <t>พลาสติกใต้เครื่องหน้า ข้างขวา</t>
  </si>
  <si>
    <t>กิ๊บล็อคพลาสติกใต้เครื่องหน้า</t>
  </si>
  <si>
    <t>P1708043-3</t>
  </si>
  <si>
    <t>P1708043-4</t>
  </si>
  <si>
    <t>P1708043-5</t>
  </si>
  <si>
    <t>P1709075-1</t>
  </si>
  <si>
    <t>ขายึดกันชนหน้า</t>
  </si>
  <si>
    <t>ช่องลมกันชนหน้า</t>
  </si>
  <si>
    <t>กรอบป้ายทะเบียน</t>
  </si>
  <si>
    <t>น่ำ</t>
  </si>
  <si>
    <t>P1709075-2</t>
  </si>
  <si>
    <t>P1709075-3</t>
  </si>
  <si>
    <t>P1709075-4</t>
  </si>
  <si>
    <t>P1709075-5</t>
  </si>
  <si>
    <t>P1709075-6</t>
  </si>
  <si>
    <t>P1709062-1</t>
  </si>
  <si>
    <t>คานใต้กันชนหน้าตัวบน</t>
  </si>
  <si>
    <t>แผงแอร์</t>
  </si>
  <si>
    <t>ชั้นวางกันชนหน้า</t>
  </si>
  <si>
    <t>ข้างชั้นวางกันชนหน้า</t>
  </si>
  <si>
    <t>P1709062-2</t>
  </si>
  <si>
    <t>P1709062-3</t>
  </si>
  <si>
    <t>P1709062-4</t>
  </si>
  <si>
    <t>P1708006-1</t>
  </si>
  <si>
    <t>ประตูแค๊ปซ้าย</t>
  </si>
  <si>
    <t>แผงใต้เครื่อง</t>
  </si>
  <si>
    <t>คานยึดกันชนหน้างขวา</t>
  </si>
  <si>
    <t>คานยึดกันชนหน้าข้างซ้าย</t>
  </si>
  <si>
    <t>กลอนล็อคฝากระโปรง</t>
  </si>
  <si>
    <t>คลิ๊ปยึดแผ่นกันร้อน</t>
  </si>
  <si>
    <t>บานพับฝากระโปรงหน้าขวา</t>
  </si>
  <si>
    <t>บานผับฝากระโปรงหน้าซ้าย</t>
  </si>
  <si>
    <t>แผ่นกันตวามร้อน</t>
  </si>
  <si>
    <t>ยางรองฝากระโปรงหน้า</t>
  </si>
  <si>
    <t>พลาสติกครอบกระจังหน้า</t>
  </si>
  <si>
    <t>แตรเสียงสูง</t>
  </si>
  <si>
    <t>แผ่นกันฝุ่นบังโคลนหน้าซ้าย</t>
  </si>
  <si>
    <t>แผ่นกันฝุ่นบังโคลนหน้าขวา</t>
  </si>
  <si>
    <t>แครเสียงต่ำ</t>
  </si>
  <si>
    <t>แผงหม้อน้ำด้านหน้า</t>
  </si>
  <si>
    <t>ท่อทางเดินอากาศ</t>
  </si>
  <si>
    <t>P1709062-5</t>
  </si>
  <si>
    <t>P1709062-6</t>
  </si>
  <si>
    <t>P1709062-7</t>
  </si>
  <si>
    <t>P1709062-8</t>
  </si>
  <si>
    <t>P1709062-9</t>
  </si>
  <si>
    <t>P1709062-10</t>
  </si>
  <si>
    <t>P1709062-11</t>
  </si>
  <si>
    <t>P1709062-12</t>
  </si>
  <si>
    <t>P1709062-13</t>
  </si>
  <si>
    <t>P1709062-14</t>
  </si>
  <si>
    <t>P1709062-15</t>
  </si>
  <si>
    <t>P1709062-16</t>
  </si>
  <si>
    <t>P1709062-17</t>
  </si>
  <si>
    <t>P1709062-18</t>
  </si>
  <si>
    <t>P1709062-19</t>
  </si>
  <si>
    <t>P1709062-20</t>
  </si>
  <si>
    <t>P1709062-21</t>
  </si>
  <si>
    <t>ฎล1614</t>
  </si>
  <si>
    <t>วราภรณ์ แสงสุริยกุล</t>
  </si>
  <si>
    <t>ฎม7863</t>
  </si>
  <si>
    <t>ธนพนธ์ สุพัฒนกิจกุล</t>
  </si>
  <si>
    <t>กต616</t>
  </si>
  <si>
    <t>วีรศักดิ์ จั่นมุ้ย</t>
  </si>
  <si>
    <t>ฒส8744</t>
  </si>
  <si>
    <t>อิทธิกฤต อุทัยรัตน์</t>
  </si>
  <si>
    <t>หัวหมาก</t>
  </si>
  <si>
    <t>ณบ9663</t>
  </si>
  <si>
    <t>KIA</t>
  </si>
  <si>
    <t>K2700</t>
  </si>
  <si>
    <t>บุญประเสริฐ แก้วกาง</t>
  </si>
  <si>
    <t>กธ8864</t>
  </si>
  <si>
    <t>ฉัฐกาญ วงษ์ไกร</t>
  </si>
  <si>
    <t>ญน8772</t>
  </si>
  <si>
    <t>2/350000</t>
  </si>
  <si>
    <t>ยุทธนา จันทร์ละออ</t>
  </si>
  <si>
    <t>ฒร2778</t>
  </si>
  <si>
    <t>พรรณี ภาคเจริญ</t>
  </si>
  <si>
    <t>ฎท4876</t>
  </si>
  <si>
    <t>ญท8777</t>
  </si>
  <si>
    <t>สุบิน พลดงนอก</t>
  </si>
  <si>
    <t>ฌบ1932</t>
  </si>
  <si>
    <t>งานด่วน</t>
  </si>
  <si>
    <t>VIP</t>
  </si>
  <si>
    <t>กฤตนัน อุดมวงค์ยนต์</t>
  </si>
  <si>
    <t>ฎก7994</t>
  </si>
  <si>
    <t>เมธากร ดีมาก</t>
  </si>
  <si>
    <t>ถบ5904</t>
  </si>
  <si>
    <t>ศุภกิจ พันธ์เวีย</t>
  </si>
  <si>
    <t>ฌค2437</t>
  </si>
  <si>
    <t>ธวัชชัย ศรีจูม</t>
  </si>
  <si>
    <t>3กอ8627</t>
  </si>
  <si>
    <t>โชคชัย ชาดวง</t>
  </si>
  <si>
    <t>1กฎ437</t>
  </si>
  <si>
    <t>อุดอน หางสลัด</t>
  </si>
  <si>
    <t>4กฬ6478</t>
  </si>
  <si>
    <t>สมัชญา ผินสุวรรณ</t>
  </si>
  <si>
    <t xml:space="preserve">สำโรงใต้ </t>
  </si>
  <si>
    <t>1ฒย3220</t>
  </si>
  <si>
    <t>ดนัย สุขสมพืช</t>
  </si>
  <si>
    <t>บพ4894</t>
  </si>
  <si>
    <t>อภิญญา ดีหมื่นไวย์</t>
  </si>
  <si>
    <t>ญศ8533</t>
  </si>
  <si>
    <t>อิทธิพล ประชาศิริ</t>
  </si>
  <si>
    <t>ญน6353</t>
  </si>
  <si>
    <t>วราภรณ์ พฤติทัศน์</t>
  </si>
  <si>
    <t>AMERA</t>
  </si>
  <si>
    <t>ดารินทร์ วัฒยา</t>
  </si>
  <si>
    <t>5กพ8566</t>
  </si>
  <si>
    <t>ลฎาภา จินดาเสถียร</t>
  </si>
  <si>
    <t>ญอ6063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</si>
</sst>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87" formatCode="_(* #,##0.00_);_(* \(#,##0.00\);_(* &quot;-&quot;??_);_(@_)"/>
    <numFmt numFmtId="188" formatCode="000\-000\-0000"/>
    <numFmt numFmtId="189" formatCode="[$-107041E]d\ mmm\ yy;@"/>
    <numFmt numFmtId="190" formatCode="&quot;ST-ASSMB&quot;000"/>
  </numFmts>
  <fonts count="17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4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b/>
      <u/>
      <sz val="16"/>
      <color theme="1"/>
      <name val="Tahoma"/>
      <family val="2"/>
      <scheme val="minor"/>
    </font>
    <font>
      <b/>
      <sz val="14"/>
      <color theme="1"/>
      <name val="Tahoma"/>
      <family val="2"/>
      <scheme val="minor"/>
    </font>
    <font>
      <b/>
      <sz val="22"/>
      <color rgb="FF000000"/>
      <name val="Calibri"/>
      <family val="2"/>
    </font>
    <font>
      <sz val="11"/>
      <color theme="0"/>
      <name val="Tahoma"/>
      <family val="2"/>
      <scheme val="minor"/>
    </font>
    <font>
      <b/>
      <sz val="9"/>
      <color indexed="81"/>
      <name val="Tahoma"/>
      <family val="2"/>
    </font>
    <font>
      <b/>
      <sz val="22"/>
      <color rgb="FF000000"/>
      <name val="Tahoma"/>
      <family val="2"/>
    </font>
    <font>
      <sz val="14"/>
      <color theme="1"/>
      <name val="Tahoma"/>
      <family val="2"/>
      <scheme val="minor"/>
    </font>
    <font>
      <b/>
      <sz val="16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26"/>
      <color theme="1"/>
      <name val="Tahoma"/>
      <family val="2"/>
      <scheme val="minor"/>
    </font>
    <font>
      <sz val="14"/>
      <name val="Tahoma"/>
      <family val="2"/>
      <scheme val="minor"/>
    </font>
    <font>
      <sz val="14"/>
      <color theme="0"/>
      <name val="Tahoma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87" fontId="1" fillId="0" borderId="0" applyFont="0" applyFill="0" applyBorder="0" applyAlignment="0" applyProtection="0"/>
  </cellStyleXfs>
  <cellXfs count="168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5" xfId="0" applyBorder="1"/>
    <xf numFmtId="188" fontId="0" fillId="0" borderId="1" xfId="0" applyNumberFormat="1" applyBorder="1"/>
    <xf numFmtId="189" fontId="0" fillId="0" borderId="1" xfId="0" applyNumberFormat="1" applyBorder="1"/>
    <xf numFmtId="0" fontId="0" fillId="0" borderId="5" xfId="0" applyNumberFormat="1" applyBorder="1"/>
    <xf numFmtId="0" fontId="0" fillId="0" borderId="1" xfId="0" applyNumberFormat="1" applyBorder="1"/>
    <xf numFmtId="189" fontId="0" fillId="0" borderId="5" xfId="0" applyNumberFormat="1" applyBorder="1"/>
    <xf numFmtId="0" fontId="4" fillId="0" borderId="0" xfId="0" applyFont="1" applyBorder="1"/>
    <xf numFmtId="0" fontId="2" fillId="2" borderId="4" xfId="0" applyFont="1" applyFill="1" applyBorder="1"/>
    <xf numFmtId="189" fontId="2" fillId="2" borderId="4" xfId="0" applyNumberFormat="1" applyFont="1" applyFill="1" applyBorder="1"/>
    <xf numFmtId="0" fontId="2" fillId="2" borderId="2" xfId="0" applyFont="1" applyFill="1" applyBorder="1"/>
    <xf numFmtId="0" fontId="2" fillId="2" borderId="4" xfId="0" applyFont="1" applyFill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189" fontId="2" fillId="2" borderId="5" xfId="0" applyNumberFormat="1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88" fontId="2" fillId="2" borderId="1" xfId="0" applyNumberFormat="1" applyFont="1" applyFill="1" applyBorder="1" applyAlignment="1">
      <alignment horizontal="center"/>
    </xf>
    <xf numFmtId="189" fontId="2" fillId="2" borderId="1" xfId="0" applyNumberFormat="1" applyFont="1" applyFill="1" applyBorder="1" applyAlignment="1">
      <alignment horizontal="center"/>
    </xf>
    <xf numFmtId="187" fontId="0" fillId="0" borderId="0" xfId="1" applyFont="1" applyBorder="1"/>
    <xf numFmtId="187" fontId="0" fillId="0" borderId="1" xfId="1" applyFont="1" applyBorder="1"/>
    <xf numFmtId="187" fontId="0" fillId="0" borderId="5" xfId="1" applyFont="1" applyBorder="1"/>
    <xf numFmtId="187" fontId="2" fillId="0" borderId="4" xfId="1" applyFont="1" applyBorder="1" applyAlignment="1">
      <alignment horizontal="center"/>
    </xf>
    <xf numFmtId="187" fontId="2" fillId="2" borderId="5" xfId="1" applyFont="1" applyFill="1" applyBorder="1" applyAlignment="1">
      <alignment horizontal="center"/>
    </xf>
    <xf numFmtId="0" fontId="3" fillId="0" borderId="0" xfId="0" applyFont="1" applyAlignment="1">
      <alignment horizontal="right"/>
    </xf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Alignment="1"/>
    <xf numFmtId="0" fontId="3" fillId="0" borderId="1" xfId="0" applyFont="1" applyBorder="1"/>
    <xf numFmtId="0" fontId="3" fillId="0" borderId="1" xfId="0" applyFont="1" applyBorder="1" applyAlignment="1">
      <alignment horizontal="center"/>
    </xf>
    <xf numFmtId="0" fontId="2" fillId="2" borderId="20" xfId="0" applyFont="1" applyFill="1" applyBorder="1" applyAlignment="1">
      <alignment horizontal="left"/>
    </xf>
    <xf numFmtId="0" fontId="3" fillId="0" borderId="11" xfId="0" applyFont="1" applyBorder="1"/>
    <xf numFmtId="0" fontId="0" fillId="0" borderId="0" xfId="0" applyNumberFormat="1" applyBorder="1"/>
    <xf numFmtId="0" fontId="3" fillId="0" borderId="0" xfId="0" applyFont="1" applyBorder="1"/>
    <xf numFmtId="0" fontId="8" fillId="0" borderId="0" xfId="0" applyFont="1"/>
    <xf numFmtId="189" fontId="4" fillId="0" borderId="0" xfId="0" applyNumberFormat="1" applyFont="1" applyBorder="1"/>
    <xf numFmtId="189" fontId="2" fillId="2" borderId="4" xfId="0" applyNumberFormat="1" applyFont="1" applyFill="1" applyBorder="1" applyAlignment="1">
      <alignment horizontal="center"/>
    </xf>
    <xf numFmtId="189" fontId="3" fillId="0" borderId="1" xfId="0" applyNumberFormat="1" applyFont="1" applyBorder="1"/>
    <xf numFmtId="187" fontId="3" fillId="0" borderId="1" xfId="1" applyFont="1" applyBorder="1"/>
    <xf numFmtId="0" fontId="3" fillId="0" borderId="5" xfId="0" applyFont="1" applyBorder="1"/>
    <xf numFmtId="189" fontId="3" fillId="0" borderId="5" xfId="0" applyNumberFormat="1" applyFont="1" applyBorder="1"/>
    <xf numFmtId="187" fontId="3" fillId="0" borderId="5" xfId="1" applyFont="1" applyBorder="1"/>
    <xf numFmtId="189" fontId="3" fillId="0" borderId="0" xfId="0" applyNumberFormat="1" applyFont="1" applyBorder="1"/>
    <xf numFmtId="187" fontId="3" fillId="0" borderId="0" xfId="1" applyFont="1" applyBorder="1"/>
    <xf numFmtId="0" fontId="3" fillId="0" borderId="23" xfId="0" applyFont="1" applyBorder="1"/>
    <xf numFmtId="0" fontId="3" fillId="0" borderId="27" xfId="0" applyFont="1" applyBorder="1"/>
    <xf numFmtId="0" fontId="3" fillId="0" borderId="28" xfId="0" applyFont="1" applyBorder="1"/>
    <xf numFmtId="189" fontId="3" fillId="0" borderId="29" xfId="0" applyNumberFormat="1" applyFont="1" applyBorder="1"/>
    <xf numFmtId="0" fontId="3" fillId="0" borderId="29" xfId="0" applyFont="1" applyBorder="1"/>
    <xf numFmtId="187" fontId="3" fillId="0" borderId="29" xfId="1" applyFont="1" applyBorder="1"/>
    <xf numFmtId="190" fontId="6" fillId="0" borderId="0" xfId="0" applyNumberFormat="1" applyFont="1"/>
    <xf numFmtId="190" fontId="3" fillId="0" borderId="0" xfId="0" applyNumberFormat="1" applyFont="1"/>
    <xf numFmtId="190" fontId="3" fillId="0" borderId="38" xfId="0" applyNumberFormat="1" applyFont="1" applyBorder="1"/>
    <xf numFmtId="190" fontId="3" fillId="0" borderId="41" xfId="0" applyNumberFormat="1" applyFont="1" applyBorder="1"/>
    <xf numFmtId="0" fontId="3" fillId="0" borderId="24" xfId="0" applyFont="1" applyBorder="1"/>
    <xf numFmtId="0" fontId="3" fillId="0" borderId="25" xfId="0" applyFont="1" applyBorder="1"/>
    <xf numFmtId="0" fontId="3" fillId="0" borderId="2" xfId="0" applyFont="1" applyBorder="1"/>
    <xf numFmtId="0" fontId="3" fillId="0" borderId="34" xfId="0" applyFont="1" applyBorder="1"/>
    <xf numFmtId="0" fontId="3" fillId="0" borderId="38" xfId="0" applyFont="1" applyBorder="1"/>
    <xf numFmtId="0" fontId="3" fillId="0" borderId="41" xfId="0" applyFont="1" applyBorder="1"/>
    <xf numFmtId="190" fontId="3" fillId="0" borderId="26" xfId="0" applyNumberFormat="1" applyFont="1" applyBorder="1"/>
    <xf numFmtId="0" fontId="3" fillId="0" borderId="8" xfId="0" applyFont="1" applyBorder="1"/>
    <xf numFmtId="0" fontId="3" fillId="0" borderId="26" xfId="0" applyFont="1" applyBorder="1"/>
    <xf numFmtId="190" fontId="6" fillId="0" borderId="28" xfId="0" applyNumberFormat="1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3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37" xfId="0" applyFont="1" applyBorder="1"/>
    <xf numFmtId="0" fontId="3" fillId="0" borderId="42" xfId="0" applyFont="1" applyBorder="1"/>
    <xf numFmtId="0" fontId="3" fillId="0" borderId="40" xfId="0" applyFont="1" applyBorder="1"/>
    <xf numFmtId="0" fontId="11" fillId="0" borderId="0" xfId="0" applyFont="1"/>
    <xf numFmtId="0" fontId="12" fillId="0" borderId="0" xfId="0" applyFont="1"/>
    <xf numFmtId="189" fontId="11" fillId="0" borderId="0" xfId="0" applyNumberFormat="1" applyFont="1"/>
    <xf numFmtId="0" fontId="11" fillId="0" borderId="11" xfId="0" applyNumberFormat="1" applyFont="1" applyBorder="1" applyAlignment="1">
      <alignment horizontal="left"/>
    </xf>
    <xf numFmtId="0" fontId="11" fillId="0" borderId="11" xfId="0" applyFont="1" applyBorder="1"/>
    <xf numFmtId="0" fontId="13" fillId="0" borderId="0" xfId="0" applyFont="1"/>
    <xf numFmtId="0" fontId="11" fillId="0" borderId="0" xfId="0" applyFont="1" applyAlignment="1"/>
    <xf numFmtId="189" fontId="11" fillId="0" borderId="11" xfId="0" applyNumberFormat="1" applyFont="1" applyBorder="1" applyAlignment="1">
      <alignment horizontal="left"/>
    </xf>
    <xf numFmtId="0" fontId="11" fillId="0" borderId="0" xfId="0" applyNumberFormat="1" applyFont="1" applyBorder="1" applyAlignment="1">
      <alignment horizontal="left"/>
    </xf>
    <xf numFmtId="0" fontId="11" fillId="0" borderId="0" xfId="0" applyFont="1" applyBorder="1"/>
    <xf numFmtId="0" fontId="11" fillId="0" borderId="0" xfId="0" applyFont="1" applyAlignment="1">
      <alignment horizontal="left"/>
    </xf>
    <xf numFmtId="0" fontId="15" fillId="0" borderId="0" xfId="0" applyFont="1"/>
    <xf numFmtId="189" fontId="11" fillId="0" borderId="29" xfId="0" applyNumberFormat="1" applyFont="1" applyBorder="1" applyAlignment="1">
      <alignment horizontal="center"/>
    </xf>
    <xf numFmtId="0" fontId="11" fillId="0" borderId="29" xfId="0" applyFont="1" applyBorder="1" applyAlignment="1"/>
    <xf numFmtId="0" fontId="11" fillId="0" borderId="29" xfId="0" applyFont="1" applyBorder="1" applyAlignment="1">
      <alignment horizontal="center"/>
    </xf>
    <xf numFmtId="0" fontId="11" fillId="0" borderId="42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0" fontId="16" fillId="0" borderId="0" xfId="0" applyFont="1"/>
    <xf numFmtId="0" fontId="11" fillId="0" borderId="1" xfId="0" applyFont="1" applyBorder="1"/>
    <xf numFmtId="189" fontId="11" fillId="0" borderId="32" xfId="0" applyNumberFormat="1" applyFont="1" applyBorder="1" applyAlignment="1">
      <alignment horizontal="left"/>
    </xf>
    <xf numFmtId="0" fontId="11" fillId="3" borderId="33" xfId="0" applyFont="1" applyFill="1" applyBorder="1" applyAlignment="1" applyProtection="1">
      <alignment horizontal="left"/>
      <protection locked="0"/>
    </xf>
    <xf numFmtId="0" fontId="11" fillId="0" borderId="32" xfId="0" applyFont="1" applyBorder="1" applyAlignment="1">
      <alignment horizontal="left"/>
    </xf>
    <xf numFmtId="187" fontId="11" fillId="3" borderId="35" xfId="1" applyFont="1" applyFill="1" applyBorder="1" applyAlignment="1" applyProtection="1">
      <alignment horizontal="left"/>
      <protection locked="0"/>
    </xf>
    <xf numFmtId="189" fontId="11" fillId="0" borderId="32" xfId="0" applyNumberFormat="1" applyFont="1" applyBorder="1" applyAlignment="1" applyProtection="1">
      <alignment horizontal="left"/>
      <protection locked="0"/>
    </xf>
    <xf numFmtId="14" fontId="11" fillId="3" borderId="33" xfId="0" applyNumberFormat="1" applyFont="1" applyFill="1" applyBorder="1" applyAlignment="1" applyProtection="1">
      <alignment horizontal="left"/>
      <protection locked="0"/>
    </xf>
    <xf numFmtId="0" fontId="11" fillId="3" borderId="43" xfId="0" applyFont="1" applyFill="1" applyBorder="1" applyProtection="1">
      <protection locked="0"/>
    </xf>
    <xf numFmtId="189" fontId="11" fillId="0" borderId="1" xfId="0" applyNumberFormat="1" applyFont="1" applyBorder="1" applyAlignment="1">
      <alignment horizontal="left"/>
    </xf>
    <xf numFmtId="0" fontId="11" fillId="3" borderId="2" xfId="0" applyFont="1" applyFill="1" applyBorder="1" applyAlignment="1" applyProtection="1">
      <alignment horizontal="left"/>
      <protection locked="0"/>
    </xf>
    <xf numFmtId="0" fontId="11" fillId="0" borderId="1" xfId="0" applyFont="1" applyBorder="1" applyAlignment="1">
      <alignment horizontal="left"/>
    </xf>
    <xf numFmtId="187" fontId="11" fillId="3" borderId="3" xfId="1" applyFont="1" applyFill="1" applyBorder="1" applyAlignment="1" applyProtection="1">
      <alignment horizontal="left"/>
      <protection locked="0"/>
    </xf>
    <xf numFmtId="189" fontId="11" fillId="0" borderId="1" xfId="0" applyNumberFormat="1" applyFont="1" applyBorder="1" applyAlignment="1" applyProtection="1">
      <alignment horizontal="left"/>
      <protection locked="0"/>
    </xf>
    <xf numFmtId="0" fontId="11" fillId="3" borderId="37" xfId="0" applyFont="1" applyFill="1" applyBorder="1" applyProtection="1">
      <protection locked="0"/>
    </xf>
    <xf numFmtId="14" fontId="11" fillId="3" borderId="2" xfId="0" applyNumberFormat="1" applyFont="1" applyFill="1" applyBorder="1" applyAlignment="1" applyProtection="1">
      <alignment horizontal="left"/>
      <protection locked="0"/>
    </xf>
    <xf numFmtId="189" fontId="11" fillId="0" borderId="24" xfId="0" applyNumberFormat="1" applyFont="1" applyBorder="1" applyAlignment="1">
      <alignment horizontal="left"/>
    </xf>
    <xf numFmtId="0" fontId="11" fillId="3" borderId="34" xfId="0" applyFont="1" applyFill="1" applyBorder="1" applyAlignment="1" applyProtection="1">
      <alignment horizontal="left"/>
      <protection locked="0"/>
    </xf>
    <xf numFmtId="0" fontId="11" fillId="0" borderId="24" xfId="0" applyFont="1" applyBorder="1" applyAlignment="1">
      <alignment horizontal="left"/>
    </xf>
    <xf numFmtId="187" fontId="11" fillId="3" borderId="44" xfId="1" applyFont="1" applyFill="1" applyBorder="1" applyAlignment="1" applyProtection="1">
      <alignment horizontal="left"/>
      <protection locked="0"/>
    </xf>
    <xf numFmtId="189" fontId="11" fillId="0" borderId="24" xfId="0" applyNumberFormat="1" applyFont="1" applyBorder="1" applyAlignment="1" applyProtection="1">
      <alignment horizontal="left"/>
      <protection locked="0"/>
    </xf>
    <xf numFmtId="0" fontId="11" fillId="3" borderId="39" xfId="0" applyFont="1" applyFill="1" applyBorder="1" applyProtection="1">
      <protection locked="0"/>
    </xf>
    <xf numFmtId="22" fontId="11" fillId="0" borderId="0" xfId="0" applyNumberFormat="1" applyFont="1" applyAlignment="1">
      <alignment horizontal="center"/>
    </xf>
    <xf numFmtId="187" fontId="11" fillId="0" borderId="14" xfId="1" applyFont="1" applyBorder="1" applyAlignment="1">
      <alignment horizontal="center" vertical="center"/>
    </xf>
    <xf numFmtId="187" fontId="11" fillId="0" borderId="15" xfId="1" applyFont="1" applyBorder="1" applyAlignment="1">
      <alignment horizontal="center" vertical="center"/>
    </xf>
    <xf numFmtId="187" fontId="11" fillId="0" borderId="16" xfId="1" applyFont="1" applyBorder="1" applyAlignment="1">
      <alignment horizontal="center" vertical="center"/>
    </xf>
    <xf numFmtId="187" fontId="11" fillId="0" borderId="17" xfId="1" applyFont="1" applyBorder="1" applyAlignment="1">
      <alignment horizontal="center" vertical="center"/>
    </xf>
    <xf numFmtId="0" fontId="11" fillId="0" borderId="38" xfId="0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1" fillId="3" borderId="1" xfId="0" applyFont="1" applyFill="1" applyBorder="1" applyAlignment="1" applyProtection="1">
      <alignment horizontal="left"/>
      <protection locked="0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15" xfId="0" applyFont="1" applyBorder="1" applyAlignment="1" applyProtection="1">
      <alignment horizontal="center" vertical="center"/>
      <protection locked="0"/>
    </xf>
    <xf numFmtId="0" fontId="14" fillId="0" borderId="16" xfId="0" applyFont="1" applyBorder="1" applyAlignment="1" applyProtection="1">
      <alignment horizontal="center" vertical="center"/>
      <protection locked="0"/>
    </xf>
    <xf numFmtId="0" fontId="14" fillId="0" borderId="17" xfId="0" applyFont="1" applyBorder="1" applyAlignment="1" applyProtection="1">
      <alignment horizontal="center" vertical="center"/>
      <protection locked="0"/>
    </xf>
    <xf numFmtId="0" fontId="11" fillId="0" borderId="36" xfId="0" applyFont="1" applyBorder="1" applyAlignment="1">
      <alignment horizontal="left"/>
    </xf>
    <xf numFmtId="0" fontId="11" fillId="0" borderId="0" xfId="0" applyFont="1" applyBorder="1" applyAlignment="1">
      <alignment horizontal="left"/>
    </xf>
    <xf numFmtId="187" fontId="11" fillId="0" borderId="36" xfId="1" applyFont="1" applyBorder="1" applyAlignment="1">
      <alignment horizontal="center"/>
    </xf>
    <xf numFmtId="187" fontId="11" fillId="0" borderId="0" xfId="1" applyFont="1" applyBorder="1" applyAlignment="1">
      <alignment horizontal="center"/>
    </xf>
    <xf numFmtId="0" fontId="11" fillId="0" borderId="28" xfId="0" applyFont="1" applyBorder="1" applyAlignment="1">
      <alignment horizontal="center"/>
    </xf>
    <xf numFmtId="0" fontId="11" fillId="0" borderId="29" xfId="0" applyFont="1" applyBorder="1" applyAlignment="1">
      <alignment horizontal="center"/>
    </xf>
    <xf numFmtId="0" fontId="11" fillId="0" borderId="31" xfId="0" applyFont="1" applyBorder="1" applyAlignment="1">
      <alignment horizontal="left"/>
    </xf>
    <xf numFmtId="0" fontId="11" fillId="0" borderId="32" xfId="0" applyFont="1" applyBorder="1" applyAlignment="1">
      <alignment horizontal="left"/>
    </xf>
    <xf numFmtId="0" fontId="11" fillId="3" borderId="32" xfId="0" applyFont="1" applyFill="1" applyBorder="1" applyAlignment="1" applyProtection="1">
      <alignment horizontal="left"/>
      <protection locked="0"/>
    </xf>
    <xf numFmtId="0" fontId="11" fillId="0" borderId="41" xfId="0" applyFont="1" applyBorder="1" applyAlignment="1">
      <alignment horizontal="left"/>
    </xf>
    <xf numFmtId="0" fontId="11" fillId="0" borderId="24" xfId="0" applyFont="1" applyBorder="1" applyAlignment="1">
      <alignment horizontal="left"/>
    </xf>
    <xf numFmtId="0" fontId="11" fillId="3" borderId="24" xfId="0" applyFont="1" applyFill="1" applyBorder="1" applyAlignment="1" applyProtection="1">
      <alignment horizontal="left"/>
      <protection locked="0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87" fontId="3" fillId="0" borderId="2" xfId="1" applyFont="1" applyBorder="1" applyAlignment="1">
      <alignment horizontal="center"/>
    </xf>
    <xf numFmtId="187" fontId="3" fillId="0" borderId="3" xfId="1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0" fontId="3" fillId="0" borderId="18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3" fillId="0" borderId="19" xfId="0" applyFont="1" applyBorder="1" applyAlignment="1">
      <alignment horizontal="left" vertical="top"/>
    </xf>
    <xf numFmtId="0" fontId="3" fillId="0" borderId="20" xfId="0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3" fillId="0" borderId="21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17" xfId="0" applyFont="1" applyBorder="1" applyAlignment="1">
      <alignment horizontal="center"/>
    </xf>
    <xf numFmtId="0" fontId="5" fillId="0" borderId="0" xfId="0" applyFont="1" applyBorder="1" applyAlignment="1">
      <alignment horizontal="left" vertical="center"/>
    </xf>
    <xf numFmtId="0" fontId="3" fillId="0" borderId="18" xfId="0" applyFont="1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3" fillId="0" borderId="22" xfId="0" applyFont="1" applyBorder="1" applyAlignment="1">
      <alignment horizontal="center"/>
    </xf>
  </cellXfs>
  <cellStyles count="2">
    <cellStyle name="Comma" xfId="1" builtinId="3"/>
    <cellStyle name="Normal" xfId="0" builtinId="0"/>
  </cellStyles>
  <dxfs count="4">
    <dxf>
      <font>
        <color theme="0"/>
      </font>
    </dxf>
    <dxf>
      <font>
        <color theme="0"/>
      </font>
    </dxf>
    <dxf>
      <font>
        <color theme="9" tint="0.79998168889431442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4</xdr:row>
          <xdr:rowOff>133350</xdr:rowOff>
        </xdr:from>
        <xdr:to>
          <xdr:col>11</xdr:col>
          <xdr:colOff>295275</xdr:colOff>
          <xdr:row>6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th-TH" sz="2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สั่งอะไหล่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6</xdr:row>
          <xdr:rowOff>142875</xdr:rowOff>
        </xdr:from>
        <xdr:to>
          <xdr:col>11</xdr:col>
          <xdr:colOff>295275</xdr:colOff>
          <xdr:row>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th-TH" sz="2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รับอะไหล่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828675</xdr:colOff>
          <xdr:row>4</xdr:row>
          <xdr:rowOff>142875</xdr:rowOff>
        </xdr:from>
        <xdr:to>
          <xdr:col>10</xdr:col>
          <xdr:colOff>114300</xdr:colOff>
          <xdr:row>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th-TH" sz="2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ค้นหารายการอะไหล่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828675</xdr:colOff>
          <xdr:row>6</xdr:row>
          <xdr:rowOff>142875</xdr:rowOff>
        </xdr:from>
        <xdr:to>
          <xdr:col>10</xdr:col>
          <xdr:colOff>114300</xdr:colOff>
          <xdr:row>8</xdr:row>
          <xdr:rowOff>76200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6576" rIns="54864" bIns="36576" anchor="ctr" upright="1"/>
            <a:lstStyle/>
            <a:p>
              <a:pPr algn="ctr" rtl="0">
                <a:defRPr sz="1000"/>
              </a:pPr>
              <a:r>
                <a:rPr lang="th-TH" sz="22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ล้างข้อมูลค้นหา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</xdr:row>
          <xdr:rowOff>0</xdr:rowOff>
        </xdr:from>
        <xdr:to>
          <xdr:col>12</xdr:col>
          <xdr:colOff>666750</xdr:colOff>
          <xdr:row>2</xdr:row>
          <xdr:rowOff>171450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th-TH" sz="2200" b="1" i="0" u="none" strike="noStrike" baseline="0">
                  <a:solidFill>
                    <a:srgbClr val="000000"/>
                  </a:solidFill>
                  <a:latin typeface="Calibri"/>
                </a:rPr>
                <a:t>Update.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171450</xdr:colOff>
      <xdr:row>21</xdr:row>
      <xdr:rowOff>200025</xdr:rowOff>
    </xdr:from>
    <xdr:ext cx="1134670" cy="27135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781050" y="4600575"/>
          <a:ext cx="1134670" cy="271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100">
              <a:latin typeface="+mn-lt"/>
            </a:rPr>
            <a:t>อนุมัติทุกรายการ</a:t>
          </a:r>
          <a:endParaRPr lang="en-US" sz="1100">
            <a:latin typeface="+mn-lt"/>
          </a:endParaRPr>
        </a:p>
      </xdr:txBody>
    </xdr:sp>
    <xdr:clientData/>
  </xdr:oneCellAnchor>
  <xdr:twoCellAnchor>
    <xdr:from>
      <xdr:col>1</xdr:col>
      <xdr:colOff>47625</xdr:colOff>
      <xdr:row>22</xdr:row>
      <xdr:rowOff>0</xdr:rowOff>
    </xdr:from>
    <xdr:to>
      <xdr:col>1</xdr:col>
      <xdr:colOff>219075</xdr:colOff>
      <xdr:row>22</xdr:row>
      <xdr:rowOff>171450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57225" y="4648200"/>
          <a:ext cx="171450" cy="17145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847725</xdr:colOff>
      <xdr:row>22</xdr:row>
      <xdr:rowOff>0</xdr:rowOff>
    </xdr:from>
    <xdr:to>
      <xdr:col>3</xdr:col>
      <xdr:colOff>142875</xdr:colOff>
      <xdr:row>22</xdr:row>
      <xdr:rowOff>171450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57375" y="4648200"/>
          <a:ext cx="171450" cy="17145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95250</xdr:colOff>
      <xdr:row>21</xdr:row>
      <xdr:rowOff>200025</xdr:rowOff>
    </xdr:from>
    <xdr:ext cx="1176476" cy="27622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981200" y="4600575"/>
          <a:ext cx="1176476" cy="2762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th-TH" sz="1100">
              <a:latin typeface="+mn-lt"/>
            </a:rPr>
            <a:t>อนุมัติบางรายการ</a:t>
          </a:r>
        </a:p>
      </xdr:txBody>
    </xdr:sp>
    <xdr:clientData/>
  </xdr:oneCellAnchor>
  <xdr:oneCellAnchor>
    <xdr:from>
      <xdr:col>0</xdr:col>
      <xdr:colOff>561975</xdr:colOff>
      <xdr:row>22</xdr:row>
      <xdr:rowOff>190500</xdr:rowOff>
    </xdr:from>
    <xdr:ext cx="2685800" cy="27135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61975" y="4838700"/>
          <a:ext cx="2685800" cy="271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100">
              <a:latin typeface="+mn-lt"/>
            </a:rPr>
            <a:t>ลงชื่อ</a:t>
          </a:r>
          <a:r>
            <a:rPr lang="en-US" sz="1100">
              <a:latin typeface="+mn-lt"/>
            </a:rPr>
            <a:t>___________________</a:t>
          </a:r>
          <a:r>
            <a:rPr lang="th-TH" sz="1100">
              <a:latin typeface="+mn-lt"/>
            </a:rPr>
            <a:t>ผู้อนุมัติสั่งซื้อ</a:t>
          </a:r>
          <a:endParaRPr lang="en-US" sz="1100">
            <a:latin typeface="+mn-lt"/>
          </a:endParaRPr>
        </a:p>
      </xdr:txBody>
    </xdr:sp>
    <xdr:clientData/>
  </xdr:oneCellAnchor>
  <xdr:oneCellAnchor>
    <xdr:from>
      <xdr:col>1</xdr:col>
      <xdr:colOff>171450</xdr:colOff>
      <xdr:row>45</xdr:row>
      <xdr:rowOff>200025</xdr:rowOff>
    </xdr:from>
    <xdr:ext cx="1134670" cy="27135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781050" y="4600575"/>
          <a:ext cx="1134670" cy="271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100">
              <a:latin typeface="+mn-lt"/>
            </a:rPr>
            <a:t>อนุมัติทุกรายการ</a:t>
          </a:r>
          <a:endParaRPr lang="en-US" sz="1100">
            <a:latin typeface="+mn-lt"/>
          </a:endParaRPr>
        </a:p>
      </xdr:txBody>
    </xdr:sp>
    <xdr:clientData/>
  </xdr:oneCellAnchor>
  <xdr:twoCellAnchor>
    <xdr:from>
      <xdr:col>1</xdr:col>
      <xdr:colOff>47625</xdr:colOff>
      <xdr:row>46</xdr:row>
      <xdr:rowOff>0</xdr:rowOff>
    </xdr:from>
    <xdr:to>
      <xdr:col>1</xdr:col>
      <xdr:colOff>219075</xdr:colOff>
      <xdr:row>46</xdr:row>
      <xdr:rowOff>171450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657225" y="4648200"/>
          <a:ext cx="171450" cy="17145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847725</xdr:colOff>
      <xdr:row>46</xdr:row>
      <xdr:rowOff>0</xdr:rowOff>
    </xdr:from>
    <xdr:to>
      <xdr:col>3</xdr:col>
      <xdr:colOff>142875</xdr:colOff>
      <xdr:row>46</xdr:row>
      <xdr:rowOff>171450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857375" y="4648200"/>
          <a:ext cx="171450" cy="17145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95250</xdr:colOff>
      <xdr:row>45</xdr:row>
      <xdr:rowOff>200025</xdr:rowOff>
    </xdr:from>
    <xdr:ext cx="1176476" cy="276225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1981200" y="4600575"/>
          <a:ext cx="1176476" cy="2762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th-TH" sz="1100">
              <a:latin typeface="+mn-lt"/>
            </a:rPr>
            <a:t>อนุมัติบางรายการ</a:t>
          </a:r>
        </a:p>
      </xdr:txBody>
    </xdr:sp>
    <xdr:clientData/>
  </xdr:oneCellAnchor>
  <xdr:oneCellAnchor>
    <xdr:from>
      <xdr:col>0</xdr:col>
      <xdr:colOff>561975</xdr:colOff>
      <xdr:row>46</xdr:row>
      <xdr:rowOff>190500</xdr:rowOff>
    </xdr:from>
    <xdr:ext cx="2685800" cy="271356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61975" y="4838700"/>
          <a:ext cx="2685800" cy="271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th-TH" sz="1100">
              <a:latin typeface="+mn-lt"/>
            </a:rPr>
            <a:t>ลงชื่อ</a:t>
          </a:r>
          <a:r>
            <a:rPr lang="en-US" sz="1100">
              <a:latin typeface="+mn-lt"/>
            </a:rPr>
            <a:t>___________________</a:t>
          </a:r>
          <a:r>
            <a:rPr lang="th-TH" sz="1100">
              <a:latin typeface="+mn-lt"/>
            </a:rPr>
            <a:t>ผู้อนุมัติสั่งซื้อ</a:t>
          </a:r>
          <a:endParaRPr lang="en-US" sz="1100">
            <a:latin typeface="+mn-lt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0"/>
  <sheetViews>
    <sheetView tabSelected="1" zoomScale="70" zoomScaleNormal="70" workbookViewId="0">
      <selection activeCell="J3" sqref="J3:K4"/>
    </sheetView>
  </sheetViews>
  <sheetFormatPr defaultColWidth="9.125" defaultRowHeight="18" x14ac:dyDescent="0.25"/>
  <cols>
    <col min="1" max="1" width="5" style="75" customWidth="1"/>
    <col min="2" max="2" width="6" style="75" customWidth="1"/>
    <col min="3" max="3" width="14.125" style="77" customWidth="1"/>
    <col min="4" max="4" width="21.125" style="75" customWidth="1"/>
    <col min="5" max="5" width="15.875" style="75" customWidth="1"/>
    <col min="6" max="6" width="3.375" style="75" customWidth="1"/>
    <col min="7" max="7" width="14.875" style="75" customWidth="1"/>
    <col min="8" max="8" width="6.125" style="75" customWidth="1"/>
    <col min="9" max="9" width="16.625" style="75" customWidth="1"/>
    <col min="10" max="10" width="16.875" style="75" customWidth="1"/>
    <col min="11" max="11" width="21.125" style="75" customWidth="1"/>
    <col min="12" max="12" width="19.625" style="75" customWidth="1"/>
    <col min="13" max="13" width="15.625" style="75" customWidth="1"/>
    <col min="14" max="14" width="4.25" style="75" customWidth="1"/>
    <col min="15" max="15" width="9.125" style="75"/>
    <col min="16" max="16" width="20.25" style="75" customWidth="1"/>
    <col min="17" max="17" width="46.25" style="75" customWidth="1"/>
    <col min="18" max="16384" width="9.125" style="75"/>
  </cols>
  <sheetData>
    <row r="1" spans="1:17" ht="20.25" thickBot="1" x14ac:dyDescent="0.3">
      <c r="B1" s="76" t="s">
        <v>489</v>
      </c>
      <c r="E1" s="114">
        <f ca="1">NOW()</f>
        <v>43027.639957060186</v>
      </c>
      <c r="F1" s="114"/>
      <c r="G1" s="114"/>
      <c r="J1" s="76" t="s">
        <v>494</v>
      </c>
    </row>
    <row r="2" spans="1:17" ht="18.75" thickBot="1" x14ac:dyDescent="0.3">
      <c r="B2" s="75" t="s">
        <v>490</v>
      </c>
      <c r="C2" s="78" t="str">
        <f>IF(J3="","",J3)</f>
        <v/>
      </c>
      <c r="D2" s="75" t="s">
        <v>495</v>
      </c>
      <c r="E2" s="79" t="str">
        <f>IF(C2="","",VLOOKUP(C2,PROFILE!A4:X1000,18,FALSE))</f>
        <v/>
      </c>
      <c r="F2" s="80"/>
      <c r="G2" s="81" t="s">
        <v>492</v>
      </c>
      <c r="H2" s="81"/>
      <c r="J2" s="75" t="s">
        <v>485</v>
      </c>
    </row>
    <row r="3" spans="1:17" ht="18.75" thickBot="1" x14ac:dyDescent="0.3">
      <c r="B3" s="75" t="s">
        <v>21</v>
      </c>
      <c r="C3" s="82" t="str">
        <f>IF(C2="","",VLOOKUP(C2,PROFILE!A4:X1000,19,FALSE))</f>
        <v/>
      </c>
      <c r="D3" s="75" t="s">
        <v>491</v>
      </c>
      <c r="E3" s="79" t="str">
        <f>IF(C2="","",VLOOKUP(C2,PROFILE!A4:X1000,11,FALSE))</f>
        <v/>
      </c>
      <c r="F3" s="80"/>
      <c r="G3" s="79">
        <f>COUNTA(E11:G110)</f>
        <v>0</v>
      </c>
      <c r="H3" s="75" t="s">
        <v>460</v>
      </c>
      <c r="J3" s="122"/>
      <c r="K3" s="123"/>
    </row>
    <row r="4" spans="1:17" ht="18.75" thickBot="1" x14ac:dyDescent="0.3">
      <c r="B4" s="75" t="s">
        <v>22</v>
      </c>
      <c r="C4" s="82" t="str">
        <f>IF(C2="","",VLOOKUP(C2,PROFILE!A4:X1000,20,FALSE))</f>
        <v/>
      </c>
      <c r="D4" s="75" t="s">
        <v>487</v>
      </c>
      <c r="E4" s="79" t="str">
        <f>IF(C2="","",VLOOKUP(C2,PROFILE!A4:X1000,13,FALSE))</f>
        <v/>
      </c>
      <c r="F4" s="80"/>
      <c r="G4" s="81" t="s">
        <v>493</v>
      </c>
      <c r="H4" s="81"/>
      <c r="J4" s="124"/>
      <c r="K4" s="125"/>
    </row>
    <row r="5" spans="1:17" ht="18.75" thickBot="1" x14ac:dyDescent="0.3">
      <c r="B5" s="75" t="s">
        <v>23</v>
      </c>
      <c r="C5" s="78" t="str">
        <f>IF(C2="","",VLOOKUP(C2,PROFILE!A4:X1000,21,FALSE))</f>
        <v/>
      </c>
      <c r="D5" s="75" t="s">
        <v>488</v>
      </c>
      <c r="E5" s="79" t="str">
        <f>IF(C2="","",VLOOKUP(C2,PROFILE!A4:X1000,12,FALSE))</f>
        <v/>
      </c>
      <c r="F5" s="80"/>
      <c r="G5" s="79">
        <f>G3-COUNT(K11:K33)+COUNTIF(K11:K33,0)</f>
        <v>0</v>
      </c>
      <c r="H5" s="75" t="s">
        <v>460</v>
      </c>
    </row>
    <row r="6" spans="1:17" ht="18.75" thickBot="1" x14ac:dyDescent="0.3">
      <c r="B6" s="75" t="s">
        <v>498</v>
      </c>
      <c r="C6" s="83"/>
      <c r="E6" s="84" t="s">
        <v>499</v>
      </c>
      <c r="F6" s="80"/>
      <c r="G6" s="84"/>
    </row>
    <row r="7" spans="1:17" x14ac:dyDescent="0.25">
      <c r="B7" s="115" t="str">
        <f>IF(C2="","",VLOOKUP(C2,PROFILE!A4:X1000,24,FALSE))</f>
        <v/>
      </c>
      <c r="C7" s="116"/>
      <c r="E7" s="115">
        <f>SUM(J11:J33)</f>
        <v>0</v>
      </c>
      <c r="F7" s="116"/>
      <c r="G7" s="126" t="s">
        <v>1166</v>
      </c>
      <c r="H7" s="127"/>
    </row>
    <row r="8" spans="1:17" ht="18.75" thickBot="1" x14ac:dyDescent="0.3">
      <c r="B8" s="117"/>
      <c r="C8" s="118"/>
      <c r="E8" s="117"/>
      <c r="F8" s="118"/>
      <c r="G8" s="128" t="str">
        <f>IFERROR(IF(B7=0,"ไม่มีข้อมูล",0.4*B7),"")</f>
        <v/>
      </c>
      <c r="H8" s="129"/>
      <c r="I8" s="85" t="str">
        <f>IF(G8="","",IF(G8="ไม่มีข้อมูล","","บาท"))</f>
        <v/>
      </c>
    </row>
    <row r="9" spans="1:17" ht="18.75" thickBot="1" x14ac:dyDescent="0.3">
      <c r="F9" s="80"/>
      <c r="M9" s="86"/>
      <c r="O9" s="75" t="s">
        <v>497</v>
      </c>
    </row>
    <row r="10" spans="1:17" ht="18.75" thickBot="1" x14ac:dyDescent="0.3">
      <c r="B10" s="130" t="s">
        <v>466</v>
      </c>
      <c r="C10" s="131"/>
      <c r="D10" s="87" t="s">
        <v>463</v>
      </c>
      <c r="E10" s="131" t="s">
        <v>460</v>
      </c>
      <c r="F10" s="131"/>
      <c r="G10" s="131"/>
      <c r="H10" s="88" t="s">
        <v>496</v>
      </c>
      <c r="I10" s="88" t="s">
        <v>461</v>
      </c>
      <c r="J10" s="89" t="s">
        <v>462</v>
      </c>
      <c r="K10" s="89" t="s">
        <v>464</v>
      </c>
      <c r="L10" s="90" t="s">
        <v>465</v>
      </c>
      <c r="M10" s="91" t="s">
        <v>1429</v>
      </c>
      <c r="N10" s="92"/>
      <c r="O10" s="93" t="s">
        <v>496</v>
      </c>
      <c r="P10" s="93" t="s">
        <v>461</v>
      </c>
      <c r="Q10" s="93" t="s">
        <v>1509</v>
      </c>
    </row>
    <row r="11" spans="1:17" x14ac:dyDescent="0.25">
      <c r="A11" s="75">
        <v>1</v>
      </c>
      <c r="B11" s="132" t="str">
        <f>IF(N11="",IF(E11="","","P"&amp;$J$3&amp;"-"&amp;A11),N11)</f>
        <v/>
      </c>
      <c r="C11" s="133"/>
      <c r="D11" s="94"/>
      <c r="E11" s="134"/>
      <c r="F11" s="134"/>
      <c r="G11" s="134"/>
      <c r="H11" s="95"/>
      <c r="I11" s="96" t="str">
        <f>IFERROR(IF(E11="","",VLOOKUP(H11,$O$11:$P$30,2,FALSE)),"ไม่พบข้อมูล")</f>
        <v/>
      </c>
      <c r="J11" s="97"/>
      <c r="K11" s="98"/>
      <c r="L11" s="99"/>
      <c r="M11" s="100"/>
      <c r="N11" s="92"/>
      <c r="O11" s="93">
        <v>1</v>
      </c>
      <c r="P11" s="93" t="s">
        <v>1159</v>
      </c>
      <c r="Q11" s="93" t="s">
        <v>2167</v>
      </c>
    </row>
    <row r="12" spans="1:17" x14ac:dyDescent="0.25">
      <c r="A12" s="75">
        <v>2</v>
      </c>
      <c r="B12" s="119" t="str">
        <f t="shared" ref="B12:B75" si="0">IF(N12="",IF(E12="","","P"&amp;$J$3&amp;"-"&amp;A12),N12)</f>
        <v/>
      </c>
      <c r="C12" s="120"/>
      <c r="D12" s="101"/>
      <c r="E12" s="121"/>
      <c r="F12" s="121"/>
      <c r="G12" s="121"/>
      <c r="H12" s="102"/>
      <c r="I12" s="103" t="str">
        <f t="shared" ref="I12:I33" si="1">IFERROR(IF(E12="","",VLOOKUP(H12,$O$11:$P$30,2,FALSE)),"ไม่พบข้อมูล")</f>
        <v/>
      </c>
      <c r="J12" s="104"/>
      <c r="K12" s="105"/>
      <c r="L12" s="102"/>
      <c r="M12" s="106"/>
      <c r="N12" s="92"/>
      <c r="O12" s="93">
        <v>2</v>
      </c>
      <c r="P12" s="93" t="s">
        <v>1160</v>
      </c>
      <c r="Q12" s="93" t="s">
        <v>2168</v>
      </c>
    </row>
    <row r="13" spans="1:17" x14ac:dyDescent="0.25">
      <c r="A13" s="75">
        <v>3</v>
      </c>
      <c r="B13" s="119" t="str">
        <f t="shared" si="0"/>
        <v/>
      </c>
      <c r="C13" s="120"/>
      <c r="D13" s="101"/>
      <c r="E13" s="121"/>
      <c r="F13" s="121"/>
      <c r="G13" s="121"/>
      <c r="H13" s="102"/>
      <c r="I13" s="103" t="str">
        <f t="shared" si="1"/>
        <v/>
      </c>
      <c r="J13" s="104"/>
      <c r="K13" s="105"/>
      <c r="L13" s="102"/>
      <c r="M13" s="106"/>
      <c r="N13" s="92"/>
      <c r="O13" s="93">
        <v>3</v>
      </c>
      <c r="P13" s="93" t="s">
        <v>1162</v>
      </c>
      <c r="Q13" s="93" t="s">
        <v>2170</v>
      </c>
    </row>
    <row r="14" spans="1:17" x14ac:dyDescent="0.25">
      <c r="A14" s="75">
        <v>4</v>
      </c>
      <c r="B14" s="119" t="str">
        <f t="shared" si="0"/>
        <v/>
      </c>
      <c r="C14" s="120"/>
      <c r="D14" s="101"/>
      <c r="E14" s="121"/>
      <c r="F14" s="121"/>
      <c r="G14" s="121"/>
      <c r="H14" s="102"/>
      <c r="I14" s="103" t="str">
        <f t="shared" si="1"/>
        <v/>
      </c>
      <c r="J14" s="104"/>
      <c r="K14" s="105"/>
      <c r="L14" s="102"/>
      <c r="M14" s="106"/>
      <c r="N14" s="92"/>
      <c r="O14" s="93">
        <v>4</v>
      </c>
      <c r="P14" s="93" t="s">
        <v>1161</v>
      </c>
      <c r="Q14" s="93" t="s">
        <v>2169</v>
      </c>
    </row>
    <row r="15" spans="1:17" x14ac:dyDescent="0.25">
      <c r="A15" s="75">
        <v>5</v>
      </c>
      <c r="B15" s="119" t="str">
        <f t="shared" si="0"/>
        <v/>
      </c>
      <c r="C15" s="120"/>
      <c r="D15" s="101"/>
      <c r="E15" s="121"/>
      <c r="F15" s="121"/>
      <c r="G15" s="121"/>
      <c r="H15" s="102"/>
      <c r="I15" s="103" t="str">
        <f t="shared" si="1"/>
        <v/>
      </c>
      <c r="J15" s="104"/>
      <c r="K15" s="105"/>
      <c r="L15" s="102"/>
      <c r="M15" s="106"/>
      <c r="N15" s="92"/>
      <c r="O15" s="93">
        <v>5</v>
      </c>
      <c r="P15" s="93" t="s">
        <v>1175</v>
      </c>
      <c r="Q15" s="93" t="s">
        <v>2171</v>
      </c>
    </row>
    <row r="16" spans="1:17" x14ac:dyDescent="0.25">
      <c r="A16" s="75">
        <v>6</v>
      </c>
      <c r="B16" s="119" t="str">
        <f t="shared" si="0"/>
        <v/>
      </c>
      <c r="C16" s="120"/>
      <c r="D16" s="101"/>
      <c r="E16" s="121"/>
      <c r="F16" s="121"/>
      <c r="G16" s="121"/>
      <c r="H16" s="102"/>
      <c r="I16" s="103" t="str">
        <f t="shared" si="1"/>
        <v/>
      </c>
      <c r="J16" s="104"/>
      <c r="K16" s="105"/>
      <c r="L16" s="102"/>
      <c r="M16" s="106"/>
      <c r="N16" s="92"/>
      <c r="O16" s="93">
        <v>6</v>
      </c>
      <c r="P16" s="93" t="s">
        <v>1185</v>
      </c>
      <c r="Q16" s="93" t="s">
        <v>2172</v>
      </c>
    </row>
    <row r="17" spans="1:17" x14ac:dyDescent="0.25">
      <c r="A17" s="75">
        <v>7</v>
      </c>
      <c r="B17" s="119" t="str">
        <f t="shared" si="0"/>
        <v/>
      </c>
      <c r="C17" s="120"/>
      <c r="D17" s="101"/>
      <c r="E17" s="121"/>
      <c r="F17" s="121"/>
      <c r="G17" s="121"/>
      <c r="H17" s="102"/>
      <c r="I17" s="103" t="str">
        <f t="shared" si="1"/>
        <v/>
      </c>
      <c r="J17" s="104"/>
      <c r="K17" s="105"/>
      <c r="L17" s="107"/>
      <c r="M17" s="106"/>
      <c r="N17" s="92"/>
      <c r="O17" s="93">
        <v>7</v>
      </c>
      <c r="P17" s="93" t="s">
        <v>1234</v>
      </c>
      <c r="Q17" s="93" t="s">
        <v>2174</v>
      </c>
    </row>
    <row r="18" spans="1:17" x14ac:dyDescent="0.25">
      <c r="A18" s="75">
        <v>8</v>
      </c>
      <c r="B18" s="119" t="str">
        <f t="shared" si="0"/>
        <v/>
      </c>
      <c r="C18" s="120"/>
      <c r="D18" s="101"/>
      <c r="E18" s="121"/>
      <c r="F18" s="121"/>
      <c r="G18" s="121"/>
      <c r="H18" s="102"/>
      <c r="I18" s="103" t="str">
        <f t="shared" si="1"/>
        <v/>
      </c>
      <c r="J18" s="104"/>
      <c r="K18" s="105"/>
      <c r="L18" s="102"/>
      <c r="M18" s="106"/>
      <c r="N18" s="92"/>
      <c r="O18" s="93">
        <v>8</v>
      </c>
      <c r="P18" s="93" t="s">
        <v>1329</v>
      </c>
      <c r="Q18" s="93" t="s">
        <v>2175</v>
      </c>
    </row>
    <row r="19" spans="1:17" x14ac:dyDescent="0.25">
      <c r="A19" s="75">
        <v>9</v>
      </c>
      <c r="B19" s="119" t="str">
        <f t="shared" si="0"/>
        <v/>
      </c>
      <c r="C19" s="120"/>
      <c r="D19" s="101"/>
      <c r="E19" s="121"/>
      <c r="F19" s="121"/>
      <c r="G19" s="121"/>
      <c r="H19" s="102"/>
      <c r="I19" s="103" t="str">
        <f t="shared" si="1"/>
        <v/>
      </c>
      <c r="J19" s="104"/>
      <c r="K19" s="105"/>
      <c r="L19" s="102"/>
      <c r="M19" s="106"/>
      <c r="N19" s="92"/>
      <c r="O19" s="93">
        <v>9</v>
      </c>
      <c r="P19" s="93" t="s">
        <v>2158</v>
      </c>
      <c r="Q19" s="93" t="s">
        <v>2173</v>
      </c>
    </row>
    <row r="20" spans="1:17" x14ac:dyDescent="0.25">
      <c r="A20" s="75">
        <v>10</v>
      </c>
      <c r="B20" s="119" t="str">
        <f t="shared" si="0"/>
        <v/>
      </c>
      <c r="C20" s="120"/>
      <c r="D20" s="101"/>
      <c r="E20" s="121"/>
      <c r="F20" s="121"/>
      <c r="G20" s="121"/>
      <c r="H20" s="102"/>
      <c r="I20" s="103" t="str">
        <f t="shared" si="1"/>
        <v/>
      </c>
      <c r="J20" s="104"/>
      <c r="K20" s="105"/>
      <c r="L20" s="102"/>
      <c r="M20" s="106"/>
      <c r="N20" s="92"/>
      <c r="O20" s="93">
        <v>10</v>
      </c>
      <c r="P20" s="93" t="s">
        <v>2159</v>
      </c>
      <c r="Q20" s="93" t="s">
        <v>2176</v>
      </c>
    </row>
    <row r="21" spans="1:17" x14ac:dyDescent="0.25">
      <c r="A21" s="75">
        <v>11</v>
      </c>
      <c r="B21" s="119" t="str">
        <f t="shared" si="0"/>
        <v/>
      </c>
      <c r="C21" s="120"/>
      <c r="D21" s="101"/>
      <c r="E21" s="121"/>
      <c r="F21" s="121"/>
      <c r="G21" s="121"/>
      <c r="H21" s="102"/>
      <c r="I21" s="103" t="str">
        <f t="shared" si="1"/>
        <v/>
      </c>
      <c r="J21" s="104"/>
      <c r="K21" s="105"/>
      <c r="L21" s="102"/>
      <c r="M21" s="106"/>
      <c r="N21" s="92"/>
      <c r="O21" s="93">
        <v>11</v>
      </c>
      <c r="P21" s="93" t="s">
        <v>2160</v>
      </c>
      <c r="Q21" s="93" t="s">
        <v>2177</v>
      </c>
    </row>
    <row r="22" spans="1:17" x14ac:dyDescent="0.25">
      <c r="A22" s="75">
        <v>12</v>
      </c>
      <c r="B22" s="119" t="str">
        <f t="shared" si="0"/>
        <v/>
      </c>
      <c r="C22" s="120"/>
      <c r="D22" s="101"/>
      <c r="E22" s="121"/>
      <c r="F22" s="121"/>
      <c r="G22" s="121"/>
      <c r="H22" s="102"/>
      <c r="I22" s="103" t="str">
        <f t="shared" si="1"/>
        <v/>
      </c>
      <c r="J22" s="104"/>
      <c r="K22" s="105"/>
      <c r="L22" s="102"/>
      <c r="M22" s="106"/>
      <c r="N22" s="92"/>
      <c r="O22" s="93">
        <v>12</v>
      </c>
      <c r="P22" s="93" t="s">
        <v>2161</v>
      </c>
      <c r="Q22" s="93" t="s">
        <v>2164</v>
      </c>
    </row>
    <row r="23" spans="1:17" x14ac:dyDescent="0.25">
      <c r="A23" s="75">
        <v>13</v>
      </c>
      <c r="B23" s="119" t="str">
        <f t="shared" si="0"/>
        <v/>
      </c>
      <c r="C23" s="120"/>
      <c r="D23" s="101"/>
      <c r="E23" s="121"/>
      <c r="F23" s="121"/>
      <c r="G23" s="121"/>
      <c r="H23" s="102"/>
      <c r="I23" s="103" t="str">
        <f t="shared" si="1"/>
        <v/>
      </c>
      <c r="J23" s="104"/>
      <c r="K23" s="105"/>
      <c r="L23" s="102"/>
      <c r="M23" s="106"/>
      <c r="N23" s="92"/>
      <c r="O23" s="93">
        <v>13</v>
      </c>
      <c r="P23" s="93" t="s">
        <v>2162</v>
      </c>
      <c r="Q23" s="93" t="s">
        <v>2165</v>
      </c>
    </row>
    <row r="24" spans="1:17" x14ac:dyDescent="0.25">
      <c r="A24" s="75">
        <v>14</v>
      </c>
      <c r="B24" s="119" t="str">
        <f t="shared" si="0"/>
        <v/>
      </c>
      <c r="C24" s="120"/>
      <c r="D24" s="101"/>
      <c r="E24" s="121"/>
      <c r="F24" s="121"/>
      <c r="G24" s="121"/>
      <c r="H24" s="102"/>
      <c r="I24" s="103" t="str">
        <f t="shared" si="1"/>
        <v/>
      </c>
      <c r="J24" s="104"/>
      <c r="K24" s="105"/>
      <c r="L24" s="102"/>
      <c r="M24" s="106"/>
      <c r="N24" s="92"/>
      <c r="O24" s="93">
        <v>14</v>
      </c>
      <c r="P24" s="93" t="s">
        <v>2163</v>
      </c>
      <c r="Q24" s="93" t="s">
        <v>2166</v>
      </c>
    </row>
    <row r="25" spans="1:17" x14ac:dyDescent="0.25">
      <c r="A25" s="75">
        <v>15</v>
      </c>
      <c r="B25" s="119" t="str">
        <f t="shared" si="0"/>
        <v/>
      </c>
      <c r="C25" s="120"/>
      <c r="D25" s="101"/>
      <c r="E25" s="121"/>
      <c r="F25" s="121"/>
      <c r="G25" s="121"/>
      <c r="H25" s="102"/>
      <c r="I25" s="103" t="str">
        <f t="shared" si="1"/>
        <v/>
      </c>
      <c r="J25" s="104"/>
      <c r="K25" s="105"/>
      <c r="L25" s="102"/>
      <c r="M25" s="106"/>
      <c r="N25" s="92"/>
      <c r="O25" s="93">
        <v>15</v>
      </c>
      <c r="P25" s="93"/>
      <c r="Q25" s="93"/>
    </row>
    <row r="26" spans="1:17" x14ac:dyDescent="0.25">
      <c r="A26" s="75">
        <v>16</v>
      </c>
      <c r="B26" s="119" t="str">
        <f t="shared" si="0"/>
        <v/>
      </c>
      <c r="C26" s="120"/>
      <c r="D26" s="101"/>
      <c r="E26" s="121"/>
      <c r="F26" s="121"/>
      <c r="G26" s="121"/>
      <c r="H26" s="102"/>
      <c r="I26" s="103" t="str">
        <f t="shared" si="1"/>
        <v/>
      </c>
      <c r="J26" s="104"/>
      <c r="K26" s="105"/>
      <c r="L26" s="102"/>
      <c r="M26" s="106"/>
      <c r="N26" s="92"/>
      <c r="O26" s="93">
        <v>16</v>
      </c>
      <c r="P26" s="93"/>
      <c r="Q26" s="93"/>
    </row>
    <row r="27" spans="1:17" x14ac:dyDescent="0.25">
      <c r="A27" s="75">
        <v>17</v>
      </c>
      <c r="B27" s="119" t="str">
        <f t="shared" si="0"/>
        <v/>
      </c>
      <c r="C27" s="120"/>
      <c r="D27" s="101"/>
      <c r="E27" s="121"/>
      <c r="F27" s="121"/>
      <c r="G27" s="121"/>
      <c r="H27" s="102"/>
      <c r="I27" s="103" t="str">
        <f t="shared" si="1"/>
        <v/>
      </c>
      <c r="J27" s="104"/>
      <c r="K27" s="105"/>
      <c r="L27" s="102"/>
      <c r="M27" s="106"/>
      <c r="N27" s="92"/>
      <c r="O27" s="93">
        <v>17</v>
      </c>
      <c r="P27" s="93"/>
      <c r="Q27" s="93"/>
    </row>
    <row r="28" spans="1:17" x14ac:dyDescent="0.25">
      <c r="A28" s="75">
        <v>18</v>
      </c>
      <c r="B28" s="119" t="str">
        <f t="shared" si="0"/>
        <v/>
      </c>
      <c r="C28" s="120"/>
      <c r="D28" s="101"/>
      <c r="E28" s="121"/>
      <c r="F28" s="121"/>
      <c r="G28" s="121"/>
      <c r="H28" s="102"/>
      <c r="I28" s="103" t="str">
        <f t="shared" si="1"/>
        <v/>
      </c>
      <c r="J28" s="104"/>
      <c r="K28" s="105"/>
      <c r="L28" s="102"/>
      <c r="M28" s="106"/>
      <c r="N28" s="92"/>
      <c r="O28" s="93">
        <v>18</v>
      </c>
      <c r="P28" s="93"/>
      <c r="Q28" s="93"/>
    </row>
    <row r="29" spans="1:17" x14ac:dyDescent="0.25">
      <c r="A29" s="75">
        <v>19</v>
      </c>
      <c r="B29" s="119" t="str">
        <f t="shared" si="0"/>
        <v/>
      </c>
      <c r="C29" s="120"/>
      <c r="D29" s="101"/>
      <c r="E29" s="121"/>
      <c r="F29" s="121"/>
      <c r="G29" s="121"/>
      <c r="H29" s="102"/>
      <c r="I29" s="103" t="str">
        <f t="shared" si="1"/>
        <v/>
      </c>
      <c r="J29" s="104"/>
      <c r="K29" s="105"/>
      <c r="L29" s="102"/>
      <c r="M29" s="106"/>
      <c r="N29" s="92"/>
      <c r="O29" s="93">
        <v>19</v>
      </c>
      <c r="P29" s="93"/>
      <c r="Q29" s="93"/>
    </row>
    <row r="30" spans="1:17" x14ac:dyDescent="0.25">
      <c r="A30" s="75">
        <v>20</v>
      </c>
      <c r="B30" s="119" t="str">
        <f t="shared" si="0"/>
        <v/>
      </c>
      <c r="C30" s="120"/>
      <c r="D30" s="101"/>
      <c r="E30" s="121"/>
      <c r="F30" s="121"/>
      <c r="G30" s="121"/>
      <c r="H30" s="102"/>
      <c r="I30" s="103" t="str">
        <f t="shared" si="1"/>
        <v/>
      </c>
      <c r="J30" s="104"/>
      <c r="K30" s="105"/>
      <c r="L30" s="102"/>
      <c r="M30" s="106"/>
      <c r="N30" s="92"/>
      <c r="O30" s="93">
        <v>20</v>
      </c>
      <c r="P30" s="93" t="s">
        <v>1484</v>
      </c>
      <c r="Q30" s="93"/>
    </row>
    <row r="31" spans="1:17" x14ac:dyDescent="0.25">
      <c r="A31" s="75">
        <v>21</v>
      </c>
      <c r="B31" s="119" t="str">
        <f t="shared" si="0"/>
        <v/>
      </c>
      <c r="C31" s="120"/>
      <c r="D31" s="101"/>
      <c r="E31" s="121"/>
      <c r="F31" s="121"/>
      <c r="G31" s="121"/>
      <c r="H31" s="102"/>
      <c r="I31" s="103" t="str">
        <f t="shared" si="1"/>
        <v/>
      </c>
      <c r="J31" s="104"/>
      <c r="K31" s="105"/>
      <c r="L31" s="102"/>
      <c r="M31" s="106"/>
    </row>
    <row r="32" spans="1:17" x14ac:dyDescent="0.25">
      <c r="A32" s="75">
        <v>22</v>
      </c>
      <c r="B32" s="119" t="str">
        <f t="shared" si="0"/>
        <v/>
      </c>
      <c r="C32" s="120"/>
      <c r="D32" s="101"/>
      <c r="E32" s="121"/>
      <c r="F32" s="121"/>
      <c r="G32" s="121"/>
      <c r="H32" s="102"/>
      <c r="I32" s="103" t="str">
        <f t="shared" si="1"/>
        <v/>
      </c>
      <c r="J32" s="104"/>
      <c r="K32" s="105"/>
      <c r="L32" s="102"/>
      <c r="M32" s="106"/>
    </row>
    <row r="33" spans="1:13" x14ac:dyDescent="0.25">
      <c r="A33" s="75">
        <v>23</v>
      </c>
      <c r="B33" s="119" t="str">
        <f t="shared" si="0"/>
        <v/>
      </c>
      <c r="C33" s="120"/>
      <c r="D33" s="101"/>
      <c r="E33" s="121"/>
      <c r="F33" s="121"/>
      <c r="G33" s="121"/>
      <c r="H33" s="102"/>
      <c r="I33" s="103" t="str">
        <f t="shared" si="1"/>
        <v/>
      </c>
      <c r="J33" s="104"/>
      <c r="K33" s="105"/>
      <c r="L33" s="102"/>
      <c r="M33" s="106"/>
    </row>
    <row r="34" spans="1:13" x14ac:dyDescent="0.25">
      <c r="A34" s="75">
        <v>24</v>
      </c>
      <c r="B34" s="119" t="str">
        <f t="shared" si="0"/>
        <v/>
      </c>
      <c r="C34" s="120"/>
      <c r="D34" s="101"/>
      <c r="E34" s="121"/>
      <c r="F34" s="121"/>
      <c r="G34" s="121"/>
      <c r="H34" s="102"/>
      <c r="I34" s="103" t="str">
        <f t="shared" ref="I34:I88" si="2">IFERROR(IF(E34="","",VLOOKUP(H34,$O$11:$P$30,2,FALSE)),"ไม่พบข้อมูล")</f>
        <v/>
      </c>
      <c r="J34" s="104"/>
      <c r="K34" s="105"/>
      <c r="L34" s="102"/>
      <c r="M34" s="106"/>
    </row>
    <row r="35" spans="1:13" x14ac:dyDescent="0.25">
      <c r="A35" s="75">
        <v>25</v>
      </c>
      <c r="B35" s="119" t="str">
        <f t="shared" si="0"/>
        <v/>
      </c>
      <c r="C35" s="120"/>
      <c r="D35" s="101"/>
      <c r="E35" s="121"/>
      <c r="F35" s="121"/>
      <c r="G35" s="121"/>
      <c r="H35" s="102"/>
      <c r="I35" s="103" t="str">
        <f t="shared" si="2"/>
        <v/>
      </c>
      <c r="J35" s="104"/>
      <c r="K35" s="105"/>
      <c r="L35" s="102"/>
      <c r="M35" s="106"/>
    </row>
    <row r="36" spans="1:13" x14ac:dyDescent="0.25">
      <c r="A36" s="75">
        <v>26</v>
      </c>
      <c r="B36" s="119" t="str">
        <f t="shared" si="0"/>
        <v/>
      </c>
      <c r="C36" s="120"/>
      <c r="D36" s="101"/>
      <c r="E36" s="121"/>
      <c r="F36" s="121"/>
      <c r="G36" s="121"/>
      <c r="H36" s="102"/>
      <c r="I36" s="103" t="str">
        <f t="shared" si="2"/>
        <v/>
      </c>
      <c r="J36" s="104"/>
      <c r="K36" s="105"/>
      <c r="L36" s="102"/>
      <c r="M36" s="106"/>
    </row>
    <row r="37" spans="1:13" x14ac:dyDescent="0.25">
      <c r="A37" s="75">
        <v>27</v>
      </c>
      <c r="B37" s="119" t="str">
        <f t="shared" si="0"/>
        <v/>
      </c>
      <c r="C37" s="120"/>
      <c r="D37" s="101"/>
      <c r="E37" s="121"/>
      <c r="F37" s="121"/>
      <c r="G37" s="121"/>
      <c r="H37" s="102"/>
      <c r="I37" s="103" t="str">
        <f t="shared" si="2"/>
        <v/>
      </c>
      <c r="J37" s="104"/>
      <c r="K37" s="105"/>
      <c r="L37" s="102"/>
      <c r="M37" s="106"/>
    </row>
    <row r="38" spans="1:13" x14ac:dyDescent="0.25">
      <c r="A38" s="75">
        <v>28</v>
      </c>
      <c r="B38" s="119" t="str">
        <f t="shared" si="0"/>
        <v/>
      </c>
      <c r="C38" s="120"/>
      <c r="D38" s="101"/>
      <c r="E38" s="121"/>
      <c r="F38" s="121"/>
      <c r="G38" s="121"/>
      <c r="H38" s="102"/>
      <c r="I38" s="103" t="str">
        <f t="shared" si="2"/>
        <v/>
      </c>
      <c r="J38" s="104"/>
      <c r="K38" s="105"/>
      <c r="L38" s="102"/>
      <c r="M38" s="106"/>
    </row>
    <row r="39" spans="1:13" x14ac:dyDescent="0.25">
      <c r="A39" s="75">
        <v>29</v>
      </c>
      <c r="B39" s="119" t="str">
        <f t="shared" si="0"/>
        <v/>
      </c>
      <c r="C39" s="120"/>
      <c r="D39" s="101"/>
      <c r="E39" s="121"/>
      <c r="F39" s="121"/>
      <c r="G39" s="121"/>
      <c r="H39" s="102"/>
      <c r="I39" s="103" t="str">
        <f t="shared" si="2"/>
        <v/>
      </c>
      <c r="J39" s="104"/>
      <c r="K39" s="105"/>
      <c r="L39" s="102"/>
      <c r="M39" s="106"/>
    </row>
    <row r="40" spans="1:13" x14ac:dyDescent="0.25">
      <c r="A40" s="75">
        <v>30</v>
      </c>
      <c r="B40" s="119" t="str">
        <f t="shared" si="0"/>
        <v/>
      </c>
      <c r="C40" s="120"/>
      <c r="D40" s="101"/>
      <c r="E40" s="121"/>
      <c r="F40" s="121"/>
      <c r="G40" s="121"/>
      <c r="H40" s="102"/>
      <c r="I40" s="103" t="str">
        <f t="shared" si="2"/>
        <v/>
      </c>
      <c r="J40" s="104"/>
      <c r="K40" s="105"/>
      <c r="L40" s="102"/>
      <c r="M40" s="106"/>
    </row>
    <row r="41" spans="1:13" x14ac:dyDescent="0.25">
      <c r="A41" s="75">
        <v>31</v>
      </c>
      <c r="B41" s="119" t="str">
        <f t="shared" si="0"/>
        <v/>
      </c>
      <c r="C41" s="120"/>
      <c r="D41" s="101"/>
      <c r="E41" s="121"/>
      <c r="F41" s="121"/>
      <c r="G41" s="121"/>
      <c r="H41" s="102"/>
      <c r="I41" s="103" t="str">
        <f t="shared" si="2"/>
        <v/>
      </c>
      <c r="J41" s="104"/>
      <c r="K41" s="105"/>
      <c r="L41" s="102"/>
      <c r="M41" s="106"/>
    </row>
    <row r="42" spans="1:13" x14ac:dyDescent="0.25">
      <c r="A42" s="75">
        <v>32</v>
      </c>
      <c r="B42" s="119" t="str">
        <f t="shared" si="0"/>
        <v/>
      </c>
      <c r="C42" s="120"/>
      <c r="D42" s="101"/>
      <c r="E42" s="121"/>
      <c r="F42" s="121"/>
      <c r="G42" s="121"/>
      <c r="H42" s="102"/>
      <c r="I42" s="103" t="str">
        <f t="shared" si="2"/>
        <v/>
      </c>
      <c r="J42" s="104"/>
      <c r="K42" s="105"/>
      <c r="L42" s="102"/>
      <c r="M42" s="106"/>
    </row>
    <row r="43" spans="1:13" x14ac:dyDescent="0.25">
      <c r="A43" s="75">
        <v>33</v>
      </c>
      <c r="B43" s="119" t="str">
        <f t="shared" si="0"/>
        <v/>
      </c>
      <c r="C43" s="120"/>
      <c r="D43" s="101"/>
      <c r="E43" s="121"/>
      <c r="F43" s="121"/>
      <c r="G43" s="121"/>
      <c r="H43" s="102"/>
      <c r="I43" s="103" t="str">
        <f t="shared" si="2"/>
        <v/>
      </c>
      <c r="J43" s="104"/>
      <c r="K43" s="105"/>
      <c r="L43" s="102"/>
      <c r="M43" s="106"/>
    </row>
    <row r="44" spans="1:13" x14ac:dyDescent="0.25">
      <c r="A44" s="75">
        <v>34</v>
      </c>
      <c r="B44" s="119" t="str">
        <f t="shared" si="0"/>
        <v/>
      </c>
      <c r="C44" s="120"/>
      <c r="D44" s="101"/>
      <c r="E44" s="121"/>
      <c r="F44" s="121"/>
      <c r="G44" s="121"/>
      <c r="H44" s="102"/>
      <c r="I44" s="103" t="str">
        <f t="shared" si="2"/>
        <v/>
      </c>
      <c r="J44" s="104"/>
      <c r="K44" s="105"/>
      <c r="L44" s="102"/>
      <c r="M44" s="106"/>
    </row>
    <row r="45" spans="1:13" x14ac:dyDescent="0.25">
      <c r="A45" s="75">
        <v>35</v>
      </c>
      <c r="B45" s="119" t="str">
        <f t="shared" si="0"/>
        <v/>
      </c>
      <c r="C45" s="120"/>
      <c r="D45" s="101"/>
      <c r="E45" s="121"/>
      <c r="F45" s="121"/>
      <c r="G45" s="121"/>
      <c r="H45" s="102"/>
      <c r="I45" s="103" t="str">
        <f t="shared" si="2"/>
        <v/>
      </c>
      <c r="J45" s="104"/>
      <c r="K45" s="105"/>
      <c r="L45" s="102"/>
      <c r="M45" s="106"/>
    </row>
    <row r="46" spans="1:13" x14ac:dyDescent="0.25">
      <c r="A46" s="75">
        <v>36</v>
      </c>
      <c r="B46" s="119" t="str">
        <f t="shared" si="0"/>
        <v/>
      </c>
      <c r="C46" s="120"/>
      <c r="D46" s="101"/>
      <c r="E46" s="121"/>
      <c r="F46" s="121"/>
      <c r="G46" s="121"/>
      <c r="H46" s="102"/>
      <c r="I46" s="103" t="str">
        <f t="shared" si="2"/>
        <v/>
      </c>
      <c r="J46" s="104"/>
      <c r="K46" s="105"/>
      <c r="L46" s="102"/>
      <c r="M46" s="106"/>
    </row>
    <row r="47" spans="1:13" x14ac:dyDescent="0.25">
      <c r="A47" s="75">
        <v>37</v>
      </c>
      <c r="B47" s="119" t="str">
        <f t="shared" si="0"/>
        <v/>
      </c>
      <c r="C47" s="120"/>
      <c r="D47" s="101"/>
      <c r="E47" s="121"/>
      <c r="F47" s="121"/>
      <c r="G47" s="121"/>
      <c r="H47" s="102"/>
      <c r="I47" s="103" t="str">
        <f t="shared" si="2"/>
        <v/>
      </c>
      <c r="J47" s="104"/>
      <c r="K47" s="105"/>
      <c r="L47" s="102"/>
      <c r="M47" s="106"/>
    </row>
    <row r="48" spans="1:13" x14ac:dyDescent="0.25">
      <c r="A48" s="75">
        <v>38</v>
      </c>
      <c r="B48" s="119" t="str">
        <f t="shared" si="0"/>
        <v/>
      </c>
      <c r="C48" s="120"/>
      <c r="D48" s="101"/>
      <c r="E48" s="121"/>
      <c r="F48" s="121"/>
      <c r="G48" s="121"/>
      <c r="H48" s="102"/>
      <c r="I48" s="103" t="str">
        <f t="shared" si="2"/>
        <v/>
      </c>
      <c r="J48" s="104"/>
      <c r="K48" s="105"/>
      <c r="L48" s="102"/>
      <c r="M48" s="106"/>
    </row>
    <row r="49" spans="1:13" x14ac:dyDescent="0.25">
      <c r="A49" s="75">
        <v>39</v>
      </c>
      <c r="B49" s="119" t="str">
        <f t="shared" si="0"/>
        <v/>
      </c>
      <c r="C49" s="120"/>
      <c r="D49" s="101"/>
      <c r="E49" s="121"/>
      <c r="F49" s="121"/>
      <c r="G49" s="121"/>
      <c r="H49" s="102"/>
      <c r="I49" s="103" t="str">
        <f t="shared" si="2"/>
        <v/>
      </c>
      <c r="J49" s="104"/>
      <c r="K49" s="105"/>
      <c r="L49" s="102"/>
      <c r="M49" s="106"/>
    </row>
    <row r="50" spans="1:13" x14ac:dyDescent="0.25">
      <c r="A50" s="75">
        <v>40</v>
      </c>
      <c r="B50" s="119" t="str">
        <f t="shared" si="0"/>
        <v/>
      </c>
      <c r="C50" s="120"/>
      <c r="D50" s="101"/>
      <c r="E50" s="121"/>
      <c r="F50" s="121"/>
      <c r="G50" s="121"/>
      <c r="H50" s="102"/>
      <c r="I50" s="103" t="str">
        <f t="shared" si="2"/>
        <v/>
      </c>
      <c r="J50" s="104"/>
      <c r="K50" s="105"/>
      <c r="L50" s="102"/>
      <c r="M50" s="106"/>
    </row>
    <row r="51" spans="1:13" x14ac:dyDescent="0.25">
      <c r="A51" s="75">
        <v>41</v>
      </c>
      <c r="B51" s="119" t="str">
        <f t="shared" si="0"/>
        <v/>
      </c>
      <c r="C51" s="120"/>
      <c r="D51" s="101"/>
      <c r="E51" s="121"/>
      <c r="F51" s="121"/>
      <c r="G51" s="121"/>
      <c r="H51" s="102"/>
      <c r="I51" s="103" t="str">
        <f t="shared" si="2"/>
        <v/>
      </c>
      <c r="J51" s="104"/>
      <c r="K51" s="105"/>
      <c r="L51" s="102"/>
      <c r="M51" s="106"/>
    </row>
    <row r="52" spans="1:13" x14ac:dyDescent="0.25">
      <c r="A52" s="75">
        <v>42</v>
      </c>
      <c r="B52" s="119" t="str">
        <f t="shared" si="0"/>
        <v/>
      </c>
      <c r="C52" s="120"/>
      <c r="D52" s="101"/>
      <c r="E52" s="121"/>
      <c r="F52" s="121"/>
      <c r="G52" s="121"/>
      <c r="H52" s="102"/>
      <c r="I52" s="103" t="str">
        <f t="shared" si="2"/>
        <v/>
      </c>
      <c r="J52" s="104"/>
      <c r="K52" s="105"/>
      <c r="L52" s="102"/>
      <c r="M52" s="106"/>
    </row>
    <row r="53" spans="1:13" x14ac:dyDescent="0.25">
      <c r="A53" s="75">
        <v>43</v>
      </c>
      <c r="B53" s="119" t="str">
        <f t="shared" si="0"/>
        <v/>
      </c>
      <c r="C53" s="120"/>
      <c r="D53" s="101"/>
      <c r="E53" s="121"/>
      <c r="F53" s="121"/>
      <c r="G53" s="121"/>
      <c r="H53" s="102"/>
      <c r="I53" s="103" t="str">
        <f t="shared" si="2"/>
        <v/>
      </c>
      <c r="J53" s="104"/>
      <c r="K53" s="105"/>
      <c r="L53" s="102"/>
      <c r="M53" s="106"/>
    </row>
    <row r="54" spans="1:13" x14ac:dyDescent="0.25">
      <c r="A54" s="75">
        <v>44</v>
      </c>
      <c r="B54" s="119" t="str">
        <f t="shared" si="0"/>
        <v/>
      </c>
      <c r="C54" s="120"/>
      <c r="D54" s="101"/>
      <c r="E54" s="121"/>
      <c r="F54" s="121"/>
      <c r="G54" s="121"/>
      <c r="H54" s="102"/>
      <c r="I54" s="103" t="str">
        <f t="shared" si="2"/>
        <v/>
      </c>
      <c r="J54" s="104"/>
      <c r="K54" s="105"/>
      <c r="L54" s="102"/>
      <c r="M54" s="106"/>
    </row>
    <row r="55" spans="1:13" x14ac:dyDescent="0.25">
      <c r="A55" s="75">
        <v>45</v>
      </c>
      <c r="B55" s="119" t="str">
        <f t="shared" si="0"/>
        <v/>
      </c>
      <c r="C55" s="120"/>
      <c r="D55" s="101"/>
      <c r="E55" s="121"/>
      <c r="F55" s="121"/>
      <c r="G55" s="121"/>
      <c r="H55" s="102"/>
      <c r="I55" s="103" t="str">
        <f t="shared" si="2"/>
        <v/>
      </c>
      <c r="J55" s="104"/>
      <c r="K55" s="105"/>
      <c r="L55" s="102"/>
      <c r="M55" s="106"/>
    </row>
    <row r="56" spans="1:13" x14ac:dyDescent="0.25">
      <c r="A56" s="75">
        <v>46</v>
      </c>
      <c r="B56" s="119" t="str">
        <f t="shared" si="0"/>
        <v/>
      </c>
      <c r="C56" s="120"/>
      <c r="D56" s="101"/>
      <c r="E56" s="121"/>
      <c r="F56" s="121"/>
      <c r="G56" s="121"/>
      <c r="H56" s="102"/>
      <c r="I56" s="103" t="str">
        <f t="shared" si="2"/>
        <v/>
      </c>
      <c r="J56" s="104"/>
      <c r="K56" s="105"/>
      <c r="L56" s="102"/>
      <c r="M56" s="106"/>
    </row>
    <row r="57" spans="1:13" x14ac:dyDescent="0.25">
      <c r="A57" s="75">
        <v>47</v>
      </c>
      <c r="B57" s="119" t="str">
        <f t="shared" si="0"/>
        <v/>
      </c>
      <c r="C57" s="120"/>
      <c r="D57" s="101"/>
      <c r="E57" s="121"/>
      <c r="F57" s="121"/>
      <c r="G57" s="121"/>
      <c r="H57" s="102"/>
      <c r="I57" s="103" t="str">
        <f t="shared" si="2"/>
        <v/>
      </c>
      <c r="J57" s="104"/>
      <c r="K57" s="105"/>
      <c r="L57" s="102"/>
      <c r="M57" s="106"/>
    </row>
    <row r="58" spans="1:13" x14ac:dyDescent="0.25">
      <c r="A58" s="75">
        <v>48</v>
      </c>
      <c r="B58" s="119" t="str">
        <f t="shared" si="0"/>
        <v/>
      </c>
      <c r="C58" s="120"/>
      <c r="D58" s="101"/>
      <c r="E58" s="121"/>
      <c r="F58" s="121"/>
      <c r="G58" s="121"/>
      <c r="H58" s="102"/>
      <c r="I58" s="103" t="str">
        <f t="shared" si="2"/>
        <v/>
      </c>
      <c r="J58" s="104"/>
      <c r="K58" s="105"/>
      <c r="L58" s="102"/>
      <c r="M58" s="106"/>
    </row>
    <row r="59" spans="1:13" x14ac:dyDescent="0.25">
      <c r="A59" s="75">
        <v>49</v>
      </c>
      <c r="B59" s="119" t="str">
        <f t="shared" si="0"/>
        <v/>
      </c>
      <c r="C59" s="120"/>
      <c r="D59" s="101"/>
      <c r="E59" s="121"/>
      <c r="F59" s="121"/>
      <c r="G59" s="121"/>
      <c r="H59" s="102"/>
      <c r="I59" s="103" t="str">
        <f t="shared" si="2"/>
        <v/>
      </c>
      <c r="J59" s="104"/>
      <c r="K59" s="105"/>
      <c r="L59" s="102"/>
      <c r="M59" s="106"/>
    </row>
    <row r="60" spans="1:13" x14ac:dyDescent="0.25">
      <c r="A60" s="75">
        <v>50</v>
      </c>
      <c r="B60" s="119" t="str">
        <f t="shared" si="0"/>
        <v/>
      </c>
      <c r="C60" s="120"/>
      <c r="D60" s="101"/>
      <c r="E60" s="121"/>
      <c r="F60" s="121"/>
      <c r="G60" s="121"/>
      <c r="H60" s="102"/>
      <c r="I60" s="103" t="str">
        <f t="shared" si="2"/>
        <v/>
      </c>
      <c r="J60" s="104"/>
      <c r="K60" s="105"/>
      <c r="L60" s="102"/>
      <c r="M60" s="106"/>
    </row>
    <row r="61" spans="1:13" x14ac:dyDescent="0.25">
      <c r="A61" s="75">
        <v>51</v>
      </c>
      <c r="B61" s="119" t="str">
        <f t="shared" si="0"/>
        <v/>
      </c>
      <c r="C61" s="120"/>
      <c r="D61" s="101"/>
      <c r="E61" s="121"/>
      <c r="F61" s="121"/>
      <c r="G61" s="121"/>
      <c r="H61" s="102"/>
      <c r="I61" s="103" t="str">
        <f t="shared" si="2"/>
        <v/>
      </c>
      <c r="J61" s="104"/>
      <c r="K61" s="105"/>
      <c r="L61" s="102"/>
      <c r="M61" s="106"/>
    </row>
    <row r="62" spans="1:13" x14ac:dyDescent="0.25">
      <c r="A62" s="75">
        <v>52</v>
      </c>
      <c r="B62" s="119" t="str">
        <f t="shared" si="0"/>
        <v/>
      </c>
      <c r="C62" s="120"/>
      <c r="D62" s="101"/>
      <c r="E62" s="121"/>
      <c r="F62" s="121"/>
      <c r="G62" s="121"/>
      <c r="H62" s="102"/>
      <c r="I62" s="103" t="str">
        <f t="shared" si="2"/>
        <v/>
      </c>
      <c r="J62" s="104"/>
      <c r="K62" s="105"/>
      <c r="L62" s="102"/>
      <c r="M62" s="106"/>
    </row>
    <row r="63" spans="1:13" x14ac:dyDescent="0.25">
      <c r="A63" s="75">
        <v>53</v>
      </c>
      <c r="B63" s="119" t="str">
        <f t="shared" si="0"/>
        <v/>
      </c>
      <c r="C63" s="120"/>
      <c r="D63" s="101"/>
      <c r="E63" s="121"/>
      <c r="F63" s="121"/>
      <c r="G63" s="121"/>
      <c r="H63" s="102"/>
      <c r="I63" s="103" t="str">
        <f t="shared" si="2"/>
        <v/>
      </c>
      <c r="J63" s="104"/>
      <c r="K63" s="105"/>
      <c r="L63" s="102"/>
      <c r="M63" s="106"/>
    </row>
    <row r="64" spans="1:13" x14ac:dyDescent="0.25">
      <c r="A64" s="75">
        <v>54</v>
      </c>
      <c r="B64" s="119" t="str">
        <f t="shared" si="0"/>
        <v/>
      </c>
      <c r="C64" s="120"/>
      <c r="D64" s="101"/>
      <c r="E64" s="121"/>
      <c r="F64" s="121"/>
      <c r="G64" s="121"/>
      <c r="H64" s="102"/>
      <c r="I64" s="103" t="str">
        <f t="shared" si="2"/>
        <v/>
      </c>
      <c r="J64" s="104"/>
      <c r="K64" s="105"/>
      <c r="L64" s="102"/>
      <c r="M64" s="106"/>
    </row>
    <row r="65" spans="1:13" x14ac:dyDescent="0.25">
      <c r="A65" s="75">
        <v>55</v>
      </c>
      <c r="B65" s="119" t="str">
        <f t="shared" si="0"/>
        <v/>
      </c>
      <c r="C65" s="120"/>
      <c r="D65" s="101"/>
      <c r="E65" s="121"/>
      <c r="F65" s="121"/>
      <c r="G65" s="121"/>
      <c r="H65" s="102"/>
      <c r="I65" s="103" t="str">
        <f t="shared" si="2"/>
        <v/>
      </c>
      <c r="J65" s="104"/>
      <c r="K65" s="105"/>
      <c r="L65" s="102"/>
      <c r="M65" s="106"/>
    </row>
    <row r="66" spans="1:13" x14ac:dyDescent="0.25">
      <c r="A66" s="75">
        <v>56</v>
      </c>
      <c r="B66" s="119" t="str">
        <f t="shared" si="0"/>
        <v/>
      </c>
      <c r="C66" s="120"/>
      <c r="D66" s="101"/>
      <c r="E66" s="121"/>
      <c r="F66" s="121"/>
      <c r="G66" s="121"/>
      <c r="H66" s="102"/>
      <c r="I66" s="103" t="str">
        <f t="shared" si="2"/>
        <v/>
      </c>
      <c r="J66" s="104"/>
      <c r="K66" s="105"/>
      <c r="L66" s="102"/>
      <c r="M66" s="106"/>
    </row>
    <row r="67" spans="1:13" x14ac:dyDescent="0.25">
      <c r="A67" s="75">
        <v>57</v>
      </c>
      <c r="B67" s="119" t="str">
        <f t="shared" si="0"/>
        <v/>
      </c>
      <c r="C67" s="120"/>
      <c r="D67" s="101"/>
      <c r="E67" s="121"/>
      <c r="F67" s="121"/>
      <c r="G67" s="121"/>
      <c r="H67" s="102"/>
      <c r="I67" s="103" t="str">
        <f t="shared" si="2"/>
        <v/>
      </c>
      <c r="J67" s="104"/>
      <c r="K67" s="105"/>
      <c r="L67" s="102"/>
      <c r="M67" s="106"/>
    </row>
    <row r="68" spans="1:13" x14ac:dyDescent="0.25">
      <c r="A68" s="75">
        <v>58</v>
      </c>
      <c r="B68" s="119" t="str">
        <f t="shared" si="0"/>
        <v/>
      </c>
      <c r="C68" s="120"/>
      <c r="D68" s="101"/>
      <c r="E68" s="121"/>
      <c r="F68" s="121"/>
      <c r="G68" s="121"/>
      <c r="H68" s="102"/>
      <c r="I68" s="103" t="str">
        <f t="shared" si="2"/>
        <v/>
      </c>
      <c r="J68" s="104"/>
      <c r="K68" s="105"/>
      <c r="L68" s="102"/>
      <c r="M68" s="106"/>
    </row>
    <row r="69" spans="1:13" x14ac:dyDescent="0.25">
      <c r="A69" s="75">
        <v>59</v>
      </c>
      <c r="B69" s="119" t="str">
        <f t="shared" si="0"/>
        <v/>
      </c>
      <c r="C69" s="120"/>
      <c r="D69" s="101"/>
      <c r="E69" s="121"/>
      <c r="F69" s="121"/>
      <c r="G69" s="121"/>
      <c r="H69" s="102"/>
      <c r="I69" s="103" t="str">
        <f t="shared" si="2"/>
        <v/>
      </c>
      <c r="J69" s="104"/>
      <c r="K69" s="105"/>
      <c r="L69" s="102"/>
      <c r="M69" s="106"/>
    </row>
    <row r="70" spans="1:13" x14ac:dyDescent="0.25">
      <c r="A70" s="75">
        <v>60</v>
      </c>
      <c r="B70" s="119" t="str">
        <f t="shared" si="0"/>
        <v/>
      </c>
      <c r="C70" s="120"/>
      <c r="D70" s="101"/>
      <c r="E70" s="121"/>
      <c r="F70" s="121"/>
      <c r="G70" s="121"/>
      <c r="H70" s="102"/>
      <c r="I70" s="103" t="str">
        <f t="shared" si="2"/>
        <v/>
      </c>
      <c r="J70" s="104"/>
      <c r="K70" s="105"/>
      <c r="L70" s="102"/>
      <c r="M70" s="106"/>
    </row>
    <row r="71" spans="1:13" x14ac:dyDescent="0.25">
      <c r="A71" s="75">
        <v>61</v>
      </c>
      <c r="B71" s="119" t="str">
        <f t="shared" si="0"/>
        <v/>
      </c>
      <c r="C71" s="120"/>
      <c r="D71" s="101"/>
      <c r="E71" s="121"/>
      <c r="F71" s="121"/>
      <c r="G71" s="121"/>
      <c r="H71" s="102"/>
      <c r="I71" s="103" t="str">
        <f t="shared" si="2"/>
        <v/>
      </c>
      <c r="J71" s="104"/>
      <c r="K71" s="105"/>
      <c r="L71" s="102"/>
      <c r="M71" s="106"/>
    </row>
    <row r="72" spans="1:13" x14ac:dyDescent="0.25">
      <c r="A72" s="75">
        <v>62</v>
      </c>
      <c r="B72" s="119" t="str">
        <f t="shared" si="0"/>
        <v/>
      </c>
      <c r="C72" s="120"/>
      <c r="D72" s="101"/>
      <c r="E72" s="121"/>
      <c r="F72" s="121"/>
      <c r="G72" s="121"/>
      <c r="H72" s="102"/>
      <c r="I72" s="103" t="str">
        <f t="shared" si="2"/>
        <v/>
      </c>
      <c r="J72" s="104"/>
      <c r="K72" s="105"/>
      <c r="L72" s="102"/>
      <c r="M72" s="106"/>
    </row>
    <row r="73" spans="1:13" x14ac:dyDescent="0.25">
      <c r="A73" s="75">
        <v>63</v>
      </c>
      <c r="B73" s="119" t="str">
        <f t="shared" si="0"/>
        <v/>
      </c>
      <c r="C73" s="120"/>
      <c r="D73" s="101"/>
      <c r="E73" s="121"/>
      <c r="F73" s="121"/>
      <c r="G73" s="121"/>
      <c r="H73" s="102"/>
      <c r="I73" s="103" t="str">
        <f t="shared" si="2"/>
        <v/>
      </c>
      <c r="J73" s="104"/>
      <c r="K73" s="105"/>
      <c r="L73" s="102"/>
      <c r="M73" s="106"/>
    </row>
    <row r="74" spans="1:13" x14ac:dyDescent="0.25">
      <c r="A74" s="75">
        <v>64</v>
      </c>
      <c r="B74" s="119" t="str">
        <f t="shared" si="0"/>
        <v/>
      </c>
      <c r="C74" s="120"/>
      <c r="D74" s="101"/>
      <c r="E74" s="121"/>
      <c r="F74" s="121"/>
      <c r="G74" s="121"/>
      <c r="H74" s="102"/>
      <c r="I74" s="103" t="str">
        <f t="shared" si="2"/>
        <v/>
      </c>
      <c r="J74" s="104"/>
      <c r="K74" s="105"/>
      <c r="L74" s="102"/>
      <c r="M74" s="106"/>
    </row>
    <row r="75" spans="1:13" x14ac:dyDescent="0.25">
      <c r="A75" s="75">
        <v>65</v>
      </c>
      <c r="B75" s="119" t="str">
        <f t="shared" si="0"/>
        <v/>
      </c>
      <c r="C75" s="120"/>
      <c r="D75" s="101"/>
      <c r="E75" s="121"/>
      <c r="F75" s="121"/>
      <c r="G75" s="121"/>
      <c r="H75" s="102"/>
      <c r="I75" s="103" t="str">
        <f t="shared" si="2"/>
        <v/>
      </c>
      <c r="J75" s="104"/>
      <c r="K75" s="105"/>
      <c r="L75" s="102"/>
      <c r="M75" s="106"/>
    </row>
    <row r="76" spans="1:13" x14ac:dyDescent="0.25">
      <c r="A76" s="75">
        <v>66</v>
      </c>
      <c r="B76" s="119" t="str">
        <f t="shared" ref="B76:B110" si="3">IF(N76="",IF(E76="","","P"&amp;$J$3&amp;"-"&amp;A76),N76)</f>
        <v/>
      </c>
      <c r="C76" s="120"/>
      <c r="D76" s="101"/>
      <c r="E76" s="121"/>
      <c r="F76" s="121"/>
      <c r="G76" s="121"/>
      <c r="H76" s="102"/>
      <c r="I76" s="103" t="str">
        <f t="shared" si="2"/>
        <v/>
      </c>
      <c r="J76" s="104"/>
      <c r="K76" s="105"/>
      <c r="L76" s="102"/>
      <c r="M76" s="106"/>
    </row>
    <row r="77" spans="1:13" x14ac:dyDescent="0.25">
      <c r="A77" s="75">
        <v>67</v>
      </c>
      <c r="B77" s="119" t="str">
        <f t="shared" si="3"/>
        <v/>
      </c>
      <c r="C77" s="120"/>
      <c r="D77" s="101"/>
      <c r="E77" s="121"/>
      <c r="F77" s="121"/>
      <c r="G77" s="121"/>
      <c r="H77" s="102"/>
      <c r="I77" s="103" t="str">
        <f t="shared" si="2"/>
        <v/>
      </c>
      <c r="J77" s="104"/>
      <c r="K77" s="105"/>
      <c r="L77" s="102"/>
      <c r="M77" s="106"/>
    </row>
    <row r="78" spans="1:13" x14ac:dyDescent="0.25">
      <c r="A78" s="75">
        <v>68</v>
      </c>
      <c r="B78" s="119" t="str">
        <f t="shared" si="3"/>
        <v/>
      </c>
      <c r="C78" s="120"/>
      <c r="D78" s="101"/>
      <c r="E78" s="121"/>
      <c r="F78" s="121"/>
      <c r="G78" s="121"/>
      <c r="H78" s="102"/>
      <c r="I78" s="103" t="str">
        <f t="shared" si="2"/>
        <v/>
      </c>
      <c r="J78" s="104"/>
      <c r="K78" s="105"/>
      <c r="L78" s="102"/>
      <c r="M78" s="106"/>
    </row>
    <row r="79" spans="1:13" x14ac:dyDescent="0.25">
      <c r="A79" s="75">
        <v>69</v>
      </c>
      <c r="B79" s="119" t="str">
        <f t="shared" si="3"/>
        <v/>
      </c>
      <c r="C79" s="120"/>
      <c r="D79" s="101"/>
      <c r="E79" s="121"/>
      <c r="F79" s="121"/>
      <c r="G79" s="121"/>
      <c r="H79" s="102"/>
      <c r="I79" s="103" t="str">
        <f t="shared" si="2"/>
        <v/>
      </c>
      <c r="J79" s="104"/>
      <c r="K79" s="105"/>
      <c r="L79" s="102"/>
      <c r="M79" s="106"/>
    </row>
    <row r="80" spans="1:13" x14ac:dyDescent="0.25">
      <c r="A80" s="75">
        <v>70</v>
      </c>
      <c r="B80" s="119" t="str">
        <f t="shared" si="3"/>
        <v/>
      </c>
      <c r="C80" s="120"/>
      <c r="D80" s="101"/>
      <c r="E80" s="121"/>
      <c r="F80" s="121"/>
      <c r="G80" s="121"/>
      <c r="H80" s="102"/>
      <c r="I80" s="103" t="str">
        <f t="shared" si="2"/>
        <v/>
      </c>
      <c r="J80" s="104"/>
      <c r="K80" s="105"/>
      <c r="L80" s="102"/>
      <c r="M80" s="106"/>
    </row>
    <row r="81" spans="1:13" x14ac:dyDescent="0.25">
      <c r="A81" s="75">
        <v>71</v>
      </c>
      <c r="B81" s="119" t="str">
        <f t="shared" si="3"/>
        <v/>
      </c>
      <c r="C81" s="120"/>
      <c r="D81" s="101"/>
      <c r="E81" s="121"/>
      <c r="F81" s="121"/>
      <c r="G81" s="121"/>
      <c r="H81" s="102"/>
      <c r="I81" s="103" t="str">
        <f t="shared" si="2"/>
        <v/>
      </c>
      <c r="J81" s="104"/>
      <c r="K81" s="105"/>
      <c r="L81" s="102"/>
      <c r="M81" s="106"/>
    </row>
    <row r="82" spans="1:13" x14ac:dyDescent="0.25">
      <c r="A82" s="75">
        <v>72</v>
      </c>
      <c r="B82" s="119" t="str">
        <f t="shared" si="3"/>
        <v/>
      </c>
      <c r="C82" s="120"/>
      <c r="D82" s="101"/>
      <c r="E82" s="121"/>
      <c r="F82" s="121"/>
      <c r="G82" s="121"/>
      <c r="H82" s="102"/>
      <c r="I82" s="103" t="str">
        <f t="shared" si="2"/>
        <v/>
      </c>
      <c r="J82" s="104"/>
      <c r="K82" s="105"/>
      <c r="L82" s="102"/>
      <c r="M82" s="106"/>
    </row>
    <row r="83" spans="1:13" x14ac:dyDescent="0.25">
      <c r="A83" s="75">
        <v>73</v>
      </c>
      <c r="B83" s="119" t="str">
        <f t="shared" si="3"/>
        <v/>
      </c>
      <c r="C83" s="120"/>
      <c r="D83" s="101"/>
      <c r="E83" s="121"/>
      <c r="F83" s="121"/>
      <c r="G83" s="121"/>
      <c r="H83" s="102"/>
      <c r="I83" s="103" t="str">
        <f t="shared" si="2"/>
        <v/>
      </c>
      <c r="J83" s="104"/>
      <c r="K83" s="105"/>
      <c r="L83" s="102"/>
      <c r="M83" s="106"/>
    </row>
    <row r="84" spans="1:13" x14ac:dyDescent="0.25">
      <c r="A84" s="75">
        <v>74</v>
      </c>
      <c r="B84" s="119" t="str">
        <f t="shared" si="3"/>
        <v/>
      </c>
      <c r="C84" s="120"/>
      <c r="D84" s="101"/>
      <c r="E84" s="121"/>
      <c r="F84" s="121"/>
      <c r="G84" s="121"/>
      <c r="H84" s="102"/>
      <c r="I84" s="103" t="str">
        <f t="shared" si="2"/>
        <v/>
      </c>
      <c r="J84" s="104"/>
      <c r="K84" s="105"/>
      <c r="L84" s="102"/>
      <c r="M84" s="106"/>
    </row>
    <row r="85" spans="1:13" x14ac:dyDescent="0.25">
      <c r="A85" s="75">
        <v>75</v>
      </c>
      <c r="B85" s="119" t="str">
        <f t="shared" si="3"/>
        <v/>
      </c>
      <c r="C85" s="120"/>
      <c r="D85" s="101"/>
      <c r="E85" s="121"/>
      <c r="F85" s="121"/>
      <c r="G85" s="121"/>
      <c r="H85" s="102"/>
      <c r="I85" s="103" t="str">
        <f t="shared" si="2"/>
        <v/>
      </c>
      <c r="J85" s="104"/>
      <c r="K85" s="105"/>
      <c r="L85" s="102"/>
      <c r="M85" s="106"/>
    </row>
    <row r="86" spans="1:13" x14ac:dyDescent="0.25">
      <c r="A86" s="75">
        <v>76</v>
      </c>
      <c r="B86" s="119" t="str">
        <f t="shared" si="3"/>
        <v/>
      </c>
      <c r="C86" s="120"/>
      <c r="D86" s="101"/>
      <c r="E86" s="121"/>
      <c r="F86" s="121"/>
      <c r="G86" s="121"/>
      <c r="H86" s="102"/>
      <c r="I86" s="103" t="str">
        <f t="shared" si="2"/>
        <v/>
      </c>
      <c r="J86" s="104"/>
      <c r="K86" s="105"/>
      <c r="L86" s="102"/>
      <c r="M86" s="106"/>
    </row>
    <row r="87" spans="1:13" x14ac:dyDescent="0.25">
      <c r="A87" s="75">
        <v>77</v>
      </c>
      <c r="B87" s="119" t="str">
        <f t="shared" si="3"/>
        <v/>
      </c>
      <c r="C87" s="120"/>
      <c r="D87" s="101"/>
      <c r="E87" s="121"/>
      <c r="F87" s="121"/>
      <c r="G87" s="121"/>
      <c r="H87" s="102"/>
      <c r="I87" s="103" t="str">
        <f t="shared" si="2"/>
        <v/>
      </c>
      <c r="J87" s="104"/>
      <c r="K87" s="105"/>
      <c r="L87" s="102"/>
      <c r="M87" s="106"/>
    </row>
    <row r="88" spans="1:13" x14ac:dyDescent="0.25">
      <c r="A88" s="75">
        <v>78</v>
      </c>
      <c r="B88" s="119" t="str">
        <f t="shared" si="3"/>
        <v/>
      </c>
      <c r="C88" s="120"/>
      <c r="D88" s="101"/>
      <c r="E88" s="121"/>
      <c r="F88" s="121"/>
      <c r="G88" s="121"/>
      <c r="H88" s="102"/>
      <c r="I88" s="103" t="str">
        <f t="shared" si="2"/>
        <v/>
      </c>
      <c r="J88" s="104"/>
      <c r="K88" s="105"/>
      <c r="L88" s="102"/>
      <c r="M88" s="106"/>
    </row>
    <row r="89" spans="1:13" x14ac:dyDescent="0.25">
      <c r="A89" s="75">
        <v>79</v>
      </c>
      <c r="B89" s="119" t="str">
        <f t="shared" si="3"/>
        <v/>
      </c>
      <c r="C89" s="120"/>
      <c r="D89" s="101"/>
      <c r="E89" s="121"/>
      <c r="F89" s="121"/>
      <c r="G89" s="121"/>
      <c r="H89" s="102"/>
      <c r="I89" s="103" t="str">
        <f t="shared" ref="I89:I110" si="4">IFERROR(IF(E89="","",VLOOKUP(H89,$O$11:$P$30,2,FALSE)),"ไม่พบข้อมูล")</f>
        <v/>
      </c>
      <c r="J89" s="104"/>
      <c r="K89" s="105"/>
      <c r="L89" s="102"/>
      <c r="M89" s="106"/>
    </row>
    <row r="90" spans="1:13" x14ac:dyDescent="0.25">
      <c r="A90" s="75">
        <v>80</v>
      </c>
      <c r="B90" s="119" t="str">
        <f t="shared" si="3"/>
        <v/>
      </c>
      <c r="C90" s="120"/>
      <c r="D90" s="101"/>
      <c r="E90" s="121"/>
      <c r="F90" s="121"/>
      <c r="G90" s="121"/>
      <c r="H90" s="102"/>
      <c r="I90" s="103" t="str">
        <f t="shared" si="4"/>
        <v/>
      </c>
      <c r="J90" s="104"/>
      <c r="K90" s="105"/>
      <c r="L90" s="102"/>
      <c r="M90" s="106"/>
    </row>
    <row r="91" spans="1:13" x14ac:dyDescent="0.25">
      <c r="A91" s="75">
        <v>81</v>
      </c>
      <c r="B91" s="119" t="str">
        <f t="shared" si="3"/>
        <v/>
      </c>
      <c r="C91" s="120"/>
      <c r="D91" s="101"/>
      <c r="E91" s="121"/>
      <c r="F91" s="121"/>
      <c r="G91" s="121"/>
      <c r="H91" s="102"/>
      <c r="I91" s="103" t="str">
        <f t="shared" si="4"/>
        <v/>
      </c>
      <c r="J91" s="104"/>
      <c r="K91" s="105"/>
      <c r="L91" s="102"/>
      <c r="M91" s="106"/>
    </row>
    <row r="92" spans="1:13" x14ac:dyDescent="0.25">
      <c r="A92" s="75">
        <v>82</v>
      </c>
      <c r="B92" s="119" t="str">
        <f t="shared" si="3"/>
        <v/>
      </c>
      <c r="C92" s="120"/>
      <c r="D92" s="101"/>
      <c r="E92" s="121"/>
      <c r="F92" s="121"/>
      <c r="G92" s="121"/>
      <c r="H92" s="102"/>
      <c r="I92" s="103" t="str">
        <f t="shared" si="4"/>
        <v/>
      </c>
      <c r="J92" s="104"/>
      <c r="K92" s="105"/>
      <c r="L92" s="102"/>
      <c r="M92" s="106"/>
    </row>
    <row r="93" spans="1:13" x14ac:dyDescent="0.25">
      <c r="A93" s="75">
        <v>83</v>
      </c>
      <c r="B93" s="119" t="str">
        <f t="shared" si="3"/>
        <v/>
      </c>
      <c r="C93" s="120"/>
      <c r="D93" s="101"/>
      <c r="E93" s="121"/>
      <c r="F93" s="121"/>
      <c r="G93" s="121"/>
      <c r="H93" s="102"/>
      <c r="I93" s="103" t="str">
        <f t="shared" si="4"/>
        <v/>
      </c>
      <c r="J93" s="104"/>
      <c r="K93" s="105"/>
      <c r="L93" s="102"/>
      <c r="M93" s="106"/>
    </row>
    <row r="94" spans="1:13" x14ac:dyDescent="0.25">
      <c r="A94" s="75">
        <v>84</v>
      </c>
      <c r="B94" s="119" t="str">
        <f t="shared" si="3"/>
        <v/>
      </c>
      <c r="C94" s="120"/>
      <c r="D94" s="101"/>
      <c r="E94" s="121"/>
      <c r="F94" s="121"/>
      <c r="G94" s="121"/>
      <c r="H94" s="102"/>
      <c r="I94" s="103" t="str">
        <f t="shared" si="4"/>
        <v/>
      </c>
      <c r="J94" s="104"/>
      <c r="K94" s="105"/>
      <c r="L94" s="102"/>
      <c r="M94" s="106"/>
    </row>
    <row r="95" spans="1:13" x14ac:dyDescent="0.25">
      <c r="A95" s="75">
        <v>85</v>
      </c>
      <c r="B95" s="119" t="str">
        <f t="shared" si="3"/>
        <v/>
      </c>
      <c r="C95" s="120"/>
      <c r="D95" s="101"/>
      <c r="E95" s="121"/>
      <c r="F95" s="121"/>
      <c r="G95" s="121"/>
      <c r="H95" s="102"/>
      <c r="I95" s="103" t="str">
        <f t="shared" si="4"/>
        <v/>
      </c>
      <c r="J95" s="104"/>
      <c r="K95" s="105"/>
      <c r="L95" s="102"/>
      <c r="M95" s="106"/>
    </row>
    <row r="96" spans="1:13" x14ac:dyDescent="0.25">
      <c r="A96" s="75">
        <v>86</v>
      </c>
      <c r="B96" s="119" t="str">
        <f t="shared" si="3"/>
        <v/>
      </c>
      <c r="C96" s="120"/>
      <c r="D96" s="101"/>
      <c r="E96" s="121"/>
      <c r="F96" s="121"/>
      <c r="G96" s="121"/>
      <c r="H96" s="102"/>
      <c r="I96" s="103" t="str">
        <f t="shared" si="4"/>
        <v/>
      </c>
      <c r="J96" s="104"/>
      <c r="K96" s="105"/>
      <c r="L96" s="102"/>
      <c r="M96" s="106"/>
    </row>
    <row r="97" spans="1:13" x14ac:dyDescent="0.25">
      <c r="A97" s="75">
        <v>87</v>
      </c>
      <c r="B97" s="119" t="str">
        <f t="shared" si="3"/>
        <v/>
      </c>
      <c r="C97" s="120"/>
      <c r="D97" s="101"/>
      <c r="E97" s="121"/>
      <c r="F97" s="121"/>
      <c r="G97" s="121"/>
      <c r="H97" s="102"/>
      <c r="I97" s="103" t="str">
        <f t="shared" si="4"/>
        <v/>
      </c>
      <c r="J97" s="104"/>
      <c r="K97" s="105"/>
      <c r="L97" s="102"/>
      <c r="M97" s="106"/>
    </row>
    <row r="98" spans="1:13" x14ac:dyDescent="0.25">
      <c r="A98" s="75">
        <v>88</v>
      </c>
      <c r="B98" s="119" t="str">
        <f t="shared" si="3"/>
        <v/>
      </c>
      <c r="C98" s="120"/>
      <c r="D98" s="101"/>
      <c r="E98" s="121"/>
      <c r="F98" s="121"/>
      <c r="G98" s="121"/>
      <c r="H98" s="102"/>
      <c r="I98" s="103" t="str">
        <f t="shared" si="4"/>
        <v/>
      </c>
      <c r="J98" s="104"/>
      <c r="K98" s="105"/>
      <c r="L98" s="102"/>
      <c r="M98" s="106"/>
    </row>
    <row r="99" spans="1:13" x14ac:dyDescent="0.25">
      <c r="A99" s="75">
        <v>89</v>
      </c>
      <c r="B99" s="119" t="str">
        <f t="shared" si="3"/>
        <v/>
      </c>
      <c r="C99" s="120"/>
      <c r="D99" s="101"/>
      <c r="E99" s="121"/>
      <c r="F99" s="121"/>
      <c r="G99" s="121"/>
      <c r="H99" s="102"/>
      <c r="I99" s="103" t="str">
        <f t="shared" si="4"/>
        <v/>
      </c>
      <c r="J99" s="104"/>
      <c r="K99" s="105"/>
      <c r="L99" s="102"/>
      <c r="M99" s="106"/>
    </row>
    <row r="100" spans="1:13" x14ac:dyDescent="0.25">
      <c r="A100" s="75">
        <v>90</v>
      </c>
      <c r="B100" s="119" t="str">
        <f t="shared" si="3"/>
        <v/>
      </c>
      <c r="C100" s="120"/>
      <c r="D100" s="101"/>
      <c r="E100" s="121"/>
      <c r="F100" s="121"/>
      <c r="G100" s="121"/>
      <c r="H100" s="102"/>
      <c r="I100" s="103" t="str">
        <f t="shared" si="4"/>
        <v/>
      </c>
      <c r="J100" s="104"/>
      <c r="K100" s="105"/>
      <c r="L100" s="102"/>
      <c r="M100" s="106"/>
    </row>
    <row r="101" spans="1:13" x14ac:dyDescent="0.25">
      <c r="A101" s="75">
        <v>91</v>
      </c>
      <c r="B101" s="119" t="str">
        <f t="shared" si="3"/>
        <v/>
      </c>
      <c r="C101" s="120"/>
      <c r="D101" s="101"/>
      <c r="E101" s="121"/>
      <c r="F101" s="121"/>
      <c r="G101" s="121"/>
      <c r="H101" s="102"/>
      <c r="I101" s="103" t="str">
        <f t="shared" si="4"/>
        <v/>
      </c>
      <c r="J101" s="104"/>
      <c r="K101" s="105"/>
      <c r="L101" s="102"/>
      <c r="M101" s="106"/>
    </row>
    <row r="102" spans="1:13" x14ac:dyDescent="0.25">
      <c r="A102" s="75">
        <v>92</v>
      </c>
      <c r="B102" s="119" t="str">
        <f t="shared" si="3"/>
        <v/>
      </c>
      <c r="C102" s="120"/>
      <c r="D102" s="101"/>
      <c r="E102" s="121"/>
      <c r="F102" s="121"/>
      <c r="G102" s="121"/>
      <c r="H102" s="102"/>
      <c r="I102" s="103" t="str">
        <f t="shared" si="4"/>
        <v/>
      </c>
      <c r="J102" s="104"/>
      <c r="K102" s="105"/>
      <c r="L102" s="102"/>
      <c r="M102" s="106"/>
    </row>
    <row r="103" spans="1:13" x14ac:dyDescent="0.25">
      <c r="A103" s="75">
        <v>93</v>
      </c>
      <c r="B103" s="119" t="str">
        <f t="shared" si="3"/>
        <v/>
      </c>
      <c r="C103" s="120"/>
      <c r="D103" s="101"/>
      <c r="E103" s="121"/>
      <c r="F103" s="121"/>
      <c r="G103" s="121"/>
      <c r="H103" s="102"/>
      <c r="I103" s="103" t="str">
        <f t="shared" si="4"/>
        <v/>
      </c>
      <c r="J103" s="104"/>
      <c r="K103" s="105"/>
      <c r="L103" s="102"/>
      <c r="M103" s="106"/>
    </row>
    <row r="104" spans="1:13" x14ac:dyDescent="0.25">
      <c r="A104" s="75">
        <v>94</v>
      </c>
      <c r="B104" s="119" t="str">
        <f t="shared" si="3"/>
        <v/>
      </c>
      <c r="C104" s="120"/>
      <c r="D104" s="101"/>
      <c r="E104" s="121"/>
      <c r="F104" s="121"/>
      <c r="G104" s="121"/>
      <c r="H104" s="102"/>
      <c r="I104" s="103" t="str">
        <f t="shared" si="4"/>
        <v/>
      </c>
      <c r="J104" s="104"/>
      <c r="K104" s="105"/>
      <c r="L104" s="102"/>
      <c r="M104" s="106"/>
    </row>
    <row r="105" spans="1:13" x14ac:dyDescent="0.25">
      <c r="A105" s="75">
        <v>95</v>
      </c>
      <c r="B105" s="119" t="str">
        <f t="shared" si="3"/>
        <v/>
      </c>
      <c r="C105" s="120"/>
      <c r="D105" s="101"/>
      <c r="E105" s="121"/>
      <c r="F105" s="121"/>
      <c r="G105" s="121"/>
      <c r="H105" s="102"/>
      <c r="I105" s="103" t="str">
        <f t="shared" si="4"/>
        <v/>
      </c>
      <c r="J105" s="104"/>
      <c r="K105" s="105"/>
      <c r="L105" s="102"/>
      <c r="M105" s="106"/>
    </row>
    <row r="106" spans="1:13" x14ac:dyDescent="0.25">
      <c r="A106" s="75">
        <v>96</v>
      </c>
      <c r="B106" s="119" t="str">
        <f t="shared" si="3"/>
        <v/>
      </c>
      <c r="C106" s="120"/>
      <c r="D106" s="101"/>
      <c r="E106" s="121"/>
      <c r="F106" s="121"/>
      <c r="G106" s="121"/>
      <c r="H106" s="102"/>
      <c r="I106" s="103" t="str">
        <f t="shared" si="4"/>
        <v/>
      </c>
      <c r="J106" s="104"/>
      <c r="K106" s="105"/>
      <c r="L106" s="102"/>
      <c r="M106" s="106"/>
    </row>
    <row r="107" spans="1:13" x14ac:dyDescent="0.25">
      <c r="A107" s="75">
        <v>97</v>
      </c>
      <c r="B107" s="119" t="str">
        <f t="shared" si="3"/>
        <v/>
      </c>
      <c r="C107" s="120"/>
      <c r="D107" s="101"/>
      <c r="E107" s="121"/>
      <c r="F107" s="121"/>
      <c r="G107" s="121"/>
      <c r="H107" s="102"/>
      <c r="I107" s="103" t="str">
        <f t="shared" si="4"/>
        <v/>
      </c>
      <c r="J107" s="104"/>
      <c r="K107" s="105"/>
      <c r="L107" s="102"/>
      <c r="M107" s="106"/>
    </row>
    <row r="108" spans="1:13" x14ac:dyDescent="0.25">
      <c r="A108" s="75">
        <v>98</v>
      </c>
      <c r="B108" s="119" t="str">
        <f t="shared" si="3"/>
        <v/>
      </c>
      <c r="C108" s="120"/>
      <c r="D108" s="101"/>
      <c r="E108" s="121"/>
      <c r="F108" s="121"/>
      <c r="G108" s="121"/>
      <c r="H108" s="102"/>
      <c r="I108" s="103" t="str">
        <f t="shared" si="4"/>
        <v/>
      </c>
      <c r="J108" s="104"/>
      <c r="K108" s="105"/>
      <c r="L108" s="102"/>
      <c r="M108" s="106"/>
    </row>
    <row r="109" spans="1:13" x14ac:dyDescent="0.25">
      <c r="A109" s="75">
        <v>99</v>
      </c>
      <c r="B109" s="119" t="str">
        <f t="shared" si="3"/>
        <v/>
      </c>
      <c r="C109" s="120"/>
      <c r="D109" s="101"/>
      <c r="E109" s="121"/>
      <c r="F109" s="121"/>
      <c r="G109" s="121"/>
      <c r="H109" s="102"/>
      <c r="I109" s="103" t="str">
        <f t="shared" si="4"/>
        <v/>
      </c>
      <c r="J109" s="104"/>
      <c r="K109" s="105"/>
      <c r="L109" s="102"/>
      <c r="M109" s="106"/>
    </row>
    <row r="110" spans="1:13" ht="18.75" thickBot="1" x14ac:dyDescent="0.3">
      <c r="A110" s="75">
        <v>100</v>
      </c>
      <c r="B110" s="135" t="str">
        <f t="shared" si="3"/>
        <v/>
      </c>
      <c r="C110" s="136"/>
      <c r="D110" s="108"/>
      <c r="E110" s="137"/>
      <c r="F110" s="137"/>
      <c r="G110" s="137"/>
      <c r="H110" s="109"/>
      <c r="I110" s="110" t="str">
        <f t="shared" si="4"/>
        <v/>
      </c>
      <c r="J110" s="111"/>
      <c r="K110" s="112"/>
      <c r="L110" s="109"/>
      <c r="M110" s="113"/>
    </row>
  </sheetData>
  <sheetProtection algorithmName="SHA-512" hashValue="F5EvSYQUymIMH9hrDCE5DHGpPDMHsJZPrL8Pyjcs6dUcBroycuEdqr1iVcgIP0RbrUZ05XiIHNU8Xc8yZYIVjg==" saltValue="VrmvMR0i4D8d+q7zPmgcEQ==" spinCount="100000" sheet="1" objects="1" scenarios="1"/>
  <mergeCells count="208">
    <mergeCell ref="B109:C109"/>
    <mergeCell ref="E109:G109"/>
    <mergeCell ref="B110:C110"/>
    <mergeCell ref="E110:G110"/>
    <mergeCell ref="B106:C106"/>
    <mergeCell ref="E106:G106"/>
    <mergeCell ref="B107:C107"/>
    <mergeCell ref="E107:G107"/>
    <mergeCell ref="B108:C108"/>
    <mergeCell ref="E108:G108"/>
    <mergeCell ref="B103:C103"/>
    <mergeCell ref="E103:G103"/>
    <mergeCell ref="B104:C104"/>
    <mergeCell ref="E104:G104"/>
    <mergeCell ref="B105:C105"/>
    <mergeCell ref="E105:G105"/>
    <mergeCell ref="B100:C100"/>
    <mergeCell ref="E100:G100"/>
    <mergeCell ref="B101:C101"/>
    <mergeCell ref="E101:G101"/>
    <mergeCell ref="B102:C102"/>
    <mergeCell ref="E102:G102"/>
    <mergeCell ref="B97:C97"/>
    <mergeCell ref="E97:G97"/>
    <mergeCell ref="B98:C98"/>
    <mergeCell ref="E98:G98"/>
    <mergeCell ref="B99:C99"/>
    <mergeCell ref="E99:G99"/>
    <mergeCell ref="B94:C94"/>
    <mergeCell ref="E94:G94"/>
    <mergeCell ref="B95:C95"/>
    <mergeCell ref="E95:G95"/>
    <mergeCell ref="B96:C96"/>
    <mergeCell ref="E96:G96"/>
    <mergeCell ref="B91:C91"/>
    <mergeCell ref="E91:G91"/>
    <mergeCell ref="B92:C92"/>
    <mergeCell ref="E92:G92"/>
    <mergeCell ref="B93:C93"/>
    <mergeCell ref="E93:G93"/>
    <mergeCell ref="B88:C88"/>
    <mergeCell ref="E88:G88"/>
    <mergeCell ref="B89:C89"/>
    <mergeCell ref="E89:G89"/>
    <mergeCell ref="B90:C90"/>
    <mergeCell ref="E90:G90"/>
    <mergeCell ref="B85:C85"/>
    <mergeCell ref="E85:G85"/>
    <mergeCell ref="B86:C86"/>
    <mergeCell ref="E86:G86"/>
    <mergeCell ref="B87:C87"/>
    <mergeCell ref="E87:G87"/>
    <mergeCell ref="B82:C82"/>
    <mergeCell ref="E82:G82"/>
    <mergeCell ref="B83:C83"/>
    <mergeCell ref="E83:G83"/>
    <mergeCell ref="B84:C84"/>
    <mergeCell ref="E84:G84"/>
    <mergeCell ref="B79:C79"/>
    <mergeCell ref="E79:G79"/>
    <mergeCell ref="B80:C80"/>
    <mergeCell ref="E80:G80"/>
    <mergeCell ref="B81:C81"/>
    <mergeCell ref="E81:G81"/>
    <mergeCell ref="B76:C76"/>
    <mergeCell ref="E76:G76"/>
    <mergeCell ref="B77:C77"/>
    <mergeCell ref="E77:G77"/>
    <mergeCell ref="B78:C78"/>
    <mergeCell ref="E78:G78"/>
    <mergeCell ref="B73:C73"/>
    <mergeCell ref="E73:G73"/>
    <mergeCell ref="B74:C74"/>
    <mergeCell ref="E74:G74"/>
    <mergeCell ref="B75:C75"/>
    <mergeCell ref="E75:G75"/>
    <mergeCell ref="B70:C70"/>
    <mergeCell ref="E70:G70"/>
    <mergeCell ref="B71:C71"/>
    <mergeCell ref="E71:G71"/>
    <mergeCell ref="B72:C72"/>
    <mergeCell ref="E72:G72"/>
    <mergeCell ref="B67:C67"/>
    <mergeCell ref="E67:G67"/>
    <mergeCell ref="B68:C68"/>
    <mergeCell ref="E68:G68"/>
    <mergeCell ref="B69:C69"/>
    <mergeCell ref="E69:G69"/>
    <mergeCell ref="B64:C64"/>
    <mergeCell ref="E64:G64"/>
    <mergeCell ref="B65:C65"/>
    <mergeCell ref="E65:G65"/>
    <mergeCell ref="B66:C66"/>
    <mergeCell ref="E66:G66"/>
    <mergeCell ref="B61:C61"/>
    <mergeCell ref="E61:G61"/>
    <mergeCell ref="B62:C62"/>
    <mergeCell ref="E62:G62"/>
    <mergeCell ref="B63:C63"/>
    <mergeCell ref="E63:G63"/>
    <mergeCell ref="B58:C58"/>
    <mergeCell ref="E58:G58"/>
    <mergeCell ref="B59:C59"/>
    <mergeCell ref="E59:G59"/>
    <mergeCell ref="B60:C60"/>
    <mergeCell ref="E60:G60"/>
    <mergeCell ref="B55:C55"/>
    <mergeCell ref="E55:G55"/>
    <mergeCell ref="B56:C56"/>
    <mergeCell ref="E56:G56"/>
    <mergeCell ref="B57:C57"/>
    <mergeCell ref="E57:G57"/>
    <mergeCell ref="B52:C52"/>
    <mergeCell ref="E52:G52"/>
    <mergeCell ref="B53:C53"/>
    <mergeCell ref="E53:G53"/>
    <mergeCell ref="B54:C54"/>
    <mergeCell ref="E54:G54"/>
    <mergeCell ref="B49:C49"/>
    <mergeCell ref="E49:G49"/>
    <mergeCell ref="B50:C50"/>
    <mergeCell ref="E50:G50"/>
    <mergeCell ref="B51:C51"/>
    <mergeCell ref="E51:G51"/>
    <mergeCell ref="B46:C46"/>
    <mergeCell ref="E46:G46"/>
    <mergeCell ref="B47:C47"/>
    <mergeCell ref="E47:G47"/>
    <mergeCell ref="B48:C48"/>
    <mergeCell ref="E48:G48"/>
    <mergeCell ref="B43:C43"/>
    <mergeCell ref="E43:G43"/>
    <mergeCell ref="B44:C44"/>
    <mergeCell ref="E44:G44"/>
    <mergeCell ref="B45:C45"/>
    <mergeCell ref="E45:G45"/>
    <mergeCell ref="B40:C40"/>
    <mergeCell ref="E40:G40"/>
    <mergeCell ref="B41:C41"/>
    <mergeCell ref="E41:G41"/>
    <mergeCell ref="B42:C42"/>
    <mergeCell ref="E42:G42"/>
    <mergeCell ref="B37:C37"/>
    <mergeCell ref="E37:G37"/>
    <mergeCell ref="B38:C38"/>
    <mergeCell ref="E38:G38"/>
    <mergeCell ref="B39:C39"/>
    <mergeCell ref="E39:G39"/>
    <mergeCell ref="B34:C34"/>
    <mergeCell ref="E34:G34"/>
    <mergeCell ref="B35:C35"/>
    <mergeCell ref="E35:G35"/>
    <mergeCell ref="B36:C36"/>
    <mergeCell ref="E36:G36"/>
    <mergeCell ref="J3:K4"/>
    <mergeCell ref="B26:C26"/>
    <mergeCell ref="E26:G26"/>
    <mergeCell ref="B20:C20"/>
    <mergeCell ref="E20:G20"/>
    <mergeCell ref="B21:C21"/>
    <mergeCell ref="G7:H7"/>
    <mergeCell ref="G8:H8"/>
    <mergeCell ref="B12:C12"/>
    <mergeCell ref="E12:G12"/>
    <mergeCell ref="B13:C13"/>
    <mergeCell ref="E13:G13"/>
    <mergeCell ref="B10:C10"/>
    <mergeCell ref="B11:C11"/>
    <mergeCell ref="E10:G10"/>
    <mergeCell ref="E11:G11"/>
    <mergeCell ref="B24:C24"/>
    <mergeCell ref="E24:G24"/>
    <mergeCell ref="B25:C25"/>
    <mergeCell ref="E25:G25"/>
    <mergeCell ref="B33:C33"/>
    <mergeCell ref="E33:G33"/>
    <mergeCell ref="B30:C30"/>
    <mergeCell ref="E30:G30"/>
    <mergeCell ref="B31:C31"/>
    <mergeCell ref="E31:G31"/>
    <mergeCell ref="B14:C14"/>
    <mergeCell ref="E14:G14"/>
    <mergeCell ref="B15:C15"/>
    <mergeCell ref="E15:G15"/>
    <mergeCell ref="E1:G1"/>
    <mergeCell ref="B7:C8"/>
    <mergeCell ref="E7:F8"/>
    <mergeCell ref="B32:C32"/>
    <mergeCell ref="E32:G32"/>
    <mergeCell ref="B28:C28"/>
    <mergeCell ref="E28:G28"/>
    <mergeCell ref="B29:C29"/>
    <mergeCell ref="E29:G29"/>
    <mergeCell ref="E21:G21"/>
    <mergeCell ref="B18:C18"/>
    <mergeCell ref="E18:G18"/>
    <mergeCell ref="B19:C19"/>
    <mergeCell ref="E19:G19"/>
    <mergeCell ref="B16:C16"/>
    <mergeCell ref="E16:G16"/>
    <mergeCell ref="B27:C27"/>
    <mergeCell ref="E27:G27"/>
    <mergeCell ref="B22:C22"/>
    <mergeCell ref="E22:G22"/>
    <mergeCell ref="B23:C23"/>
    <mergeCell ref="E23:G23"/>
    <mergeCell ref="B17:C17"/>
    <mergeCell ref="E17:G17"/>
  </mergeCells>
  <conditionalFormatting sqref="B11:D110">
    <cfRule type="cellIs" dxfId="3" priority="4" operator="equal">
      <formula>0</formula>
    </cfRule>
  </conditionalFormatting>
  <conditionalFormatting sqref="E11:H110 J11:J110 L11:L110">
    <cfRule type="cellIs" dxfId="2" priority="3" operator="equal">
      <formula>0</formula>
    </cfRule>
  </conditionalFormatting>
  <conditionalFormatting sqref="I11:I110 K11:K110">
    <cfRule type="cellIs" dxfId="1" priority="2" operator="equal">
      <formula>0</formula>
    </cfRule>
  </conditionalFormatting>
  <conditionalFormatting sqref="M11:M11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ASSB">
                <anchor moveWithCells="1" sizeWithCells="1">
                  <from>
                    <xdr:col>10</xdr:col>
                    <xdr:colOff>190500</xdr:colOff>
                    <xdr:row>4</xdr:row>
                    <xdr:rowOff>133350</xdr:rowOff>
                  </from>
                  <to>
                    <xdr:col>11</xdr:col>
                    <xdr:colOff>295275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cASSB">
                <anchor moveWithCells="1" sizeWithCells="1">
                  <from>
                    <xdr:col>10</xdr:col>
                    <xdr:colOff>190500</xdr:colOff>
                    <xdr:row>6</xdr:row>
                    <xdr:rowOff>142875</xdr:rowOff>
                  </from>
                  <to>
                    <xdr:col>11</xdr:col>
                    <xdr:colOff>295275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earchASSB">
                <anchor moveWithCells="1" sizeWithCells="1">
                  <from>
                    <xdr:col>8</xdr:col>
                    <xdr:colOff>828675</xdr:colOff>
                    <xdr:row>4</xdr:row>
                    <xdr:rowOff>142875</xdr:rowOff>
                  </from>
                  <to>
                    <xdr:col>10</xdr:col>
                    <xdr:colOff>114300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clearhASSB">
                <anchor moveWithCells="1" sizeWithCells="1">
                  <from>
                    <xdr:col>8</xdr:col>
                    <xdr:colOff>828675</xdr:colOff>
                    <xdr:row>6</xdr:row>
                    <xdr:rowOff>142875</xdr:rowOff>
                  </from>
                  <to>
                    <xdr:col>10</xdr:col>
                    <xdr:colOff>114300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updateASSB">
                <anchor moveWithCells="1" sizeWithCells="1">
                  <from>
                    <xdr:col>11</xdr:col>
                    <xdr:colOff>381000</xdr:colOff>
                    <xdr:row>1</xdr:row>
                    <xdr:rowOff>0</xdr:rowOff>
                  </from>
                  <to>
                    <xdr:col>12</xdr:col>
                    <xdr:colOff>666750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Y999"/>
  <sheetViews>
    <sheetView topLeftCell="R1" workbookViewId="0">
      <pane ySplit="3" topLeftCell="A4" activePane="bottomLeft" state="frozen"/>
      <selection pane="bottomLeft" activeCell="X5" sqref="X5:X999"/>
    </sheetView>
  </sheetViews>
  <sheetFormatPr defaultRowHeight="14.25" x14ac:dyDescent="0.2"/>
  <cols>
    <col min="1" max="1" width="9.125" style="2"/>
    <col min="2" max="5" width="12.125" style="6" customWidth="1"/>
    <col min="6" max="10" width="9.125" style="2"/>
    <col min="11" max="11" width="10.25" style="2" customWidth="1"/>
    <col min="12" max="12" width="9.125" style="2"/>
    <col min="13" max="13" width="10.375" style="2" customWidth="1"/>
    <col min="14" max="14" width="23.25" style="2" customWidth="1"/>
    <col min="15" max="15" width="18" style="2" customWidth="1"/>
    <col min="16" max="17" width="13.125" style="5" customWidth="1"/>
    <col min="18" max="20" width="13.125" style="2" customWidth="1"/>
    <col min="21" max="21" width="9.125" style="2"/>
    <col min="22" max="22" width="11" style="6" customWidth="1"/>
    <col min="23" max="23" width="13" style="3" customWidth="1"/>
    <col min="24" max="24" width="14.875" style="23" customWidth="1"/>
  </cols>
  <sheetData>
    <row r="1" spans="1:25" ht="19.5" x14ac:dyDescent="0.25">
      <c r="A1" s="10" t="s">
        <v>0</v>
      </c>
      <c r="B1" s="38"/>
      <c r="C1" s="35">
        <v>3</v>
      </c>
      <c r="D1" s="35">
        <v>4</v>
      </c>
      <c r="E1" s="35">
        <v>5</v>
      </c>
      <c r="F1" s="35">
        <v>6</v>
      </c>
      <c r="G1" s="35">
        <v>7</v>
      </c>
      <c r="H1" s="35">
        <v>8</v>
      </c>
      <c r="I1" s="35">
        <v>9</v>
      </c>
      <c r="J1" s="35">
        <v>10</v>
      </c>
      <c r="K1" s="35">
        <v>11</v>
      </c>
      <c r="L1" s="35">
        <v>12</v>
      </c>
      <c r="M1" s="35">
        <v>13</v>
      </c>
      <c r="N1" s="35">
        <v>14</v>
      </c>
      <c r="O1" s="35">
        <v>15</v>
      </c>
      <c r="P1" s="35">
        <v>16</v>
      </c>
      <c r="Q1" s="35">
        <v>17</v>
      </c>
      <c r="R1" s="35">
        <v>18</v>
      </c>
      <c r="S1" s="35">
        <v>19</v>
      </c>
      <c r="T1" s="35">
        <v>20</v>
      </c>
      <c r="U1" s="35">
        <v>21</v>
      </c>
      <c r="V1" s="35">
        <v>22</v>
      </c>
      <c r="W1" s="35">
        <v>23</v>
      </c>
      <c r="X1" s="22"/>
    </row>
    <row r="2" spans="1:25" x14ac:dyDescent="0.2">
      <c r="A2" s="11"/>
      <c r="B2" s="39" t="s">
        <v>481</v>
      </c>
      <c r="C2" s="12"/>
      <c r="D2" s="12"/>
      <c r="E2" s="12"/>
      <c r="F2" s="11"/>
      <c r="G2" s="141" t="s">
        <v>5</v>
      </c>
      <c r="H2" s="138"/>
      <c r="I2" s="138"/>
      <c r="J2" s="138"/>
      <c r="K2" s="13"/>
      <c r="L2" s="14" t="s">
        <v>7</v>
      </c>
      <c r="M2" s="139" t="s">
        <v>0</v>
      </c>
      <c r="N2" s="140"/>
      <c r="O2" s="140"/>
      <c r="P2" s="140"/>
      <c r="Q2" s="141"/>
      <c r="R2" s="138" t="s">
        <v>9</v>
      </c>
      <c r="S2" s="138"/>
      <c r="T2" s="138"/>
      <c r="U2" s="138"/>
      <c r="V2" s="138"/>
      <c r="W2" s="139"/>
      <c r="X2" s="25" t="s">
        <v>458</v>
      </c>
    </row>
    <row r="3" spans="1:25" x14ac:dyDescent="0.2">
      <c r="A3" s="15" t="s">
        <v>1</v>
      </c>
      <c r="B3" s="16" t="s">
        <v>1153</v>
      </c>
      <c r="C3" s="16" t="s">
        <v>2</v>
      </c>
      <c r="D3" s="16" t="s">
        <v>3</v>
      </c>
      <c r="E3" s="16" t="s">
        <v>4</v>
      </c>
      <c r="F3" s="15" t="s">
        <v>10</v>
      </c>
      <c r="G3" s="17" t="s">
        <v>11</v>
      </c>
      <c r="H3" s="18" t="s">
        <v>12</v>
      </c>
      <c r="I3" s="18" t="s">
        <v>13</v>
      </c>
      <c r="J3" s="18" t="s">
        <v>14</v>
      </c>
      <c r="K3" s="19" t="s">
        <v>6</v>
      </c>
      <c r="L3" s="15" t="s">
        <v>15</v>
      </c>
      <c r="M3" s="17" t="s">
        <v>8</v>
      </c>
      <c r="N3" s="18" t="s">
        <v>16</v>
      </c>
      <c r="O3" s="18" t="s">
        <v>17</v>
      </c>
      <c r="P3" s="20" t="s">
        <v>18</v>
      </c>
      <c r="Q3" s="20" t="s">
        <v>19</v>
      </c>
      <c r="R3" s="18" t="s">
        <v>20</v>
      </c>
      <c r="S3" s="18" t="s">
        <v>21</v>
      </c>
      <c r="T3" s="18" t="s">
        <v>22</v>
      </c>
      <c r="U3" s="18" t="s">
        <v>23</v>
      </c>
      <c r="V3" s="21" t="s">
        <v>24</v>
      </c>
      <c r="W3" s="19" t="s">
        <v>25</v>
      </c>
      <c r="X3" s="26" t="s">
        <v>459</v>
      </c>
      <c r="Y3" s="33"/>
    </row>
    <row r="4" spans="1:25" x14ac:dyDescent="0.2">
      <c r="A4" s="7">
        <v>1700000</v>
      </c>
      <c r="B4" s="9"/>
      <c r="C4" s="9"/>
      <c r="D4" s="9"/>
      <c r="E4" s="9"/>
      <c r="F4" s="4" t="s">
        <v>93</v>
      </c>
      <c r="G4" s="4" t="s">
        <v>93</v>
      </c>
      <c r="H4" s="4" t="s">
        <v>93</v>
      </c>
      <c r="I4" s="4" t="s">
        <v>93</v>
      </c>
      <c r="J4" s="4" t="s">
        <v>93</v>
      </c>
      <c r="K4" s="2" t="s">
        <v>709</v>
      </c>
      <c r="L4" s="4"/>
      <c r="N4" s="2" t="s">
        <v>1428</v>
      </c>
      <c r="X4" s="24"/>
    </row>
    <row r="5" spans="1:25" x14ac:dyDescent="0.2">
      <c r="A5" s="8">
        <v>1701001</v>
      </c>
      <c r="B5" s="6">
        <v>42742.614865509262</v>
      </c>
      <c r="C5" s="6">
        <v>42742.729352430557</v>
      </c>
      <c r="E5" s="6">
        <v>42748.414389583333</v>
      </c>
      <c r="F5" s="2" t="s">
        <v>26</v>
      </c>
      <c r="G5" s="2" t="s">
        <v>26</v>
      </c>
      <c r="H5" s="2" t="s">
        <v>26</v>
      </c>
      <c r="I5" s="2" t="s">
        <v>26</v>
      </c>
      <c r="J5" s="2" t="s">
        <v>26</v>
      </c>
      <c r="K5" s="2" t="s">
        <v>8</v>
      </c>
      <c r="L5" s="2" t="s">
        <v>27</v>
      </c>
      <c r="M5" s="2" t="s">
        <v>28</v>
      </c>
      <c r="N5" s="2" t="s">
        <v>29</v>
      </c>
      <c r="P5" s="5">
        <v>833816926</v>
      </c>
      <c r="R5" s="2" t="s">
        <v>30</v>
      </c>
      <c r="S5" s="2" t="s">
        <v>31</v>
      </c>
      <c r="T5" s="2" t="s">
        <v>32</v>
      </c>
      <c r="U5" s="2">
        <v>2015</v>
      </c>
      <c r="V5" s="6">
        <v>43010</v>
      </c>
      <c r="W5" s="3" t="s">
        <v>33</v>
      </c>
    </row>
    <row r="6" spans="1:25" x14ac:dyDescent="0.2">
      <c r="A6" s="8">
        <v>1701002</v>
      </c>
      <c r="B6" s="6">
        <v>42742.619375578703</v>
      </c>
      <c r="C6" s="6">
        <v>42742.733274999999</v>
      </c>
      <c r="E6" s="6">
        <v>42753.720440856479</v>
      </c>
      <c r="F6" s="2" t="s">
        <v>26</v>
      </c>
      <c r="G6" s="2" t="s">
        <v>26</v>
      </c>
      <c r="H6" s="2" t="s">
        <v>26</v>
      </c>
      <c r="I6" s="2" t="s">
        <v>26</v>
      </c>
      <c r="J6" s="2" t="s">
        <v>26</v>
      </c>
      <c r="K6" s="2" t="s">
        <v>8</v>
      </c>
      <c r="L6" s="2" t="s">
        <v>34</v>
      </c>
      <c r="M6" s="2" t="s">
        <v>28</v>
      </c>
      <c r="N6" s="2" t="s">
        <v>35</v>
      </c>
      <c r="P6" s="5">
        <v>808145938</v>
      </c>
      <c r="Q6" s="5">
        <v>870700499</v>
      </c>
      <c r="R6" s="2" t="s">
        <v>36</v>
      </c>
      <c r="S6" s="2" t="s">
        <v>37</v>
      </c>
      <c r="T6" s="2" t="s">
        <v>38</v>
      </c>
      <c r="U6" s="2">
        <v>2013</v>
      </c>
      <c r="V6" s="6">
        <v>42815</v>
      </c>
      <c r="W6" s="3" t="s">
        <v>39</v>
      </c>
      <c r="X6" s="23">
        <v>3800</v>
      </c>
    </row>
    <row r="7" spans="1:25" x14ac:dyDescent="0.2">
      <c r="A7" s="8">
        <v>1701003</v>
      </c>
      <c r="B7" s="6">
        <v>42742.621517245374</v>
      </c>
      <c r="C7" s="6">
        <v>42742.735475810186</v>
      </c>
      <c r="E7" s="6">
        <v>42747.653147453704</v>
      </c>
      <c r="F7" s="2" t="s">
        <v>26</v>
      </c>
      <c r="G7" s="2" t="s">
        <v>26</v>
      </c>
      <c r="H7" s="2" t="s">
        <v>26</v>
      </c>
      <c r="I7" s="2" t="s">
        <v>26</v>
      </c>
      <c r="J7" s="2" t="s">
        <v>26</v>
      </c>
      <c r="K7" s="2" t="s">
        <v>8</v>
      </c>
      <c r="L7" s="2" t="e">
        <v>#N/A</v>
      </c>
      <c r="M7" s="2" t="s">
        <v>28</v>
      </c>
      <c r="N7" s="2" t="s">
        <v>40</v>
      </c>
      <c r="O7" s="2" t="s">
        <v>41</v>
      </c>
      <c r="P7" s="5">
        <v>991276039</v>
      </c>
      <c r="Q7" s="5">
        <v>23951075</v>
      </c>
      <c r="R7" s="2" t="s">
        <v>42</v>
      </c>
      <c r="S7" s="2" t="s">
        <v>31</v>
      </c>
      <c r="T7" s="2" t="s">
        <v>43</v>
      </c>
      <c r="U7" s="2">
        <v>2008</v>
      </c>
      <c r="V7" s="6">
        <v>43022</v>
      </c>
      <c r="W7" s="3" t="s">
        <v>44</v>
      </c>
      <c r="X7" s="23">
        <v>33375</v>
      </c>
    </row>
    <row r="8" spans="1:25" x14ac:dyDescent="0.2">
      <c r="A8" s="8">
        <v>1701004</v>
      </c>
      <c r="B8" s="6">
        <v>42742.622799421297</v>
      </c>
      <c r="C8" s="6">
        <v>42742.727351388887</v>
      </c>
      <c r="E8" s="6">
        <v>42748.685693634259</v>
      </c>
      <c r="F8" s="2" t="s">
        <v>26</v>
      </c>
      <c r="G8" s="2" t="s">
        <v>26</v>
      </c>
      <c r="H8" s="2" t="s">
        <v>26</v>
      </c>
      <c r="I8" s="2" t="s">
        <v>26</v>
      </c>
      <c r="J8" s="2" t="s">
        <v>26</v>
      </c>
      <c r="K8" s="2" t="s">
        <v>8</v>
      </c>
      <c r="L8" s="2" t="s">
        <v>34</v>
      </c>
      <c r="M8" s="2" t="s">
        <v>45</v>
      </c>
      <c r="N8" s="2" t="s">
        <v>46</v>
      </c>
      <c r="O8" s="2" t="s">
        <v>47</v>
      </c>
      <c r="P8" s="5">
        <v>869887997</v>
      </c>
      <c r="Q8" s="5">
        <v>940513824</v>
      </c>
      <c r="R8" s="2" t="s">
        <v>48</v>
      </c>
      <c r="S8" s="2" t="s">
        <v>49</v>
      </c>
      <c r="T8" s="2" t="s">
        <v>50</v>
      </c>
      <c r="U8" s="2">
        <v>2008</v>
      </c>
      <c r="V8" s="6">
        <v>42464</v>
      </c>
      <c r="W8" s="3" t="s">
        <v>33</v>
      </c>
    </row>
    <row r="9" spans="1:25" x14ac:dyDescent="0.2">
      <c r="A9" s="8">
        <v>1701005</v>
      </c>
      <c r="B9" s="6">
        <v>42742.641192939816</v>
      </c>
      <c r="C9" s="6">
        <v>42742.725130324077</v>
      </c>
      <c r="E9" s="6">
        <v>42748.686040509259</v>
      </c>
      <c r="F9" s="2" t="s">
        <v>26</v>
      </c>
      <c r="G9" s="2" t="s">
        <v>26</v>
      </c>
      <c r="H9" s="2" t="s">
        <v>26</v>
      </c>
      <c r="I9" s="2" t="s">
        <v>26</v>
      </c>
      <c r="J9" s="2" t="s">
        <v>26</v>
      </c>
      <c r="K9" s="2" t="s">
        <v>8</v>
      </c>
      <c r="L9" s="2" t="s">
        <v>51</v>
      </c>
      <c r="M9" s="2" t="s">
        <v>28</v>
      </c>
      <c r="N9" s="2" t="s">
        <v>52</v>
      </c>
      <c r="O9" s="2" t="s">
        <v>53</v>
      </c>
      <c r="P9" s="5">
        <v>875535415</v>
      </c>
      <c r="R9" s="2" t="s">
        <v>54</v>
      </c>
      <c r="S9" s="2" t="s">
        <v>55</v>
      </c>
      <c r="T9" s="2" t="s">
        <v>56</v>
      </c>
      <c r="U9" s="2">
        <v>2013</v>
      </c>
      <c r="V9" s="6">
        <v>42765</v>
      </c>
      <c r="W9" s="3" t="s">
        <v>57</v>
      </c>
      <c r="X9" s="23">
        <v>4300</v>
      </c>
    </row>
    <row r="10" spans="1:25" x14ac:dyDescent="0.2">
      <c r="A10" s="8">
        <v>1701006</v>
      </c>
      <c r="B10" s="6">
        <v>42742.649181365741</v>
      </c>
      <c r="C10" s="6">
        <v>42742.738412500003</v>
      </c>
      <c r="E10" s="6" t="s">
        <v>1511</v>
      </c>
      <c r="F10" s="2" t="s">
        <v>26</v>
      </c>
      <c r="G10" s="2" t="s">
        <v>26</v>
      </c>
      <c r="H10" s="2" t="s">
        <v>26</v>
      </c>
      <c r="I10" s="2" t="s">
        <v>26</v>
      </c>
      <c r="J10" s="2" t="s">
        <v>26</v>
      </c>
      <c r="K10" s="2" t="s">
        <v>8</v>
      </c>
      <c r="L10" s="2" t="s">
        <v>27</v>
      </c>
      <c r="M10" s="2" t="s">
        <v>45</v>
      </c>
      <c r="N10" s="2" t="s">
        <v>58</v>
      </c>
      <c r="O10" s="2" t="s">
        <v>59</v>
      </c>
      <c r="P10" s="5">
        <v>864084984</v>
      </c>
      <c r="R10" s="2" t="s">
        <v>60</v>
      </c>
      <c r="S10" s="2" t="s">
        <v>55</v>
      </c>
      <c r="T10" s="2" t="s">
        <v>56</v>
      </c>
      <c r="U10" s="2">
        <v>2010</v>
      </c>
      <c r="V10" s="6">
        <v>42857</v>
      </c>
      <c r="W10" s="3" t="s">
        <v>39</v>
      </c>
    </row>
    <row r="11" spans="1:25" x14ac:dyDescent="0.2">
      <c r="A11" s="8">
        <v>1701007</v>
      </c>
      <c r="B11" s="6">
        <v>42742.651970949075</v>
      </c>
      <c r="C11" s="6">
        <v>42742.744203935188</v>
      </c>
      <c r="E11" s="6">
        <v>42765.456052199072</v>
      </c>
      <c r="F11" s="2" t="s">
        <v>26</v>
      </c>
      <c r="G11" s="2" t="s">
        <v>26</v>
      </c>
      <c r="H11" s="2" t="s">
        <v>26</v>
      </c>
      <c r="I11" s="2" t="s">
        <v>26</v>
      </c>
      <c r="J11" s="2" t="s">
        <v>26</v>
      </c>
      <c r="K11" s="2" t="s">
        <v>8</v>
      </c>
      <c r="L11" s="2" t="s">
        <v>27</v>
      </c>
      <c r="M11" s="2" t="s">
        <v>61</v>
      </c>
      <c r="N11" s="2" t="s">
        <v>62</v>
      </c>
      <c r="P11" s="5">
        <v>847233455</v>
      </c>
      <c r="R11" s="2" t="s">
        <v>63</v>
      </c>
      <c r="S11" s="2" t="s">
        <v>64</v>
      </c>
      <c r="T11" s="2">
        <v>3</v>
      </c>
      <c r="U11" s="2">
        <v>2006</v>
      </c>
      <c r="V11" s="6">
        <v>42750</v>
      </c>
      <c r="W11" s="3" t="s">
        <v>65</v>
      </c>
      <c r="X11" s="23">
        <v>4000</v>
      </c>
    </row>
    <row r="12" spans="1:25" x14ac:dyDescent="0.2">
      <c r="A12" s="8">
        <v>1701008</v>
      </c>
      <c r="B12" s="6">
        <v>42742.654678935185</v>
      </c>
      <c r="C12" s="6">
        <v>42742.717612499997</v>
      </c>
      <c r="E12" s="6">
        <v>42749.607561226854</v>
      </c>
      <c r="F12" s="2" t="s">
        <v>26</v>
      </c>
      <c r="G12" s="2" t="s">
        <v>26</v>
      </c>
      <c r="H12" s="2" t="s">
        <v>26</v>
      </c>
      <c r="I12" s="2" t="s">
        <v>26</v>
      </c>
      <c r="J12" s="2" t="s">
        <v>26</v>
      </c>
      <c r="K12" s="2" t="s">
        <v>8</v>
      </c>
      <c r="L12" s="2" t="s">
        <v>34</v>
      </c>
      <c r="M12" s="2" t="s">
        <v>66</v>
      </c>
      <c r="N12" s="2" t="s">
        <v>67</v>
      </c>
      <c r="O12" s="2" t="s">
        <v>68</v>
      </c>
      <c r="P12" s="5">
        <v>815710299</v>
      </c>
      <c r="R12" s="2" t="s">
        <v>69</v>
      </c>
      <c r="S12" s="2" t="s">
        <v>70</v>
      </c>
      <c r="T12" s="2" t="s">
        <v>71</v>
      </c>
      <c r="U12" s="2">
        <v>2007</v>
      </c>
      <c r="V12" s="6" t="s">
        <v>72</v>
      </c>
      <c r="X12" s="23">
        <v>5560.75</v>
      </c>
    </row>
    <row r="13" spans="1:25" x14ac:dyDescent="0.2">
      <c r="A13" s="8">
        <v>1701009</v>
      </c>
      <c r="B13" s="6">
        <v>42742.672324768515</v>
      </c>
      <c r="C13" s="6">
        <v>42742.703406828703</v>
      </c>
      <c r="E13" s="6">
        <v>42762.743797800926</v>
      </c>
      <c r="F13" s="2" t="s">
        <v>26</v>
      </c>
      <c r="G13" s="2" t="s">
        <v>26</v>
      </c>
      <c r="H13" s="2" t="s">
        <v>26</v>
      </c>
      <c r="I13" s="2" t="s">
        <v>26</v>
      </c>
      <c r="J13" s="2" t="s">
        <v>26</v>
      </c>
      <c r="K13" s="2" t="s">
        <v>8</v>
      </c>
      <c r="L13" s="2" t="s">
        <v>73</v>
      </c>
      <c r="M13" s="2" t="s">
        <v>66</v>
      </c>
      <c r="N13" s="2" t="s">
        <v>74</v>
      </c>
      <c r="P13" s="5">
        <v>9098625279</v>
      </c>
      <c r="Q13" s="5">
        <v>954762885</v>
      </c>
      <c r="R13" s="2" t="s">
        <v>75</v>
      </c>
      <c r="S13" s="2" t="s">
        <v>55</v>
      </c>
      <c r="T13" s="2" t="s">
        <v>76</v>
      </c>
      <c r="U13" s="2">
        <v>2013</v>
      </c>
      <c r="V13" s="6" t="s">
        <v>72</v>
      </c>
      <c r="X13" s="23">
        <v>7100</v>
      </c>
    </row>
    <row r="14" spans="1:25" x14ac:dyDescent="0.2">
      <c r="A14" s="8">
        <v>1701010</v>
      </c>
      <c r="B14" s="6">
        <v>42742.6770875</v>
      </c>
      <c r="C14" s="6">
        <v>42742.697474768516</v>
      </c>
      <c r="E14" s="6">
        <v>42762.638569675924</v>
      </c>
      <c r="F14" s="2" t="s">
        <v>26</v>
      </c>
      <c r="G14" s="2" t="s">
        <v>26</v>
      </c>
      <c r="H14" s="2" t="s">
        <v>26</v>
      </c>
      <c r="I14" s="2" t="s">
        <v>26</v>
      </c>
      <c r="J14" s="2" t="s">
        <v>26</v>
      </c>
      <c r="K14" s="2" t="s">
        <v>8</v>
      </c>
      <c r="L14" s="2" t="s">
        <v>73</v>
      </c>
      <c r="M14" s="2" t="s">
        <v>45</v>
      </c>
      <c r="N14" s="2" t="s">
        <v>77</v>
      </c>
      <c r="O14" s="2" t="s">
        <v>68</v>
      </c>
      <c r="P14" s="5">
        <v>890092153</v>
      </c>
      <c r="Q14" s="5">
        <v>890154329</v>
      </c>
      <c r="R14" s="2" t="s">
        <v>78</v>
      </c>
      <c r="S14" s="2" t="s">
        <v>49</v>
      </c>
      <c r="T14" s="2" t="s">
        <v>79</v>
      </c>
      <c r="U14" s="2">
        <v>2007</v>
      </c>
      <c r="V14" s="6">
        <v>43002</v>
      </c>
      <c r="W14" s="3" t="s">
        <v>80</v>
      </c>
      <c r="X14" s="23">
        <v>9880</v>
      </c>
    </row>
    <row r="15" spans="1:25" x14ac:dyDescent="0.2">
      <c r="A15" s="8">
        <v>1701011</v>
      </c>
      <c r="B15" s="6">
        <v>42742.680495717592</v>
      </c>
      <c r="C15" s="6">
        <v>43014.548495601855</v>
      </c>
      <c r="E15" s="6">
        <v>42939.958816550927</v>
      </c>
      <c r="F15" s="2" t="s">
        <v>26</v>
      </c>
      <c r="G15" s="2" t="s">
        <v>26</v>
      </c>
      <c r="H15" s="2" t="s">
        <v>26</v>
      </c>
      <c r="I15" s="2" t="s">
        <v>26</v>
      </c>
      <c r="J15" s="2" t="s">
        <v>26</v>
      </c>
      <c r="K15" s="2" t="s">
        <v>8</v>
      </c>
      <c r="L15" s="2" t="s">
        <v>73</v>
      </c>
      <c r="M15" s="2" t="s">
        <v>81</v>
      </c>
      <c r="N15" s="2" t="s">
        <v>82</v>
      </c>
      <c r="O15" s="2" t="s">
        <v>41</v>
      </c>
      <c r="P15" s="5">
        <v>899822449</v>
      </c>
      <c r="R15" s="2" t="s">
        <v>83</v>
      </c>
      <c r="S15" s="2" t="s">
        <v>64</v>
      </c>
      <c r="T15" s="2">
        <v>2</v>
      </c>
      <c r="U15" s="2">
        <v>2013</v>
      </c>
      <c r="V15" s="6">
        <v>42104</v>
      </c>
      <c r="W15" s="3" t="s">
        <v>84</v>
      </c>
      <c r="X15" s="23">
        <v>26306</v>
      </c>
    </row>
    <row r="16" spans="1:25" x14ac:dyDescent="0.2">
      <c r="A16" s="8">
        <v>1701012</v>
      </c>
      <c r="B16" s="6">
        <v>42744.387799884258</v>
      </c>
      <c r="C16" s="6">
        <v>42744.472874421299</v>
      </c>
      <c r="E16" s="6">
        <v>42752.643309027779</v>
      </c>
      <c r="F16" s="2" t="s">
        <v>26</v>
      </c>
      <c r="G16" s="2" t="s">
        <v>26</v>
      </c>
      <c r="H16" s="2" t="s">
        <v>26</v>
      </c>
      <c r="I16" s="2" t="s">
        <v>26</v>
      </c>
      <c r="J16" s="2" t="s">
        <v>26</v>
      </c>
      <c r="K16" s="2" t="s">
        <v>8</v>
      </c>
      <c r="L16" s="2" t="s">
        <v>27</v>
      </c>
      <c r="M16" s="2" t="s">
        <v>66</v>
      </c>
      <c r="N16" s="2" t="s">
        <v>85</v>
      </c>
      <c r="O16" s="2" t="s">
        <v>41</v>
      </c>
      <c r="P16" s="5">
        <v>891222680</v>
      </c>
      <c r="R16" s="2" t="s">
        <v>86</v>
      </c>
      <c r="S16" s="2" t="s">
        <v>64</v>
      </c>
      <c r="T16" s="2">
        <v>3</v>
      </c>
      <c r="U16" s="2">
        <v>2012</v>
      </c>
      <c r="V16" s="6">
        <v>42766</v>
      </c>
      <c r="W16" s="3" t="s">
        <v>87</v>
      </c>
      <c r="X16" s="23">
        <v>5900</v>
      </c>
    </row>
    <row r="17" spans="1:24" x14ac:dyDescent="0.2">
      <c r="A17" s="8">
        <v>1701013</v>
      </c>
      <c r="B17" s="6">
        <v>42744.392639467595</v>
      </c>
      <c r="C17" s="6">
        <v>42744.480255787035</v>
      </c>
      <c r="E17" s="6">
        <v>42746.691151041668</v>
      </c>
      <c r="F17" s="2" t="s">
        <v>26</v>
      </c>
      <c r="G17" s="2" t="s">
        <v>26</v>
      </c>
      <c r="H17" s="2" t="s">
        <v>26</v>
      </c>
      <c r="I17" s="2" t="s">
        <v>26</v>
      </c>
      <c r="J17" s="2" t="s">
        <v>26</v>
      </c>
      <c r="K17" s="2" t="s">
        <v>8</v>
      </c>
      <c r="L17" s="2" t="s">
        <v>34</v>
      </c>
      <c r="M17" s="2" t="s">
        <v>88</v>
      </c>
      <c r="N17" s="2" t="s">
        <v>89</v>
      </c>
      <c r="P17" s="5">
        <v>877084654</v>
      </c>
      <c r="R17" s="2" t="s">
        <v>90</v>
      </c>
      <c r="S17" s="2" t="s">
        <v>49</v>
      </c>
      <c r="T17" s="2" t="s">
        <v>91</v>
      </c>
      <c r="U17" s="2">
        <v>2016</v>
      </c>
      <c r="V17" s="6" t="s">
        <v>72</v>
      </c>
    </row>
    <row r="18" spans="1:24" x14ac:dyDescent="0.2">
      <c r="A18" s="8">
        <v>1701014</v>
      </c>
      <c r="B18" s="6">
        <v>42744.395047916667</v>
      </c>
      <c r="C18" s="6">
        <v>42744.47712048611</v>
      </c>
      <c r="E18" s="6">
        <v>42779.733696296295</v>
      </c>
      <c r="F18" s="2" t="s">
        <v>92</v>
      </c>
      <c r="G18" s="2" t="s">
        <v>11</v>
      </c>
      <c r="H18" s="2" t="s">
        <v>93</v>
      </c>
      <c r="I18" s="2" t="s">
        <v>94</v>
      </c>
      <c r="J18" s="2" t="s">
        <v>95</v>
      </c>
      <c r="K18" s="2" t="s">
        <v>8</v>
      </c>
      <c r="L18" s="2" t="s">
        <v>27</v>
      </c>
      <c r="M18" s="2" t="s">
        <v>28</v>
      </c>
      <c r="N18" s="2" t="s">
        <v>96</v>
      </c>
      <c r="O18" s="2" t="s">
        <v>68</v>
      </c>
      <c r="P18" s="5">
        <v>97234619</v>
      </c>
      <c r="Q18" s="5">
        <v>871172730</v>
      </c>
      <c r="R18" s="2" t="s">
        <v>97</v>
      </c>
      <c r="S18" s="2" t="s">
        <v>37</v>
      </c>
      <c r="T18" s="2" t="s">
        <v>98</v>
      </c>
      <c r="U18" s="2">
        <v>2013</v>
      </c>
      <c r="V18" s="6">
        <v>43040</v>
      </c>
      <c r="W18" s="3" t="s">
        <v>99</v>
      </c>
    </row>
    <row r="19" spans="1:24" x14ac:dyDescent="0.2">
      <c r="A19" s="8">
        <v>1701015</v>
      </c>
      <c r="B19" s="6">
        <v>42744.398876388892</v>
      </c>
      <c r="C19" s="6">
        <v>42744.479433912034</v>
      </c>
      <c r="E19" s="6">
        <v>42754.629688657405</v>
      </c>
      <c r="F19" s="2" t="s">
        <v>26</v>
      </c>
      <c r="G19" s="2" t="s">
        <v>26</v>
      </c>
      <c r="H19" s="2" t="s">
        <v>26</v>
      </c>
      <c r="I19" s="2" t="s">
        <v>26</v>
      </c>
      <c r="J19" s="2" t="s">
        <v>26</v>
      </c>
      <c r="K19" s="2" t="s">
        <v>8</v>
      </c>
      <c r="L19" s="2" t="s">
        <v>27</v>
      </c>
      <c r="M19" s="2" t="s">
        <v>28</v>
      </c>
      <c r="N19" s="2" t="s">
        <v>100</v>
      </c>
      <c r="O19" s="2" t="s">
        <v>47</v>
      </c>
      <c r="R19" s="2" t="s">
        <v>101</v>
      </c>
      <c r="S19" s="2" t="s">
        <v>37</v>
      </c>
      <c r="T19" s="2" t="s">
        <v>102</v>
      </c>
      <c r="U19" s="2">
        <v>5</v>
      </c>
      <c r="V19" s="6">
        <v>42851</v>
      </c>
      <c r="W19" s="3" t="s">
        <v>103</v>
      </c>
    </row>
    <row r="20" spans="1:24" x14ac:dyDescent="0.2">
      <c r="A20" s="8">
        <v>1701016</v>
      </c>
      <c r="B20" s="6">
        <v>42744.497868171296</v>
      </c>
      <c r="C20" s="6">
        <v>42744.499108796299</v>
      </c>
      <c r="D20" s="6">
        <v>42749</v>
      </c>
      <c r="E20" s="6">
        <v>42751.743194444447</v>
      </c>
      <c r="F20" s="2" t="s">
        <v>26</v>
      </c>
      <c r="G20" s="2" t="s">
        <v>26</v>
      </c>
      <c r="H20" s="2" t="s">
        <v>26</v>
      </c>
      <c r="I20" s="2" t="s">
        <v>26</v>
      </c>
      <c r="J20" s="2" t="s">
        <v>26</v>
      </c>
      <c r="K20" s="2" t="s">
        <v>8</v>
      </c>
      <c r="L20" s="2" t="s">
        <v>34</v>
      </c>
      <c r="M20" s="2" t="s">
        <v>28</v>
      </c>
      <c r="N20" s="2" t="s">
        <v>104</v>
      </c>
      <c r="O20" s="2" t="s">
        <v>47</v>
      </c>
      <c r="P20" s="5">
        <v>801239650</v>
      </c>
      <c r="R20" s="2" t="s">
        <v>105</v>
      </c>
      <c r="S20" s="2" t="s">
        <v>37</v>
      </c>
      <c r="T20" s="2" t="s">
        <v>102</v>
      </c>
      <c r="U20" s="2">
        <v>2013</v>
      </c>
      <c r="V20" s="6">
        <v>42896</v>
      </c>
      <c r="W20" s="3" t="s">
        <v>106</v>
      </c>
    </row>
    <row r="21" spans="1:24" x14ac:dyDescent="0.2">
      <c r="A21" s="8">
        <v>1701017</v>
      </c>
      <c r="B21" s="6">
        <v>42744.58507025463</v>
      </c>
      <c r="C21" s="6">
        <v>42800.654672337965</v>
      </c>
      <c r="E21" s="6" t="s">
        <v>1511</v>
      </c>
      <c r="F21" s="2" t="s">
        <v>92</v>
      </c>
      <c r="G21" s="2" t="s">
        <v>11</v>
      </c>
      <c r="H21" s="2" t="s">
        <v>93</v>
      </c>
      <c r="I21" s="2" t="s">
        <v>107</v>
      </c>
      <c r="J21" s="2" t="s">
        <v>95</v>
      </c>
      <c r="K21" s="2" t="s">
        <v>8</v>
      </c>
      <c r="L21" s="2" t="s">
        <v>34</v>
      </c>
      <c r="M21" s="2" t="s">
        <v>45</v>
      </c>
      <c r="N21" s="2" t="s">
        <v>108</v>
      </c>
      <c r="O21" s="2" t="s">
        <v>109</v>
      </c>
      <c r="P21" s="5">
        <v>629453994</v>
      </c>
      <c r="R21" s="2" t="s">
        <v>110</v>
      </c>
      <c r="S21" s="2" t="s">
        <v>49</v>
      </c>
      <c r="T21" s="2" t="s">
        <v>111</v>
      </c>
      <c r="U21" s="2">
        <v>2010</v>
      </c>
      <c r="V21" s="6">
        <v>42786</v>
      </c>
      <c r="W21" s="3" t="s">
        <v>112</v>
      </c>
    </row>
    <row r="22" spans="1:24" x14ac:dyDescent="0.2">
      <c r="A22" s="8">
        <v>1701018</v>
      </c>
      <c r="B22" s="6">
        <v>42744.587184490738</v>
      </c>
      <c r="C22" s="6">
        <v>42791.482715740742</v>
      </c>
      <c r="E22" s="6">
        <v>42798.738937037037</v>
      </c>
      <c r="F22" s="2" t="s">
        <v>26</v>
      </c>
      <c r="G22" s="2" t="s">
        <v>26</v>
      </c>
      <c r="H22" s="2" t="s">
        <v>26</v>
      </c>
      <c r="I22" s="2" t="s">
        <v>26</v>
      </c>
      <c r="J22" s="2" t="s">
        <v>26</v>
      </c>
      <c r="K22" s="2" t="s">
        <v>8</v>
      </c>
      <c r="L22" s="2" t="s">
        <v>34</v>
      </c>
      <c r="M22" s="2" t="s">
        <v>28</v>
      </c>
      <c r="N22" s="2" t="s">
        <v>113</v>
      </c>
      <c r="O22" s="2" t="s">
        <v>114</v>
      </c>
      <c r="P22" s="5">
        <v>896981602</v>
      </c>
      <c r="R22" s="2" t="s">
        <v>115</v>
      </c>
      <c r="S22" s="2" t="s">
        <v>31</v>
      </c>
      <c r="T22" s="2" t="s">
        <v>116</v>
      </c>
      <c r="U22" s="2">
        <v>2013</v>
      </c>
      <c r="V22" s="6">
        <v>42745</v>
      </c>
      <c r="W22" s="3" t="s">
        <v>117</v>
      </c>
      <c r="X22" s="23">
        <v>3700</v>
      </c>
    </row>
    <row r="23" spans="1:24" x14ac:dyDescent="0.2">
      <c r="A23" s="8">
        <v>1701019</v>
      </c>
      <c r="B23" s="6">
        <v>42744.605160763887</v>
      </c>
      <c r="C23" s="6">
        <v>42796.728438541664</v>
      </c>
      <c r="E23" s="6">
        <v>42822.572961342594</v>
      </c>
      <c r="F23" s="2" t="s">
        <v>26</v>
      </c>
      <c r="G23" s="2" t="s">
        <v>26</v>
      </c>
      <c r="H23" s="2" t="s">
        <v>26</v>
      </c>
      <c r="I23" s="2" t="s">
        <v>26</v>
      </c>
      <c r="J23" s="2" t="s">
        <v>26</v>
      </c>
      <c r="K23" s="2" t="s">
        <v>8</v>
      </c>
      <c r="L23" s="2" t="s">
        <v>27</v>
      </c>
      <c r="M23" s="2" t="s">
        <v>118</v>
      </c>
      <c r="N23" s="2" t="s">
        <v>119</v>
      </c>
      <c r="O23" s="2" t="s">
        <v>120</v>
      </c>
      <c r="P23" s="5">
        <v>894879211</v>
      </c>
      <c r="R23" s="2" t="s">
        <v>121</v>
      </c>
      <c r="S23" s="2" t="s">
        <v>55</v>
      </c>
      <c r="T23" s="2" t="s">
        <v>76</v>
      </c>
      <c r="U23" s="2">
        <v>2012</v>
      </c>
      <c r="V23" s="6">
        <v>42803</v>
      </c>
      <c r="W23" s="3" t="s">
        <v>117</v>
      </c>
      <c r="X23" s="23">
        <v>25000</v>
      </c>
    </row>
    <row r="24" spans="1:24" x14ac:dyDescent="0.2">
      <c r="A24" s="8">
        <v>1701020</v>
      </c>
      <c r="B24" s="6">
        <v>42744.610328819443</v>
      </c>
      <c r="C24" s="6">
        <v>42857</v>
      </c>
      <c r="D24" s="6">
        <v>42882</v>
      </c>
      <c r="E24" s="6">
        <v>42888.733721990742</v>
      </c>
      <c r="F24" s="2" t="s">
        <v>26</v>
      </c>
      <c r="G24" s="2" t="s">
        <v>26</v>
      </c>
      <c r="H24" s="2" t="s">
        <v>26</v>
      </c>
      <c r="I24" s="2" t="s">
        <v>26</v>
      </c>
      <c r="J24" s="2" t="s">
        <v>26</v>
      </c>
      <c r="K24" s="2" t="s">
        <v>8</v>
      </c>
      <c r="L24" s="2" t="s">
        <v>73</v>
      </c>
      <c r="M24" s="2" t="s">
        <v>66</v>
      </c>
      <c r="N24" s="2" t="s">
        <v>123</v>
      </c>
      <c r="O24" s="2" t="s">
        <v>120</v>
      </c>
      <c r="P24" s="5">
        <v>879286872</v>
      </c>
      <c r="R24" s="2" t="s">
        <v>124</v>
      </c>
      <c r="S24" s="2" t="s">
        <v>31</v>
      </c>
      <c r="T24" s="2" t="s">
        <v>125</v>
      </c>
      <c r="U24" s="2">
        <v>2008</v>
      </c>
      <c r="V24" s="6">
        <v>42885</v>
      </c>
      <c r="W24" s="3" t="s">
        <v>39</v>
      </c>
      <c r="X24" s="23">
        <v>9440</v>
      </c>
    </row>
    <row r="25" spans="1:24" x14ac:dyDescent="0.2">
      <c r="A25" s="8">
        <v>1701021</v>
      </c>
      <c r="B25" s="6">
        <v>42744.61432453704</v>
      </c>
      <c r="C25" s="6">
        <v>42878.414033564812</v>
      </c>
      <c r="D25" s="6">
        <v>42885</v>
      </c>
      <c r="E25" s="6" t="s">
        <v>1511</v>
      </c>
      <c r="F25" s="2">
        <v>6.5859664351883112</v>
      </c>
      <c r="G25" s="2" t="s">
        <v>11</v>
      </c>
      <c r="H25" s="2" t="s">
        <v>93</v>
      </c>
      <c r="I25" s="2" t="s">
        <v>94</v>
      </c>
      <c r="J25" s="2" t="s">
        <v>95</v>
      </c>
      <c r="K25" s="2" t="s">
        <v>8</v>
      </c>
      <c r="L25" s="2" t="s">
        <v>34</v>
      </c>
      <c r="M25" s="2" t="s">
        <v>88</v>
      </c>
      <c r="N25" s="2" t="s">
        <v>127</v>
      </c>
      <c r="O25" s="2" t="s">
        <v>128</v>
      </c>
      <c r="P25" s="5">
        <v>849396438</v>
      </c>
      <c r="R25" s="2" t="s">
        <v>129</v>
      </c>
      <c r="S25" s="2" t="s">
        <v>49</v>
      </c>
      <c r="T25" s="2" t="s">
        <v>130</v>
      </c>
      <c r="U25" s="2">
        <v>2010</v>
      </c>
      <c r="V25" s="6">
        <v>43041</v>
      </c>
      <c r="W25" s="3" t="s">
        <v>65</v>
      </c>
    </row>
    <row r="26" spans="1:24" x14ac:dyDescent="0.2">
      <c r="A26" s="8">
        <v>1701022</v>
      </c>
      <c r="B26" s="6">
        <v>42744.618580902781</v>
      </c>
      <c r="C26" s="6">
        <v>42779.583373148147</v>
      </c>
      <c r="D26" s="6">
        <v>42784</v>
      </c>
      <c r="E26" s="6">
        <v>42798.714560416665</v>
      </c>
      <c r="F26" s="2" t="s">
        <v>26</v>
      </c>
      <c r="G26" s="2" t="s">
        <v>26</v>
      </c>
      <c r="H26" s="2" t="s">
        <v>26</v>
      </c>
      <c r="I26" s="2" t="s">
        <v>26</v>
      </c>
      <c r="J26" s="2" t="s">
        <v>26</v>
      </c>
      <c r="K26" s="2" t="s">
        <v>8</v>
      </c>
      <c r="L26" s="2" t="s">
        <v>27</v>
      </c>
      <c r="M26" s="2" t="s">
        <v>28</v>
      </c>
      <c r="N26" s="2" t="s">
        <v>131</v>
      </c>
      <c r="P26" s="5">
        <v>881392865</v>
      </c>
      <c r="R26" s="2" t="s">
        <v>132</v>
      </c>
      <c r="S26" s="2" t="s">
        <v>133</v>
      </c>
      <c r="T26" s="2" t="s">
        <v>134</v>
      </c>
      <c r="U26" s="2">
        <v>2016</v>
      </c>
      <c r="V26" s="6">
        <v>42808</v>
      </c>
      <c r="W26" s="3" t="s">
        <v>135</v>
      </c>
      <c r="X26" s="23">
        <v>9850</v>
      </c>
    </row>
    <row r="27" spans="1:24" x14ac:dyDescent="0.2">
      <c r="A27" s="8">
        <v>1701023</v>
      </c>
      <c r="B27" s="6">
        <v>42744.621438194445</v>
      </c>
      <c r="C27" s="6">
        <v>42779.57748414352</v>
      </c>
      <c r="D27" s="6">
        <v>42790</v>
      </c>
      <c r="E27" s="6">
        <v>42797.557313541663</v>
      </c>
      <c r="F27" s="2" t="s">
        <v>26</v>
      </c>
      <c r="G27" s="2" t="s">
        <v>26</v>
      </c>
      <c r="H27" s="2" t="s">
        <v>26</v>
      </c>
      <c r="I27" s="2" t="s">
        <v>26</v>
      </c>
      <c r="J27" s="2" t="s">
        <v>26</v>
      </c>
      <c r="K27" s="2" t="s">
        <v>8</v>
      </c>
      <c r="L27" s="2" t="s">
        <v>27</v>
      </c>
      <c r="M27" s="2" t="s">
        <v>45</v>
      </c>
      <c r="N27" s="2" t="s">
        <v>136</v>
      </c>
      <c r="P27" s="5">
        <v>998278836</v>
      </c>
      <c r="R27" s="2" t="s">
        <v>137</v>
      </c>
      <c r="S27" s="2" t="s">
        <v>37</v>
      </c>
      <c r="T27" s="2" t="s">
        <v>102</v>
      </c>
      <c r="U27" s="2">
        <v>2007</v>
      </c>
      <c r="V27" s="6">
        <v>42732</v>
      </c>
      <c r="W27" s="3" t="s">
        <v>138</v>
      </c>
      <c r="X27" s="23">
        <v>11280.37</v>
      </c>
    </row>
    <row r="28" spans="1:24" x14ac:dyDescent="0.2">
      <c r="A28" s="8">
        <v>1701024</v>
      </c>
      <c r="B28" s="6">
        <v>42744.644590277778</v>
      </c>
      <c r="C28" s="6">
        <v>42854.669767129628</v>
      </c>
      <c r="D28" s="6">
        <v>0</v>
      </c>
      <c r="E28" s="6">
        <v>42916.686204166668</v>
      </c>
      <c r="F28" s="2" t="s">
        <v>26</v>
      </c>
      <c r="G28" s="2" t="s">
        <v>26</v>
      </c>
      <c r="H28" s="2" t="s">
        <v>26</v>
      </c>
      <c r="I28" s="2" t="s">
        <v>26</v>
      </c>
      <c r="J28" s="2" t="s">
        <v>26</v>
      </c>
      <c r="K28" s="2" t="s">
        <v>8</v>
      </c>
      <c r="L28" s="2" t="s">
        <v>27</v>
      </c>
      <c r="M28" s="2" t="s">
        <v>139</v>
      </c>
      <c r="N28" s="2" t="s">
        <v>140</v>
      </c>
      <c r="O28" s="2" t="s">
        <v>47</v>
      </c>
      <c r="P28" s="5">
        <v>812661293</v>
      </c>
      <c r="R28" s="2" t="s">
        <v>141</v>
      </c>
      <c r="S28" s="2" t="s">
        <v>55</v>
      </c>
      <c r="T28" s="2" t="s">
        <v>142</v>
      </c>
      <c r="U28" s="2">
        <v>2008</v>
      </c>
      <c r="V28" s="6">
        <v>42996</v>
      </c>
      <c r="W28" s="3" t="s">
        <v>143</v>
      </c>
      <c r="X28" s="23">
        <v>6300</v>
      </c>
    </row>
    <row r="29" spans="1:24" x14ac:dyDescent="0.2">
      <c r="A29" s="8">
        <v>1701025</v>
      </c>
      <c r="B29" s="6">
        <v>42744.647790393516</v>
      </c>
      <c r="C29" s="6">
        <v>42744.707222800927</v>
      </c>
      <c r="E29" s="6">
        <v>42772.768969907411</v>
      </c>
      <c r="F29" s="2" t="s">
        <v>92</v>
      </c>
      <c r="G29" s="2" t="s">
        <v>11</v>
      </c>
      <c r="H29" s="2" t="s">
        <v>93</v>
      </c>
      <c r="I29" s="2" t="s">
        <v>94</v>
      </c>
      <c r="J29" s="2" t="s">
        <v>95</v>
      </c>
      <c r="K29" s="2" t="s">
        <v>8</v>
      </c>
      <c r="L29" s="2" t="s">
        <v>73</v>
      </c>
      <c r="M29" s="2" t="s">
        <v>28</v>
      </c>
      <c r="N29" s="2" t="s">
        <v>144</v>
      </c>
      <c r="O29" s="2" t="s">
        <v>120</v>
      </c>
      <c r="P29" s="5">
        <v>852211665</v>
      </c>
      <c r="R29" s="2" t="s">
        <v>145</v>
      </c>
      <c r="S29" s="2" t="s">
        <v>49</v>
      </c>
      <c r="T29" s="2" t="s">
        <v>79</v>
      </c>
      <c r="U29" s="2">
        <v>2007</v>
      </c>
      <c r="V29" s="6">
        <v>42782</v>
      </c>
      <c r="W29" s="3" t="s">
        <v>39</v>
      </c>
    </row>
    <row r="30" spans="1:24" x14ac:dyDescent="0.2">
      <c r="A30" s="8">
        <v>1701026</v>
      </c>
      <c r="B30" s="6">
        <v>42744.64949664352</v>
      </c>
      <c r="C30" s="6">
        <v>42744.714077199074</v>
      </c>
      <c r="E30" s="6">
        <v>42761.446129282405</v>
      </c>
      <c r="F30" s="2" t="s">
        <v>26</v>
      </c>
      <c r="G30" s="2" t="s">
        <v>26</v>
      </c>
      <c r="H30" s="2" t="s">
        <v>26</v>
      </c>
      <c r="I30" s="2" t="s">
        <v>26</v>
      </c>
      <c r="J30" s="2" t="s">
        <v>26</v>
      </c>
      <c r="K30" s="2" t="s">
        <v>8</v>
      </c>
      <c r="L30" s="2" t="s">
        <v>73</v>
      </c>
      <c r="M30" s="2" t="s">
        <v>28</v>
      </c>
      <c r="N30" s="2" t="s">
        <v>146</v>
      </c>
      <c r="O30" s="2" t="s">
        <v>68</v>
      </c>
      <c r="P30" s="5">
        <v>890558072</v>
      </c>
      <c r="R30" s="2" t="s">
        <v>147</v>
      </c>
      <c r="S30" s="2" t="s">
        <v>49</v>
      </c>
      <c r="T30" s="2" t="s">
        <v>79</v>
      </c>
      <c r="U30" s="2">
        <v>2011</v>
      </c>
      <c r="V30" s="6">
        <v>42794</v>
      </c>
      <c r="W30" s="3" t="s">
        <v>148</v>
      </c>
      <c r="X30" s="23">
        <v>1500</v>
      </c>
    </row>
    <row r="31" spans="1:24" x14ac:dyDescent="0.2">
      <c r="A31" s="8">
        <v>1701027</v>
      </c>
      <c r="B31" s="6">
        <v>42744.651177893516</v>
      </c>
      <c r="C31" s="6">
        <v>42744.718386111112</v>
      </c>
      <c r="E31" s="6" t="s">
        <v>1511</v>
      </c>
      <c r="F31" s="2" t="s">
        <v>92</v>
      </c>
      <c r="G31" s="2" t="s">
        <v>11</v>
      </c>
      <c r="H31" s="2" t="s">
        <v>93</v>
      </c>
      <c r="I31" s="2" t="s">
        <v>94</v>
      </c>
      <c r="J31" s="2" t="s">
        <v>95</v>
      </c>
      <c r="K31" s="2" t="s">
        <v>8</v>
      </c>
      <c r="L31" s="2" t="s">
        <v>34</v>
      </c>
      <c r="M31" s="2" t="s">
        <v>28</v>
      </c>
      <c r="N31" s="2" t="s">
        <v>149</v>
      </c>
      <c r="O31" s="2" t="s">
        <v>107</v>
      </c>
      <c r="P31" s="5">
        <v>836089864</v>
      </c>
      <c r="R31" s="2" t="s">
        <v>150</v>
      </c>
      <c r="S31" s="2" t="s">
        <v>49</v>
      </c>
      <c r="T31" s="2" t="s">
        <v>151</v>
      </c>
      <c r="U31" s="2">
        <v>2012</v>
      </c>
      <c r="V31" s="6">
        <v>42796</v>
      </c>
      <c r="W31" s="3" t="s">
        <v>152</v>
      </c>
    </row>
    <row r="32" spans="1:24" x14ac:dyDescent="0.2">
      <c r="A32" s="8">
        <v>1701028</v>
      </c>
      <c r="B32" s="6">
        <v>42744.655522106485</v>
      </c>
      <c r="C32" s="6">
        <v>42744.726781134261</v>
      </c>
      <c r="E32" s="6">
        <v>42753.456194328704</v>
      </c>
      <c r="F32" s="2" t="s">
        <v>26</v>
      </c>
      <c r="G32" s="2" t="s">
        <v>26</v>
      </c>
      <c r="H32" s="2" t="s">
        <v>26</v>
      </c>
      <c r="I32" s="2" t="s">
        <v>26</v>
      </c>
      <c r="J32" s="2" t="s">
        <v>26</v>
      </c>
      <c r="K32" s="2" t="s">
        <v>8</v>
      </c>
      <c r="L32" s="2" t="s">
        <v>34</v>
      </c>
      <c r="M32" s="2" t="s">
        <v>28</v>
      </c>
      <c r="N32" s="2" t="s">
        <v>153</v>
      </c>
      <c r="O32" s="2" t="s">
        <v>114</v>
      </c>
      <c r="P32" s="5">
        <v>818595039</v>
      </c>
      <c r="R32" s="2" t="s">
        <v>154</v>
      </c>
      <c r="S32" s="2" t="s">
        <v>49</v>
      </c>
      <c r="T32" s="2" t="s">
        <v>111</v>
      </c>
      <c r="U32" s="2">
        <v>2010</v>
      </c>
      <c r="V32" s="6">
        <v>42793</v>
      </c>
      <c r="W32" s="3" t="s">
        <v>155</v>
      </c>
      <c r="X32" s="23">
        <v>10464</v>
      </c>
    </row>
    <row r="33" spans="1:24" x14ac:dyDescent="0.2">
      <c r="A33" s="8">
        <v>1701029</v>
      </c>
      <c r="B33" s="6">
        <v>42744.65920115741</v>
      </c>
      <c r="C33" s="6">
        <v>42744.730010416664</v>
      </c>
      <c r="E33" s="6">
        <v>42753.729800462963</v>
      </c>
      <c r="F33" s="2" t="s">
        <v>26</v>
      </c>
      <c r="G33" s="2" t="s">
        <v>26</v>
      </c>
      <c r="H33" s="2" t="s">
        <v>26</v>
      </c>
      <c r="I33" s="2" t="s">
        <v>26</v>
      </c>
      <c r="J33" s="2" t="s">
        <v>26</v>
      </c>
      <c r="K33" s="2" t="s">
        <v>8</v>
      </c>
      <c r="L33" s="2" t="s">
        <v>27</v>
      </c>
      <c r="M33" s="2" t="s">
        <v>28</v>
      </c>
      <c r="N33" s="2" t="s">
        <v>156</v>
      </c>
      <c r="O33" s="2" t="s">
        <v>157</v>
      </c>
      <c r="P33" s="5">
        <v>898821239</v>
      </c>
      <c r="R33" s="2" t="s">
        <v>158</v>
      </c>
      <c r="S33" s="2" t="s">
        <v>55</v>
      </c>
      <c r="T33" s="2" t="s">
        <v>56</v>
      </c>
      <c r="U33" s="2">
        <v>2010</v>
      </c>
      <c r="V33" s="6">
        <v>42916</v>
      </c>
      <c r="W33" s="3" t="s">
        <v>39</v>
      </c>
      <c r="X33" s="23">
        <v>5864.5</v>
      </c>
    </row>
    <row r="34" spans="1:24" x14ac:dyDescent="0.2">
      <c r="A34" s="8">
        <v>1701030</v>
      </c>
      <c r="B34" s="6">
        <v>42745</v>
      </c>
      <c r="C34" s="6">
        <v>42604.403928240739</v>
      </c>
      <c r="E34" s="6" t="s">
        <v>1511</v>
      </c>
      <c r="F34" s="2" t="s">
        <v>92</v>
      </c>
      <c r="G34" s="2" t="s">
        <v>95</v>
      </c>
      <c r="H34" s="2" t="s">
        <v>93</v>
      </c>
      <c r="I34" s="2" t="s">
        <v>94</v>
      </c>
      <c r="J34" s="2" t="s">
        <v>95</v>
      </c>
      <c r="K34" s="2" t="s">
        <v>8</v>
      </c>
      <c r="L34" s="2" t="s">
        <v>170</v>
      </c>
      <c r="M34" s="2" t="s">
        <v>28</v>
      </c>
      <c r="N34" s="2" t="s">
        <v>174</v>
      </c>
      <c r="O34" s="2" t="s">
        <v>68</v>
      </c>
      <c r="P34" s="5">
        <v>884981219</v>
      </c>
      <c r="R34" s="2" t="s">
        <v>175</v>
      </c>
      <c r="S34" s="2" t="s">
        <v>37</v>
      </c>
      <c r="T34" s="2" t="s">
        <v>102</v>
      </c>
      <c r="U34" s="2">
        <v>2005</v>
      </c>
      <c r="V34" s="6">
        <v>0</v>
      </c>
      <c r="W34" s="3">
        <v>0</v>
      </c>
    </row>
    <row r="35" spans="1:24" x14ac:dyDescent="0.2">
      <c r="A35" s="8">
        <v>1701031</v>
      </c>
      <c r="B35" s="6">
        <v>42745</v>
      </c>
      <c r="C35" s="6">
        <v>42695.693609722221</v>
      </c>
      <c r="E35" s="6">
        <v>42770.754185763886</v>
      </c>
      <c r="F35" s="2" t="s">
        <v>92</v>
      </c>
      <c r="G35" s="2" t="s">
        <v>95</v>
      </c>
      <c r="H35" s="2" t="s">
        <v>93</v>
      </c>
      <c r="I35" s="2" t="s">
        <v>94</v>
      </c>
      <c r="J35" s="2" t="s">
        <v>95</v>
      </c>
      <c r="K35" s="2" t="s">
        <v>8</v>
      </c>
      <c r="L35" s="2" t="s">
        <v>170</v>
      </c>
      <c r="M35" s="2" t="s">
        <v>28</v>
      </c>
      <c r="N35" s="2" t="s">
        <v>195</v>
      </c>
      <c r="O35" s="2" t="s">
        <v>68</v>
      </c>
      <c r="P35" s="5">
        <v>843832419</v>
      </c>
      <c r="R35" s="2" t="s">
        <v>196</v>
      </c>
      <c r="S35" s="2" t="s">
        <v>37</v>
      </c>
      <c r="T35" s="2" t="s">
        <v>98</v>
      </c>
      <c r="U35" s="2">
        <v>2013</v>
      </c>
      <c r="V35" s="6">
        <v>42881</v>
      </c>
      <c r="W35" s="3" t="s">
        <v>44</v>
      </c>
    </row>
    <row r="36" spans="1:24" x14ac:dyDescent="0.2">
      <c r="A36" s="8">
        <v>1701032</v>
      </c>
      <c r="B36" s="6">
        <v>42745</v>
      </c>
      <c r="C36" s="6">
        <v>42710.383723263891</v>
      </c>
      <c r="E36" s="6" t="s">
        <v>1511</v>
      </c>
      <c r="F36" s="2" t="s">
        <v>92</v>
      </c>
      <c r="G36" s="2" t="s">
        <v>95</v>
      </c>
      <c r="H36" s="2" t="s">
        <v>93</v>
      </c>
      <c r="I36" s="2" t="s">
        <v>94</v>
      </c>
      <c r="J36" s="2" t="s">
        <v>95</v>
      </c>
      <c r="K36" s="2" t="s">
        <v>8</v>
      </c>
      <c r="L36" s="2" t="s">
        <v>170</v>
      </c>
      <c r="M36" s="2" t="s">
        <v>61</v>
      </c>
      <c r="N36" s="2" t="s">
        <v>203</v>
      </c>
      <c r="O36" s="2" t="s">
        <v>59</v>
      </c>
      <c r="P36" s="5">
        <v>886836555</v>
      </c>
      <c r="R36" s="2" t="s">
        <v>204</v>
      </c>
      <c r="S36" s="2" t="s">
        <v>49</v>
      </c>
      <c r="T36" s="2" t="s">
        <v>205</v>
      </c>
      <c r="U36" s="2">
        <v>2013</v>
      </c>
      <c r="V36" s="6">
        <v>42938</v>
      </c>
      <c r="W36" s="3" t="s">
        <v>117</v>
      </c>
    </row>
    <row r="37" spans="1:24" x14ac:dyDescent="0.2">
      <c r="A37" s="8">
        <v>1701033</v>
      </c>
      <c r="B37" s="6">
        <v>42745</v>
      </c>
      <c r="C37" s="6">
        <v>42711.680239814814</v>
      </c>
      <c r="E37" s="6" t="s">
        <v>1511</v>
      </c>
      <c r="F37" s="2" t="s">
        <v>92</v>
      </c>
      <c r="G37" s="2" t="s">
        <v>95</v>
      </c>
      <c r="H37" s="2" t="s">
        <v>93</v>
      </c>
      <c r="I37" s="2" t="s">
        <v>95</v>
      </c>
      <c r="J37" s="2" t="s">
        <v>95</v>
      </c>
      <c r="K37" s="2" t="s">
        <v>8</v>
      </c>
      <c r="L37" s="2" t="s">
        <v>170</v>
      </c>
      <c r="M37" s="2" t="s">
        <v>61</v>
      </c>
      <c r="N37" s="2" t="s">
        <v>207</v>
      </c>
      <c r="O37" s="2" t="s">
        <v>208</v>
      </c>
      <c r="P37" s="5">
        <v>984573719</v>
      </c>
      <c r="R37" s="2" t="s">
        <v>209</v>
      </c>
      <c r="S37" s="2" t="s">
        <v>49</v>
      </c>
      <c r="T37" s="2" t="s">
        <v>130</v>
      </c>
      <c r="U37" s="2">
        <v>2009</v>
      </c>
      <c r="V37" s="6">
        <v>42987</v>
      </c>
      <c r="W37" s="3" t="s">
        <v>39</v>
      </c>
    </row>
    <row r="38" spans="1:24" x14ac:dyDescent="0.2">
      <c r="A38" s="8">
        <v>1701034</v>
      </c>
      <c r="B38" s="6">
        <v>42745</v>
      </c>
      <c r="C38" s="6">
        <v>42725</v>
      </c>
      <c r="E38" s="6" t="s">
        <v>1511</v>
      </c>
      <c r="F38" s="2" t="s">
        <v>92</v>
      </c>
      <c r="G38" s="2" t="s">
        <v>95</v>
      </c>
      <c r="H38" s="2" t="s">
        <v>93</v>
      </c>
      <c r="I38" s="2" t="s">
        <v>1210</v>
      </c>
      <c r="J38" s="2" t="s">
        <v>95</v>
      </c>
      <c r="K38" s="2" t="s">
        <v>8</v>
      </c>
      <c r="L38" s="2" t="s">
        <v>170</v>
      </c>
      <c r="M38" s="2" t="s">
        <v>61</v>
      </c>
      <c r="N38" s="2" t="s">
        <v>212</v>
      </c>
      <c r="O38" s="2" t="s">
        <v>114</v>
      </c>
      <c r="P38" s="5">
        <v>813915293</v>
      </c>
      <c r="R38" s="2" t="s">
        <v>213</v>
      </c>
      <c r="S38" s="2" t="s">
        <v>49</v>
      </c>
      <c r="T38" s="2" t="s">
        <v>214</v>
      </c>
      <c r="U38" s="2">
        <v>2010</v>
      </c>
      <c r="V38" s="6">
        <v>43029</v>
      </c>
      <c r="W38" s="3" t="s">
        <v>215</v>
      </c>
      <c r="X38" s="23">
        <v>0</v>
      </c>
    </row>
    <row r="39" spans="1:24" x14ac:dyDescent="0.2">
      <c r="A39" s="8">
        <v>1701035</v>
      </c>
      <c r="B39" s="6">
        <v>42745</v>
      </c>
      <c r="C39" s="6">
        <v>42726.569130439813</v>
      </c>
      <c r="E39" s="6">
        <v>42780.629040277781</v>
      </c>
      <c r="F39" s="2" t="s">
        <v>92</v>
      </c>
      <c r="G39" s="2" t="s">
        <v>95</v>
      </c>
      <c r="H39" s="2" t="s">
        <v>93</v>
      </c>
      <c r="I39" s="2" t="s">
        <v>95</v>
      </c>
      <c r="J39" s="2" t="s">
        <v>95</v>
      </c>
      <c r="K39" s="2" t="s">
        <v>8</v>
      </c>
      <c r="L39" s="2" t="s">
        <v>170</v>
      </c>
      <c r="M39" s="2" t="s">
        <v>28</v>
      </c>
      <c r="N39" s="2" t="s">
        <v>224</v>
      </c>
      <c r="O39" s="2" t="s">
        <v>208</v>
      </c>
      <c r="P39" s="5">
        <v>937123093</v>
      </c>
      <c r="R39" s="2" t="s">
        <v>225</v>
      </c>
      <c r="S39" s="2" t="s">
        <v>49</v>
      </c>
      <c r="T39" s="2" t="s">
        <v>130</v>
      </c>
      <c r="U39" s="2">
        <v>2008</v>
      </c>
      <c r="V39" s="6">
        <v>43008</v>
      </c>
      <c r="W39" s="3" t="s">
        <v>226</v>
      </c>
    </row>
    <row r="40" spans="1:24" x14ac:dyDescent="0.2">
      <c r="A40" s="8">
        <v>1701036</v>
      </c>
      <c r="B40" s="6">
        <v>42745</v>
      </c>
      <c r="C40" s="6">
        <v>42592</v>
      </c>
      <c r="E40" s="6">
        <v>42815.399107754631</v>
      </c>
      <c r="F40" s="2" t="s">
        <v>26</v>
      </c>
      <c r="G40" s="2" t="s">
        <v>26</v>
      </c>
      <c r="H40" s="2" t="s">
        <v>26</v>
      </c>
      <c r="I40" s="2" t="s">
        <v>26</v>
      </c>
      <c r="J40" s="2" t="s">
        <v>26</v>
      </c>
      <c r="K40" s="2" t="s">
        <v>8</v>
      </c>
      <c r="L40" s="2" t="s">
        <v>170</v>
      </c>
      <c r="M40" s="2" t="s">
        <v>28</v>
      </c>
      <c r="N40" s="2" t="s">
        <v>171</v>
      </c>
      <c r="O40" s="2" t="s">
        <v>59</v>
      </c>
      <c r="P40" s="5">
        <v>0</v>
      </c>
      <c r="R40" s="2" t="s">
        <v>172</v>
      </c>
      <c r="S40" s="2" t="s">
        <v>55</v>
      </c>
      <c r="T40" s="2" t="s">
        <v>56</v>
      </c>
      <c r="U40" s="2">
        <v>2008</v>
      </c>
      <c r="V40" s="6">
        <v>42807</v>
      </c>
      <c r="W40" s="3" t="s">
        <v>80</v>
      </c>
    </row>
    <row r="41" spans="1:24" x14ac:dyDescent="0.2">
      <c r="A41" s="8">
        <v>1701037</v>
      </c>
      <c r="B41" s="6">
        <v>42745</v>
      </c>
      <c r="C41" s="6">
        <v>42606.674639583332</v>
      </c>
      <c r="E41" s="6">
        <v>42756.385543518518</v>
      </c>
      <c r="F41" s="2" t="s">
        <v>26</v>
      </c>
      <c r="G41" s="2" t="s">
        <v>26</v>
      </c>
      <c r="H41" s="2" t="s">
        <v>26</v>
      </c>
      <c r="I41" s="2" t="s">
        <v>26</v>
      </c>
      <c r="J41" s="2" t="s">
        <v>26</v>
      </c>
      <c r="K41" s="2" t="s">
        <v>8</v>
      </c>
      <c r="L41" s="2" t="s">
        <v>170</v>
      </c>
      <c r="M41" s="2" t="s">
        <v>28</v>
      </c>
      <c r="N41" s="2" t="s">
        <v>176</v>
      </c>
      <c r="O41" s="2" t="s">
        <v>128</v>
      </c>
      <c r="P41" s="5">
        <v>819217204</v>
      </c>
      <c r="R41" s="2" t="s">
        <v>177</v>
      </c>
      <c r="S41" s="2" t="s">
        <v>49</v>
      </c>
      <c r="T41" s="2" t="s">
        <v>178</v>
      </c>
      <c r="U41" s="2">
        <v>2003</v>
      </c>
      <c r="V41" s="6">
        <v>42659</v>
      </c>
      <c r="W41" s="3" t="s">
        <v>44</v>
      </c>
      <c r="X41" s="23">
        <v>2302.7399999999998</v>
      </c>
    </row>
    <row r="42" spans="1:24" x14ac:dyDescent="0.2">
      <c r="A42" s="8">
        <v>1701038</v>
      </c>
      <c r="B42" s="6">
        <v>42745</v>
      </c>
      <c r="C42" s="6">
        <v>42661.68650891204</v>
      </c>
      <c r="E42" s="6">
        <v>42861.555349652779</v>
      </c>
      <c r="F42" s="2" t="s">
        <v>26</v>
      </c>
      <c r="G42" s="2" t="s">
        <v>26</v>
      </c>
      <c r="H42" s="2" t="s">
        <v>26</v>
      </c>
      <c r="I42" s="2" t="s">
        <v>26</v>
      </c>
      <c r="J42" s="2" t="s">
        <v>26</v>
      </c>
      <c r="K42" s="2" t="s">
        <v>8</v>
      </c>
      <c r="L42" s="2" t="s">
        <v>170</v>
      </c>
      <c r="M42" s="2" t="s">
        <v>61</v>
      </c>
      <c r="N42" s="2" t="s">
        <v>180</v>
      </c>
      <c r="O42" s="2" t="s">
        <v>181</v>
      </c>
      <c r="P42" s="5">
        <v>850656325</v>
      </c>
      <c r="R42" s="2" t="s">
        <v>182</v>
      </c>
      <c r="S42" s="2" t="s">
        <v>183</v>
      </c>
      <c r="T42" s="2" t="s">
        <v>184</v>
      </c>
      <c r="U42" s="2">
        <v>2014</v>
      </c>
      <c r="V42" s="6">
        <v>42653</v>
      </c>
      <c r="W42" s="3" t="s">
        <v>57</v>
      </c>
    </row>
    <row r="43" spans="1:24" x14ac:dyDescent="0.2">
      <c r="A43" s="8">
        <v>1701039</v>
      </c>
      <c r="B43" s="6">
        <v>42745</v>
      </c>
      <c r="C43" s="6">
        <v>42683.731956597221</v>
      </c>
      <c r="E43" s="6">
        <v>42885.671772569447</v>
      </c>
      <c r="F43" s="2" t="s">
        <v>26</v>
      </c>
      <c r="G43" s="2" t="s">
        <v>26</v>
      </c>
      <c r="H43" s="2" t="s">
        <v>26</v>
      </c>
      <c r="I43" s="2" t="s">
        <v>26</v>
      </c>
      <c r="J43" s="2" t="s">
        <v>26</v>
      </c>
      <c r="K43" s="2" t="s">
        <v>8</v>
      </c>
      <c r="L43" s="2" t="s">
        <v>170</v>
      </c>
      <c r="M43" s="2" t="s">
        <v>28</v>
      </c>
      <c r="N43" s="2" t="s">
        <v>185</v>
      </c>
      <c r="O43" s="2" t="s">
        <v>186</v>
      </c>
      <c r="P43" s="5">
        <v>911759160</v>
      </c>
      <c r="Q43" s="5">
        <v>627262277</v>
      </c>
      <c r="R43" s="2" t="s">
        <v>187</v>
      </c>
      <c r="S43" s="2" t="s">
        <v>55</v>
      </c>
      <c r="T43" s="2" t="s">
        <v>142</v>
      </c>
      <c r="U43" s="2">
        <v>0</v>
      </c>
      <c r="V43" s="6" t="s">
        <v>72</v>
      </c>
      <c r="W43" s="3">
        <v>0</v>
      </c>
      <c r="X43" s="23">
        <v>26000</v>
      </c>
    </row>
    <row r="44" spans="1:24" x14ac:dyDescent="0.2">
      <c r="A44" s="8">
        <v>1701040</v>
      </c>
      <c r="B44" s="6">
        <v>42745</v>
      </c>
      <c r="C44" s="6">
        <v>42685.372429513889</v>
      </c>
      <c r="E44" s="6">
        <v>42826.758406365741</v>
      </c>
      <c r="F44" s="2" t="s">
        <v>26</v>
      </c>
      <c r="G44" s="2" t="s">
        <v>26</v>
      </c>
      <c r="H44" s="2" t="s">
        <v>26</v>
      </c>
      <c r="I44" s="2" t="s">
        <v>26</v>
      </c>
      <c r="J44" s="2" t="s">
        <v>26</v>
      </c>
      <c r="K44" s="2" t="s">
        <v>8</v>
      </c>
      <c r="L44" s="2" t="s">
        <v>170</v>
      </c>
      <c r="M44" s="2" t="s">
        <v>61</v>
      </c>
      <c r="N44" s="2" t="s">
        <v>188</v>
      </c>
      <c r="O44" s="2" t="s">
        <v>189</v>
      </c>
      <c r="P44" s="5">
        <v>618585878</v>
      </c>
      <c r="R44" s="2" t="s">
        <v>190</v>
      </c>
      <c r="S44" s="2" t="s">
        <v>64</v>
      </c>
      <c r="T44" s="2">
        <v>2</v>
      </c>
      <c r="U44" s="2">
        <v>2011</v>
      </c>
      <c r="V44" s="6">
        <v>43017</v>
      </c>
      <c r="W44" s="3" t="s">
        <v>166</v>
      </c>
      <c r="X44" s="23">
        <v>9360</v>
      </c>
    </row>
    <row r="45" spans="1:24" x14ac:dyDescent="0.2">
      <c r="A45" s="8">
        <v>1701041</v>
      </c>
      <c r="B45" s="6">
        <v>42745</v>
      </c>
      <c r="C45" s="6">
        <v>42691.664356365742</v>
      </c>
      <c r="E45" s="6">
        <v>42905.371769444442</v>
      </c>
      <c r="F45" s="2" t="s">
        <v>26</v>
      </c>
      <c r="G45" s="2" t="s">
        <v>26</v>
      </c>
      <c r="H45" s="2" t="s">
        <v>26</v>
      </c>
      <c r="I45" s="2" t="s">
        <v>26</v>
      </c>
      <c r="J45" s="2" t="s">
        <v>26</v>
      </c>
      <c r="K45" s="2" t="s">
        <v>8</v>
      </c>
      <c r="L45" s="2" t="s">
        <v>170</v>
      </c>
      <c r="M45" s="2" t="s">
        <v>66</v>
      </c>
      <c r="N45" s="2" t="s">
        <v>191</v>
      </c>
      <c r="O45" s="2" t="s">
        <v>59</v>
      </c>
      <c r="P45" s="5">
        <v>898813134</v>
      </c>
      <c r="R45" s="2" t="s">
        <v>192</v>
      </c>
      <c r="S45" s="2" t="s">
        <v>70</v>
      </c>
      <c r="T45" s="2" t="s">
        <v>193</v>
      </c>
      <c r="U45" s="2">
        <v>2012</v>
      </c>
      <c r="V45" s="6">
        <v>43008</v>
      </c>
      <c r="W45" s="3" t="s">
        <v>194</v>
      </c>
      <c r="X45" s="23">
        <v>8000</v>
      </c>
    </row>
    <row r="46" spans="1:24" x14ac:dyDescent="0.2">
      <c r="A46" s="8">
        <v>1701042</v>
      </c>
      <c r="B46" s="6">
        <v>42745</v>
      </c>
      <c r="C46" s="6">
        <v>42696.490985069446</v>
      </c>
      <c r="E46" s="6">
        <v>42879.373119328702</v>
      </c>
      <c r="F46" s="2" t="s">
        <v>26</v>
      </c>
      <c r="G46" s="2" t="s">
        <v>26</v>
      </c>
      <c r="H46" s="2" t="s">
        <v>26</v>
      </c>
      <c r="I46" s="2" t="s">
        <v>26</v>
      </c>
      <c r="J46" s="2" t="s">
        <v>26</v>
      </c>
      <c r="K46" s="2" t="s">
        <v>8</v>
      </c>
      <c r="L46" s="2" t="s">
        <v>170</v>
      </c>
      <c r="M46" s="2" t="s">
        <v>28</v>
      </c>
      <c r="N46" s="2" t="s">
        <v>197</v>
      </c>
      <c r="O46" s="2" t="s">
        <v>114</v>
      </c>
      <c r="P46" s="5">
        <v>879676971</v>
      </c>
      <c r="R46" s="2" t="s">
        <v>198</v>
      </c>
      <c r="S46" s="2" t="s">
        <v>31</v>
      </c>
      <c r="T46" s="2" t="s">
        <v>116</v>
      </c>
      <c r="U46" s="2">
        <v>2010</v>
      </c>
      <c r="V46" s="6">
        <v>42898</v>
      </c>
      <c r="W46" s="3" t="s">
        <v>106</v>
      </c>
      <c r="X46" s="23">
        <v>4700</v>
      </c>
    </row>
    <row r="47" spans="1:24" x14ac:dyDescent="0.2">
      <c r="A47" s="8">
        <v>1701043</v>
      </c>
      <c r="B47" s="6">
        <v>42745</v>
      </c>
      <c r="C47" s="6">
        <v>42707.714337152778</v>
      </c>
      <c r="E47" s="6">
        <v>42826.757647569444</v>
      </c>
      <c r="F47" s="2" t="s">
        <v>26</v>
      </c>
      <c r="G47" s="2" t="s">
        <v>26</v>
      </c>
      <c r="H47" s="2" t="s">
        <v>26</v>
      </c>
      <c r="I47" s="2" t="s">
        <v>26</v>
      </c>
      <c r="J47" s="2" t="s">
        <v>26</v>
      </c>
      <c r="K47" s="2" t="s">
        <v>8</v>
      </c>
      <c r="L47" s="2" t="s">
        <v>170</v>
      </c>
      <c r="M47" s="2" t="s">
        <v>28</v>
      </c>
      <c r="N47" s="2" t="s">
        <v>199</v>
      </c>
      <c r="O47" s="2" t="s">
        <v>200</v>
      </c>
      <c r="P47" s="5">
        <v>860778145</v>
      </c>
      <c r="Q47" s="5">
        <v>870431628</v>
      </c>
      <c r="R47" s="2" t="s">
        <v>201</v>
      </c>
      <c r="S47" s="2" t="s">
        <v>31</v>
      </c>
      <c r="T47" s="2" t="s">
        <v>116</v>
      </c>
      <c r="U47" s="2">
        <v>2010</v>
      </c>
      <c r="V47" s="6">
        <v>42729</v>
      </c>
      <c r="W47" s="3" t="s">
        <v>202</v>
      </c>
      <c r="X47" s="23">
        <v>5700</v>
      </c>
    </row>
    <row r="48" spans="1:24" x14ac:dyDescent="0.2">
      <c r="A48" s="8">
        <v>1701044</v>
      </c>
      <c r="B48" s="6">
        <v>42745</v>
      </c>
      <c r="C48" s="6">
        <v>42712.719776967591</v>
      </c>
      <c r="E48" s="6">
        <v>42823.417654745368</v>
      </c>
      <c r="F48" s="2" t="s">
        <v>26</v>
      </c>
      <c r="G48" s="2" t="s">
        <v>26</v>
      </c>
      <c r="H48" s="2" t="s">
        <v>26</v>
      </c>
      <c r="I48" s="2" t="s">
        <v>26</v>
      </c>
      <c r="J48" s="2" t="s">
        <v>26</v>
      </c>
      <c r="K48" s="2" t="s">
        <v>8</v>
      </c>
      <c r="L48" s="2" t="s">
        <v>170</v>
      </c>
      <c r="M48" s="2" t="s">
        <v>28</v>
      </c>
      <c r="N48" s="2" t="s">
        <v>210</v>
      </c>
      <c r="O48" s="2" t="s">
        <v>128</v>
      </c>
      <c r="P48" s="5">
        <v>824992957</v>
      </c>
      <c r="R48" s="2" t="s">
        <v>211</v>
      </c>
      <c r="S48" s="2" t="s">
        <v>31</v>
      </c>
      <c r="T48" s="2" t="s">
        <v>116</v>
      </c>
      <c r="U48" s="2">
        <v>2007</v>
      </c>
      <c r="V48" s="6" t="s">
        <v>72</v>
      </c>
      <c r="W48" s="3">
        <v>0</v>
      </c>
    </row>
    <row r="49" spans="1:24" x14ac:dyDescent="0.2">
      <c r="A49" s="8">
        <v>1701045</v>
      </c>
      <c r="B49" s="6">
        <v>42745</v>
      </c>
      <c r="C49" s="6">
        <v>42719.635112152777</v>
      </c>
      <c r="E49" s="6">
        <v>42815.38058020833</v>
      </c>
      <c r="F49" s="2" t="s">
        <v>26</v>
      </c>
      <c r="G49" s="2" t="s">
        <v>26</v>
      </c>
      <c r="H49" s="2" t="s">
        <v>26</v>
      </c>
      <c r="I49" s="2" t="s">
        <v>26</v>
      </c>
      <c r="J49" s="2" t="s">
        <v>26</v>
      </c>
      <c r="K49" s="2" t="s">
        <v>8</v>
      </c>
      <c r="L49" s="2" t="s">
        <v>170</v>
      </c>
      <c r="M49" s="2" t="s">
        <v>61</v>
      </c>
      <c r="N49" s="2" t="s">
        <v>216</v>
      </c>
      <c r="O49" s="2" t="s">
        <v>217</v>
      </c>
      <c r="P49" s="5">
        <v>806510700</v>
      </c>
      <c r="R49" s="2" t="s">
        <v>218</v>
      </c>
      <c r="S49" s="2" t="s">
        <v>55</v>
      </c>
      <c r="T49" s="2" t="s">
        <v>56</v>
      </c>
      <c r="U49" s="2">
        <v>2013</v>
      </c>
      <c r="V49" s="6">
        <v>42916</v>
      </c>
      <c r="W49" s="3" t="s">
        <v>219</v>
      </c>
    </row>
    <row r="50" spans="1:24" x14ac:dyDescent="0.2">
      <c r="A50" s="8">
        <v>1701046</v>
      </c>
      <c r="B50" s="6">
        <v>42745</v>
      </c>
      <c r="C50" s="6">
        <v>42725.564563310189</v>
      </c>
      <c r="E50" s="6">
        <v>42787.430229050929</v>
      </c>
      <c r="F50" s="2" t="s">
        <v>26</v>
      </c>
      <c r="G50" s="2" t="s">
        <v>26</v>
      </c>
      <c r="H50" s="2" t="s">
        <v>26</v>
      </c>
      <c r="I50" s="2" t="s">
        <v>26</v>
      </c>
      <c r="J50" s="2" t="s">
        <v>26</v>
      </c>
      <c r="K50" s="2" t="s">
        <v>8</v>
      </c>
      <c r="L50" s="2" t="s">
        <v>170</v>
      </c>
      <c r="M50" s="2" t="s">
        <v>61</v>
      </c>
      <c r="N50" s="2" t="s">
        <v>212</v>
      </c>
      <c r="O50" s="2" t="s">
        <v>114</v>
      </c>
      <c r="P50" s="5">
        <v>813915293</v>
      </c>
      <c r="R50" s="2" t="s">
        <v>213</v>
      </c>
      <c r="S50" s="2" t="s">
        <v>49</v>
      </c>
      <c r="T50" s="2" t="s">
        <v>214</v>
      </c>
      <c r="U50" s="2">
        <v>2010</v>
      </c>
      <c r="V50" s="6">
        <v>43029</v>
      </c>
      <c r="W50" s="3" t="s">
        <v>215</v>
      </c>
      <c r="X50" s="23">
        <v>0</v>
      </c>
    </row>
    <row r="51" spans="1:24" x14ac:dyDescent="0.2">
      <c r="A51" s="8">
        <v>1701047</v>
      </c>
      <c r="B51" s="6">
        <v>42745</v>
      </c>
      <c r="C51" s="6">
        <v>42725.571454398145</v>
      </c>
      <c r="E51" s="6">
        <v>42835.732765509259</v>
      </c>
      <c r="F51" s="2" t="s">
        <v>26</v>
      </c>
      <c r="G51" s="2" t="s">
        <v>26</v>
      </c>
      <c r="H51" s="2" t="s">
        <v>26</v>
      </c>
      <c r="I51" s="2" t="s">
        <v>26</v>
      </c>
      <c r="J51" s="2" t="s">
        <v>26</v>
      </c>
      <c r="K51" s="2" t="s">
        <v>8</v>
      </c>
      <c r="L51" s="2" t="s">
        <v>170</v>
      </c>
      <c r="M51" s="2" t="s">
        <v>28</v>
      </c>
      <c r="N51" s="2" t="s">
        <v>220</v>
      </c>
      <c r="O51" s="2" t="s">
        <v>208</v>
      </c>
      <c r="P51" s="5">
        <v>817507086</v>
      </c>
      <c r="R51" s="2" t="s">
        <v>221</v>
      </c>
      <c r="S51" s="2" t="s">
        <v>55</v>
      </c>
      <c r="T51" s="2" t="s">
        <v>222</v>
      </c>
      <c r="U51" s="2">
        <v>2000</v>
      </c>
      <c r="V51" s="6">
        <v>42765</v>
      </c>
      <c r="W51" s="3" t="s">
        <v>223</v>
      </c>
      <c r="X51" s="23">
        <v>1890</v>
      </c>
    </row>
    <row r="52" spans="1:24" x14ac:dyDescent="0.2">
      <c r="A52" s="8">
        <v>1701048</v>
      </c>
      <c r="B52" s="6">
        <v>42745</v>
      </c>
      <c r="C52" s="6">
        <v>42731.593760532407</v>
      </c>
      <c r="E52" s="6">
        <v>42815.380117824076</v>
      </c>
      <c r="F52" s="2" t="s">
        <v>26</v>
      </c>
      <c r="G52" s="2" t="s">
        <v>26</v>
      </c>
      <c r="H52" s="2" t="s">
        <v>26</v>
      </c>
      <c r="I52" s="2" t="s">
        <v>26</v>
      </c>
      <c r="J52" s="2" t="s">
        <v>26</v>
      </c>
      <c r="K52" s="2" t="s">
        <v>8</v>
      </c>
      <c r="L52" s="2" t="s">
        <v>170</v>
      </c>
      <c r="M52" s="2" t="s">
        <v>45</v>
      </c>
      <c r="N52" s="2" t="s">
        <v>227</v>
      </c>
      <c r="O52" s="2" t="s">
        <v>47</v>
      </c>
      <c r="P52" s="5">
        <v>859367703</v>
      </c>
      <c r="R52" s="2" t="s">
        <v>228</v>
      </c>
      <c r="S52" s="2" t="s">
        <v>49</v>
      </c>
      <c r="T52" s="2" t="s">
        <v>130</v>
      </c>
      <c r="U52" s="2">
        <v>2007</v>
      </c>
      <c r="V52" s="6">
        <v>42956</v>
      </c>
      <c r="W52" s="3" t="s">
        <v>229</v>
      </c>
      <c r="X52" s="23">
        <v>9900</v>
      </c>
    </row>
    <row r="53" spans="1:24" x14ac:dyDescent="0.2">
      <c r="A53" s="8">
        <v>1701049</v>
      </c>
      <c r="B53" s="6">
        <v>42745</v>
      </c>
      <c r="C53" s="6">
        <v>42732.725051388887</v>
      </c>
      <c r="E53" s="6">
        <v>42935.359730671298</v>
      </c>
      <c r="F53" s="2" t="s">
        <v>26</v>
      </c>
      <c r="G53" s="2" t="s">
        <v>26</v>
      </c>
      <c r="H53" s="2" t="s">
        <v>26</v>
      </c>
      <c r="I53" s="2" t="s">
        <v>26</v>
      </c>
      <c r="J53" s="2" t="s">
        <v>26</v>
      </c>
      <c r="K53" s="2" t="s">
        <v>8</v>
      </c>
      <c r="L53" s="2" t="s">
        <v>170</v>
      </c>
      <c r="M53" s="2" t="s">
        <v>88</v>
      </c>
      <c r="N53" s="2" t="s">
        <v>230</v>
      </c>
      <c r="O53" s="2" t="s">
        <v>59</v>
      </c>
      <c r="P53" s="5">
        <v>826336807</v>
      </c>
      <c r="R53" s="2" t="s">
        <v>231</v>
      </c>
      <c r="S53" s="2" t="s">
        <v>49</v>
      </c>
      <c r="T53" s="2" t="s">
        <v>130</v>
      </c>
      <c r="U53" s="2">
        <v>2014</v>
      </c>
      <c r="V53" s="6">
        <v>42992</v>
      </c>
      <c r="W53" s="3" t="s">
        <v>232</v>
      </c>
      <c r="X53" s="23">
        <v>5000</v>
      </c>
    </row>
    <row r="54" spans="1:24" x14ac:dyDescent="0.2">
      <c r="A54" s="8">
        <v>1701050</v>
      </c>
      <c r="B54" s="6">
        <v>42745.409175578701</v>
      </c>
      <c r="C54" s="6">
        <v>42745.419650347219</v>
      </c>
      <c r="E54" s="6">
        <v>42774.730777199075</v>
      </c>
      <c r="F54" s="2" t="s">
        <v>92</v>
      </c>
      <c r="G54" s="2" t="s">
        <v>11</v>
      </c>
      <c r="H54" s="2" t="s">
        <v>93</v>
      </c>
      <c r="I54" s="2" t="s">
        <v>107</v>
      </c>
      <c r="J54" s="2" t="s">
        <v>95</v>
      </c>
      <c r="K54" s="2" t="s">
        <v>8</v>
      </c>
      <c r="L54" s="2" t="s">
        <v>27</v>
      </c>
      <c r="M54" s="2" t="s">
        <v>28</v>
      </c>
      <c r="N54" s="2" t="s">
        <v>159</v>
      </c>
      <c r="O54" s="2" t="s">
        <v>114</v>
      </c>
      <c r="P54" s="5">
        <v>909925262</v>
      </c>
      <c r="R54" s="2" t="s">
        <v>160</v>
      </c>
      <c r="S54" s="2" t="s">
        <v>161</v>
      </c>
      <c r="T54" s="2" t="s">
        <v>102</v>
      </c>
      <c r="U54" s="2">
        <v>2008</v>
      </c>
      <c r="V54" s="6">
        <v>42818</v>
      </c>
      <c r="W54" s="3" t="s">
        <v>162</v>
      </c>
    </row>
    <row r="55" spans="1:24" x14ac:dyDescent="0.2">
      <c r="A55" s="8">
        <v>1701051</v>
      </c>
      <c r="B55" s="6">
        <v>42745.458302893516</v>
      </c>
      <c r="C55" s="6">
        <v>42745.466718518517</v>
      </c>
      <c r="E55" s="6">
        <v>42767.718730902779</v>
      </c>
      <c r="F55" s="2" t="s">
        <v>26</v>
      </c>
      <c r="G55" s="2" t="s">
        <v>26</v>
      </c>
      <c r="H55" s="2" t="s">
        <v>26</v>
      </c>
      <c r="I55" s="2" t="s">
        <v>26</v>
      </c>
      <c r="J55" s="2" t="s">
        <v>26</v>
      </c>
      <c r="K55" s="2" t="s">
        <v>8</v>
      </c>
      <c r="L55" s="2" t="s">
        <v>73</v>
      </c>
      <c r="M55" s="2" t="s">
        <v>28</v>
      </c>
      <c r="N55" s="2" t="s">
        <v>163</v>
      </c>
      <c r="P55" s="5">
        <v>918010200</v>
      </c>
      <c r="R55" s="2" t="s">
        <v>164</v>
      </c>
      <c r="S55" s="2" t="s">
        <v>55</v>
      </c>
      <c r="T55" s="2" t="s">
        <v>165</v>
      </c>
      <c r="U55" s="2">
        <v>2014</v>
      </c>
      <c r="V55" s="6">
        <v>42707</v>
      </c>
      <c r="W55" s="3" t="s">
        <v>166</v>
      </c>
      <c r="X55" s="23">
        <v>0</v>
      </c>
    </row>
    <row r="56" spans="1:24" x14ac:dyDescent="0.2">
      <c r="A56" s="8">
        <v>1701052</v>
      </c>
      <c r="B56" s="6">
        <v>42745.462598032405</v>
      </c>
      <c r="C56" s="6">
        <v>42814.584725925924</v>
      </c>
      <c r="D56" s="6">
        <v>42824</v>
      </c>
      <c r="E56" s="6">
        <v>42830.732916550929</v>
      </c>
      <c r="F56" s="2" t="s">
        <v>26</v>
      </c>
      <c r="G56" s="2" t="s">
        <v>26</v>
      </c>
      <c r="H56" s="2" t="s">
        <v>26</v>
      </c>
      <c r="I56" s="2" t="s">
        <v>26</v>
      </c>
      <c r="J56" s="2" t="s">
        <v>26</v>
      </c>
      <c r="K56" s="2" t="s">
        <v>8</v>
      </c>
      <c r="L56" s="2" t="s">
        <v>27</v>
      </c>
      <c r="M56" s="2" t="s">
        <v>28</v>
      </c>
      <c r="N56" s="2" t="s">
        <v>167</v>
      </c>
      <c r="O56" s="2" t="s">
        <v>107</v>
      </c>
      <c r="P56" s="5">
        <v>984420211</v>
      </c>
      <c r="R56" s="2" t="s">
        <v>168</v>
      </c>
      <c r="S56" s="2" t="s">
        <v>31</v>
      </c>
      <c r="T56" s="2" t="s">
        <v>169</v>
      </c>
      <c r="U56" s="2">
        <v>2014</v>
      </c>
      <c r="V56" s="6">
        <v>43094</v>
      </c>
      <c r="W56" s="3" t="s">
        <v>112</v>
      </c>
    </row>
    <row r="57" spans="1:24" x14ac:dyDescent="0.2">
      <c r="A57" s="8">
        <v>1701053</v>
      </c>
      <c r="B57" s="6">
        <v>42745.626637499998</v>
      </c>
      <c r="C57" s="6">
        <v>42745.638202546295</v>
      </c>
      <c r="E57" s="6">
        <v>42781.703422916667</v>
      </c>
      <c r="F57" s="2" t="s">
        <v>92</v>
      </c>
      <c r="G57" s="2" t="s">
        <v>95</v>
      </c>
      <c r="H57" s="2" t="s">
        <v>93</v>
      </c>
      <c r="I57" s="2" t="s">
        <v>94</v>
      </c>
      <c r="J57" s="2" t="s">
        <v>95</v>
      </c>
      <c r="K57" s="2" t="s">
        <v>8</v>
      </c>
      <c r="L57" s="2" t="s">
        <v>51</v>
      </c>
      <c r="M57" s="2" t="s">
        <v>61</v>
      </c>
      <c r="N57" s="2" t="s">
        <v>233</v>
      </c>
      <c r="O57" s="2" t="s">
        <v>234</v>
      </c>
      <c r="P57" s="5">
        <v>984876709</v>
      </c>
      <c r="R57" s="2" t="s">
        <v>235</v>
      </c>
      <c r="S57" s="2" t="s">
        <v>49</v>
      </c>
      <c r="T57" s="2" t="s">
        <v>130</v>
      </c>
      <c r="U57" s="2">
        <v>2012</v>
      </c>
      <c r="V57" s="6" t="s">
        <v>72</v>
      </c>
    </row>
    <row r="58" spans="1:24" x14ac:dyDescent="0.2">
      <c r="A58" s="8">
        <v>1701054</v>
      </c>
      <c r="B58" s="6">
        <v>42745.631028703705</v>
      </c>
      <c r="C58" s="6">
        <v>42797.576504976852</v>
      </c>
      <c r="E58" s="6" t="s">
        <v>1511</v>
      </c>
      <c r="F58" s="2" t="s">
        <v>92</v>
      </c>
      <c r="G58" s="2" t="s">
        <v>11</v>
      </c>
      <c r="H58" s="2" t="s">
        <v>93</v>
      </c>
      <c r="I58" s="2" t="s">
        <v>94</v>
      </c>
      <c r="J58" s="2" t="s">
        <v>95</v>
      </c>
      <c r="K58" s="2" t="s">
        <v>8</v>
      </c>
      <c r="L58" s="2" t="s">
        <v>27</v>
      </c>
      <c r="M58" s="2" t="s">
        <v>28</v>
      </c>
      <c r="N58" s="2" t="s">
        <v>236</v>
      </c>
      <c r="O58" s="2" t="s">
        <v>47</v>
      </c>
      <c r="P58" s="5">
        <v>898968994</v>
      </c>
      <c r="R58" s="2" t="s">
        <v>237</v>
      </c>
      <c r="S58" s="2" t="s">
        <v>55</v>
      </c>
      <c r="T58" s="2" t="s">
        <v>142</v>
      </c>
      <c r="U58" s="2">
        <v>2010</v>
      </c>
      <c r="V58" s="6">
        <v>42814</v>
      </c>
      <c r="W58" s="3" t="s">
        <v>155</v>
      </c>
      <c r="X58" s="23">
        <v>22514.66</v>
      </c>
    </row>
    <row r="59" spans="1:24" x14ac:dyDescent="0.2">
      <c r="A59" s="8">
        <v>1701055</v>
      </c>
      <c r="B59" s="6">
        <v>42745.63444386574</v>
      </c>
      <c r="C59" s="6">
        <v>42779.591306018519</v>
      </c>
      <c r="D59" s="6">
        <v>42789</v>
      </c>
      <c r="E59" s="6">
        <v>42791.755225925925</v>
      </c>
      <c r="F59" s="2" t="s">
        <v>26</v>
      </c>
      <c r="G59" s="2" t="s">
        <v>26</v>
      </c>
      <c r="H59" s="2" t="s">
        <v>26</v>
      </c>
      <c r="I59" s="2" t="s">
        <v>26</v>
      </c>
      <c r="J59" s="2" t="s">
        <v>26</v>
      </c>
      <c r="K59" s="2" t="s">
        <v>8</v>
      </c>
      <c r="L59" s="2" t="s">
        <v>27</v>
      </c>
      <c r="M59" s="2" t="s">
        <v>45</v>
      </c>
      <c r="N59" s="2" t="s">
        <v>238</v>
      </c>
      <c r="O59" s="2" t="s">
        <v>239</v>
      </c>
      <c r="P59" s="5">
        <v>800495932</v>
      </c>
      <c r="R59" s="2" t="s">
        <v>240</v>
      </c>
      <c r="S59" s="2" t="s">
        <v>49</v>
      </c>
      <c r="T59" s="2" t="s">
        <v>79</v>
      </c>
      <c r="U59" s="2">
        <v>2010</v>
      </c>
      <c r="V59" s="6" t="s">
        <v>72</v>
      </c>
      <c r="X59" s="23">
        <v>2500</v>
      </c>
    </row>
    <row r="60" spans="1:24" x14ac:dyDescent="0.2">
      <c r="A60" s="8">
        <v>1701056</v>
      </c>
      <c r="B60" s="6">
        <v>42746.568640162041</v>
      </c>
      <c r="F60" s="2" t="s">
        <v>126</v>
      </c>
      <c r="G60" s="2" t="s">
        <v>126</v>
      </c>
      <c r="H60" s="2" t="s">
        <v>126</v>
      </c>
      <c r="I60" s="2" t="s">
        <v>126</v>
      </c>
      <c r="J60" s="2" t="s">
        <v>126</v>
      </c>
      <c r="K60" s="2" t="s">
        <v>8</v>
      </c>
      <c r="L60" s="2" t="s">
        <v>34</v>
      </c>
      <c r="M60" s="2" t="s">
        <v>45</v>
      </c>
      <c r="N60" s="2" t="s">
        <v>241</v>
      </c>
      <c r="O60" s="2" t="s">
        <v>68</v>
      </c>
      <c r="P60" s="5">
        <v>819896859</v>
      </c>
      <c r="R60" s="2" t="s">
        <v>242</v>
      </c>
      <c r="S60" s="2" t="s">
        <v>243</v>
      </c>
      <c r="T60" s="2" t="s">
        <v>244</v>
      </c>
      <c r="U60" s="2">
        <v>2012</v>
      </c>
      <c r="V60" s="6" t="s">
        <v>72</v>
      </c>
    </row>
    <row r="61" spans="1:24" x14ac:dyDescent="0.2">
      <c r="A61" s="8">
        <v>1701057</v>
      </c>
      <c r="B61" s="6">
        <v>42746.57311041667</v>
      </c>
      <c r="C61" s="6">
        <v>42797.56270613426</v>
      </c>
      <c r="E61" s="6" t="s">
        <v>1511</v>
      </c>
      <c r="F61" s="2" t="s">
        <v>92</v>
      </c>
      <c r="G61" s="2" t="s">
        <v>11</v>
      </c>
      <c r="H61" s="2" t="s">
        <v>93</v>
      </c>
      <c r="I61" s="2" t="s">
        <v>94</v>
      </c>
      <c r="J61" s="2" t="s">
        <v>95</v>
      </c>
      <c r="K61" s="2" t="s">
        <v>8</v>
      </c>
      <c r="L61" s="2" t="s">
        <v>34</v>
      </c>
      <c r="M61" s="2" t="s">
        <v>28</v>
      </c>
      <c r="N61" s="2" t="s">
        <v>245</v>
      </c>
      <c r="O61" s="2" t="s">
        <v>114</v>
      </c>
      <c r="P61" s="5">
        <v>979658795</v>
      </c>
      <c r="R61" s="2" t="s">
        <v>246</v>
      </c>
      <c r="S61" s="2" t="s">
        <v>70</v>
      </c>
      <c r="T61" s="2" t="s">
        <v>71</v>
      </c>
      <c r="U61" s="2">
        <v>2010</v>
      </c>
      <c r="V61" s="6">
        <v>43066</v>
      </c>
      <c r="W61" s="3" t="s">
        <v>247</v>
      </c>
    </row>
    <row r="62" spans="1:24" x14ac:dyDescent="0.2">
      <c r="A62" s="8">
        <v>1701058</v>
      </c>
      <c r="B62" s="6">
        <v>42746.596971874998</v>
      </c>
      <c r="C62" s="6">
        <v>42747.565777777774</v>
      </c>
      <c r="E62" s="6" t="s">
        <v>1511</v>
      </c>
      <c r="F62" s="2" t="s">
        <v>92</v>
      </c>
      <c r="G62" s="2" t="s">
        <v>95</v>
      </c>
      <c r="H62" s="2" t="s">
        <v>93</v>
      </c>
      <c r="I62" s="2" t="s">
        <v>94</v>
      </c>
      <c r="J62" s="2" t="s">
        <v>95</v>
      </c>
      <c r="K62" s="2" t="s">
        <v>8</v>
      </c>
      <c r="L62" s="2" t="s">
        <v>170</v>
      </c>
      <c r="M62" s="2" t="s">
        <v>28</v>
      </c>
      <c r="N62" s="2" t="s">
        <v>248</v>
      </c>
      <c r="O62" s="2" t="s">
        <v>107</v>
      </c>
      <c r="P62" s="5">
        <v>922688176</v>
      </c>
      <c r="R62" s="2" t="s">
        <v>249</v>
      </c>
      <c r="S62" s="2" t="s">
        <v>49</v>
      </c>
      <c r="T62" s="2" t="s">
        <v>205</v>
      </c>
      <c r="U62" s="2">
        <v>2012</v>
      </c>
      <c r="V62" s="6">
        <v>42789</v>
      </c>
      <c r="W62" s="3" t="s">
        <v>250</v>
      </c>
    </row>
    <row r="63" spans="1:24" x14ac:dyDescent="0.2">
      <c r="A63" s="8">
        <v>1701059</v>
      </c>
      <c r="B63" s="6">
        <v>42746.599841550924</v>
      </c>
      <c r="C63" s="6">
        <v>42746.612931944444</v>
      </c>
      <c r="E63" s="6">
        <v>42802.736920254632</v>
      </c>
      <c r="F63" s="2" t="s">
        <v>26</v>
      </c>
      <c r="G63" s="2" t="s">
        <v>26</v>
      </c>
      <c r="H63" s="2" t="s">
        <v>26</v>
      </c>
      <c r="I63" s="2" t="s">
        <v>26</v>
      </c>
      <c r="J63" s="2" t="s">
        <v>26</v>
      </c>
      <c r="K63" s="2" t="s">
        <v>8</v>
      </c>
      <c r="L63" s="2" t="s">
        <v>170</v>
      </c>
      <c r="M63" s="2" t="s">
        <v>28</v>
      </c>
      <c r="N63" s="2" t="s">
        <v>251</v>
      </c>
      <c r="O63" s="2" t="s">
        <v>239</v>
      </c>
      <c r="P63" s="5">
        <v>830338804</v>
      </c>
      <c r="R63" s="2" t="s">
        <v>252</v>
      </c>
      <c r="S63" s="2" t="s">
        <v>70</v>
      </c>
      <c r="T63" s="2" t="s">
        <v>193</v>
      </c>
      <c r="U63" s="2">
        <v>2013</v>
      </c>
      <c r="V63" s="6" t="s">
        <v>72</v>
      </c>
      <c r="X63" s="23">
        <v>1985.98</v>
      </c>
    </row>
    <row r="64" spans="1:24" x14ac:dyDescent="0.2">
      <c r="A64" s="8">
        <v>1701060</v>
      </c>
      <c r="B64" s="6">
        <v>42746.60316770833</v>
      </c>
      <c r="C64" s="6">
        <v>42746.613471875004</v>
      </c>
      <c r="E64" s="6">
        <v>42798.713456365738</v>
      </c>
      <c r="F64" s="2" t="s">
        <v>26</v>
      </c>
      <c r="G64" s="2" t="s">
        <v>26</v>
      </c>
      <c r="H64" s="2" t="s">
        <v>26</v>
      </c>
      <c r="I64" s="2" t="s">
        <v>26</v>
      </c>
      <c r="J64" s="2" t="s">
        <v>26</v>
      </c>
      <c r="K64" s="2" t="s">
        <v>8</v>
      </c>
      <c r="L64" s="2" t="s">
        <v>170</v>
      </c>
      <c r="M64" s="2" t="s">
        <v>88</v>
      </c>
      <c r="N64" s="2" t="s">
        <v>253</v>
      </c>
      <c r="O64" s="2" t="s">
        <v>254</v>
      </c>
      <c r="P64" s="5">
        <v>817348972</v>
      </c>
      <c r="Q64" s="5">
        <v>904162652</v>
      </c>
      <c r="R64" s="2" t="s">
        <v>255</v>
      </c>
      <c r="S64" s="2" t="s">
        <v>49</v>
      </c>
      <c r="T64" s="2" t="s">
        <v>111</v>
      </c>
      <c r="U64" s="2">
        <v>2000</v>
      </c>
      <c r="V64" s="6">
        <v>42930</v>
      </c>
      <c r="W64" s="3" t="s">
        <v>143</v>
      </c>
      <c r="X64" s="23">
        <v>6077.6</v>
      </c>
    </row>
    <row r="65" spans="1:24" x14ac:dyDescent="0.2">
      <c r="A65" s="8">
        <v>1701061</v>
      </c>
      <c r="B65" s="6">
        <v>42746.609355092594</v>
      </c>
      <c r="C65" s="6">
        <v>42746.614430671296</v>
      </c>
      <c r="E65" s="6">
        <v>42791.755720601854</v>
      </c>
      <c r="F65" s="2" t="s">
        <v>26</v>
      </c>
      <c r="G65" s="2" t="s">
        <v>26</v>
      </c>
      <c r="H65" s="2" t="s">
        <v>26</v>
      </c>
      <c r="I65" s="2" t="s">
        <v>26</v>
      </c>
      <c r="J65" s="2" t="s">
        <v>26</v>
      </c>
      <c r="K65" s="2" t="s">
        <v>8</v>
      </c>
      <c r="L65" s="2" t="s">
        <v>170</v>
      </c>
      <c r="M65" s="2" t="s">
        <v>61</v>
      </c>
      <c r="N65" s="2" t="s">
        <v>256</v>
      </c>
      <c r="O65" s="2" t="s">
        <v>239</v>
      </c>
      <c r="P65" s="5">
        <v>867528691</v>
      </c>
      <c r="Q65" s="5">
        <v>931187879</v>
      </c>
      <c r="R65" s="2" t="s">
        <v>257</v>
      </c>
      <c r="S65" s="2" t="s">
        <v>49</v>
      </c>
      <c r="T65" s="2" t="s">
        <v>79</v>
      </c>
      <c r="U65" s="2">
        <v>2015</v>
      </c>
      <c r="V65" s="6">
        <v>42744</v>
      </c>
      <c r="W65" s="3" t="s">
        <v>155</v>
      </c>
      <c r="X65" s="23">
        <v>4189.3999999999996</v>
      </c>
    </row>
    <row r="66" spans="1:24" x14ac:dyDescent="0.2">
      <c r="A66" s="8">
        <v>1701062</v>
      </c>
      <c r="B66" s="6">
        <v>42746.724067361109</v>
      </c>
      <c r="C66" s="6">
        <v>42776.671221180557</v>
      </c>
      <c r="D66" s="6">
        <v>42776</v>
      </c>
      <c r="E66" s="6">
        <v>42776.67154560185</v>
      </c>
      <c r="F66" s="2">
        <v>-0.6712211805570405</v>
      </c>
      <c r="G66" s="2" t="s">
        <v>11</v>
      </c>
      <c r="H66" s="2" t="s">
        <v>93</v>
      </c>
      <c r="I66" s="2" t="s">
        <v>95</v>
      </c>
      <c r="J66" s="2" t="s">
        <v>95</v>
      </c>
      <c r="K66" s="2" t="s">
        <v>8</v>
      </c>
      <c r="L66" s="2" t="s">
        <v>34</v>
      </c>
      <c r="M66" s="2" t="s">
        <v>28</v>
      </c>
      <c r="N66" s="2" t="s">
        <v>258</v>
      </c>
      <c r="O66" s="2" t="s">
        <v>120</v>
      </c>
      <c r="P66" s="5">
        <v>982855039</v>
      </c>
      <c r="R66" s="2" t="s">
        <v>259</v>
      </c>
      <c r="S66" s="2" t="s">
        <v>243</v>
      </c>
      <c r="T66" s="2" t="s">
        <v>244</v>
      </c>
      <c r="U66" s="2">
        <v>2014</v>
      </c>
      <c r="V66" s="6">
        <v>43095</v>
      </c>
      <c r="W66" s="3" t="s">
        <v>260</v>
      </c>
      <c r="X66" s="23">
        <v>9200</v>
      </c>
    </row>
    <row r="67" spans="1:24" x14ac:dyDescent="0.2">
      <c r="A67" s="8">
        <v>1701063</v>
      </c>
      <c r="B67" s="6">
        <v>42747.47569201389</v>
      </c>
      <c r="C67" s="6">
        <v>42747.476531712964</v>
      </c>
      <c r="E67" s="6">
        <v>42843.401591898146</v>
      </c>
      <c r="F67" s="2" t="s">
        <v>26</v>
      </c>
      <c r="G67" s="2" t="s">
        <v>26</v>
      </c>
      <c r="H67" s="2" t="s">
        <v>26</v>
      </c>
      <c r="I67" s="2" t="s">
        <v>26</v>
      </c>
      <c r="J67" s="2" t="s">
        <v>26</v>
      </c>
      <c r="K67" s="2" t="s">
        <v>8</v>
      </c>
      <c r="L67" s="2" t="s">
        <v>170</v>
      </c>
      <c r="M67" s="2" t="s">
        <v>118</v>
      </c>
      <c r="N67" s="2" t="s">
        <v>261</v>
      </c>
      <c r="O67" s="2" t="s">
        <v>262</v>
      </c>
      <c r="P67" s="5">
        <v>814243678</v>
      </c>
      <c r="Q67" s="5">
        <v>917920352</v>
      </c>
      <c r="R67" s="2" t="s">
        <v>263</v>
      </c>
      <c r="S67" s="2" t="s">
        <v>49</v>
      </c>
      <c r="T67" s="2" t="s">
        <v>79</v>
      </c>
      <c r="U67" s="2">
        <v>2007</v>
      </c>
      <c r="V67" s="6">
        <v>42885</v>
      </c>
      <c r="W67" s="3" t="s">
        <v>39</v>
      </c>
      <c r="X67" s="23">
        <v>7878.97</v>
      </c>
    </row>
    <row r="68" spans="1:24" x14ac:dyDescent="0.2">
      <c r="A68" s="8">
        <v>1701064</v>
      </c>
      <c r="B68" s="6">
        <v>42747.641673842591</v>
      </c>
      <c r="C68" s="6">
        <v>42772.662201851854</v>
      </c>
      <c r="D68" s="6">
        <v>42776</v>
      </c>
      <c r="E68" s="6">
        <v>42777.558233333337</v>
      </c>
      <c r="F68" s="2">
        <v>3.3377981481462484</v>
      </c>
      <c r="G68" s="2" t="s">
        <v>11</v>
      </c>
      <c r="H68" s="2" t="s">
        <v>93</v>
      </c>
      <c r="I68" s="2" t="s">
        <v>94</v>
      </c>
      <c r="J68" s="2" t="s">
        <v>95</v>
      </c>
      <c r="K68" s="2" t="s">
        <v>8</v>
      </c>
      <c r="L68" s="2" t="s">
        <v>34</v>
      </c>
      <c r="M68" s="2" t="s">
        <v>28</v>
      </c>
      <c r="N68" s="2" t="s">
        <v>264</v>
      </c>
      <c r="O68" s="2" t="s">
        <v>68</v>
      </c>
      <c r="P68" s="5">
        <v>870254788</v>
      </c>
      <c r="R68" s="2" t="s">
        <v>265</v>
      </c>
      <c r="S68" s="2" t="s">
        <v>49</v>
      </c>
      <c r="T68" s="2" t="s">
        <v>79</v>
      </c>
      <c r="U68" s="2">
        <v>2012</v>
      </c>
      <c r="V68" s="6">
        <v>43054</v>
      </c>
      <c r="W68" s="3" t="s">
        <v>266</v>
      </c>
      <c r="X68" s="23">
        <v>7934.3</v>
      </c>
    </row>
    <row r="69" spans="1:24" x14ac:dyDescent="0.2">
      <c r="A69" s="8">
        <v>1701065</v>
      </c>
      <c r="B69" s="6">
        <v>42747.644137731484</v>
      </c>
      <c r="C69" s="6">
        <v>42747.649898263888</v>
      </c>
      <c r="E69" s="6">
        <v>42758.640505671297</v>
      </c>
      <c r="F69" s="2" t="s">
        <v>26</v>
      </c>
      <c r="G69" s="2" t="s">
        <v>26</v>
      </c>
      <c r="H69" s="2" t="s">
        <v>26</v>
      </c>
      <c r="I69" s="2" t="s">
        <v>26</v>
      </c>
      <c r="J69" s="2" t="s">
        <v>26</v>
      </c>
      <c r="K69" s="2" t="s">
        <v>8</v>
      </c>
      <c r="L69" s="2" t="s">
        <v>34</v>
      </c>
      <c r="M69" s="2" t="s">
        <v>118</v>
      </c>
      <c r="N69" s="2" t="s">
        <v>267</v>
      </c>
      <c r="O69" s="2" t="s">
        <v>120</v>
      </c>
      <c r="P69" s="5">
        <v>878074405</v>
      </c>
      <c r="Q69" s="5">
        <v>860128333</v>
      </c>
      <c r="R69" s="2" t="s">
        <v>268</v>
      </c>
      <c r="S69" s="2" t="s">
        <v>49</v>
      </c>
      <c r="T69" s="2" t="s">
        <v>130</v>
      </c>
      <c r="U69" s="2">
        <v>2011</v>
      </c>
      <c r="V69" s="6">
        <v>42864</v>
      </c>
      <c r="W69" s="3" t="s">
        <v>39</v>
      </c>
      <c r="X69" s="23">
        <v>5000</v>
      </c>
    </row>
    <row r="70" spans="1:24" x14ac:dyDescent="0.2">
      <c r="A70" s="8">
        <v>1701066</v>
      </c>
      <c r="B70" s="6">
        <v>42747.651628472224</v>
      </c>
      <c r="C70" s="6">
        <v>42747.660156597223</v>
      </c>
      <c r="E70" s="6">
        <v>42748.722553125001</v>
      </c>
      <c r="F70" s="2" t="s">
        <v>26</v>
      </c>
      <c r="G70" s="2" t="s">
        <v>26</v>
      </c>
      <c r="H70" s="2" t="s">
        <v>26</v>
      </c>
      <c r="I70" s="2" t="s">
        <v>26</v>
      </c>
      <c r="J70" s="2" t="s">
        <v>26</v>
      </c>
      <c r="K70" s="2" t="s">
        <v>269</v>
      </c>
      <c r="L70" s="2" t="s">
        <v>27</v>
      </c>
      <c r="M70" s="2" t="s">
        <v>126</v>
      </c>
      <c r="N70" s="2" t="s">
        <v>270</v>
      </c>
      <c r="R70" s="2" t="s">
        <v>271</v>
      </c>
      <c r="S70" s="2" t="s">
        <v>64</v>
      </c>
      <c r="T70" s="2">
        <v>3</v>
      </c>
      <c r="X70" s="23">
        <v>0</v>
      </c>
    </row>
    <row r="71" spans="1:24" x14ac:dyDescent="0.2">
      <c r="A71" s="8">
        <v>1701067</v>
      </c>
      <c r="B71" s="6">
        <v>42747.656715740741</v>
      </c>
      <c r="F71" s="2" t="s">
        <v>126</v>
      </c>
      <c r="G71" s="2" t="s">
        <v>126</v>
      </c>
      <c r="H71" s="2" t="s">
        <v>126</v>
      </c>
      <c r="I71" s="2" t="s">
        <v>126</v>
      </c>
      <c r="J71" s="2" t="s">
        <v>126</v>
      </c>
      <c r="K71" s="2" t="s">
        <v>8</v>
      </c>
      <c r="L71" s="2" t="s">
        <v>51</v>
      </c>
      <c r="M71" s="2" t="s">
        <v>28</v>
      </c>
      <c r="N71" s="2" t="s">
        <v>272</v>
      </c>
      <c r="O71" s="2" t="s">
        <v>208</v>
      </c>
      <c r="P71" s="5">
        <v>983931580</v>
      </c>
      <c r="R71" s="2" t="s">
        <v>273</v>
      </c>
      <c r="S71" s="2" t="s">
        <v>49</v>
      </c>
      <c r="T71" s="2" t="s">
        <v>130</v>
      </c>
      <c r="U71" s="2">
        <v>2015</v>
      </c>
      <c r="V71" s="6">
        <v>43077</v>
      </c>
      <c r="W71" s="3" t="s">
        <v>135</v>
      </c>
      <c r="X71" s="23">
        <v>0</v>
      </c>
    </row>
    <row r="72" spans="1:24" x14ac:dyDescent="0.2">
      <c r="A72" s="8">
        <v>1701068</v>
      </c>
      <c r="B72" s="6">
        <v>42747.670698148147</v>
      </c>
      <c r="C72" s="6">
        <v>42906.375324421293</v>
      </c>
      <c r="D72" s="6">
        <v>0</v>
      </c>
      <c r="E72" s="6">
        <v>42926.388549074072</v>
      </c>
      <c r="F72" s="2" t="s">
        <v>26</v>
      </c>
      <c r="G72" s="2" t="s">
        <v>26</v>
      </c>
      <c r="H72" s="2" t="s">
        <v>26</v>
      </c>
      <c r="I72" s="2" t="s">
        <v>26</v>
      </c>
      <c r="J72" s="2" t="s">
        <v>26</v>
      </c>
      <c r="K72" s="2" t="s">
        <v>8</v>
      </c>
      <c r="L72" s="2" t="s">
        <v>27</v>
      </c>
      <c r="M72" s="2" t="s">
        <v>61</v>
      </c>
      <c r="N72" s="2" t="s">
        <v>274</v>
      </c>
      <c r="O72" s="2" t="s">
        <v>120</v>
      </c>
      <c r="P72" s="5">
        <v>830508012</v>
      </c>
      <c r="R72" s="2" t="s">
        <v>275</v>
      </c>
      <c r="S72" s="2" t="s">
        <v>49</v>
      </c>
      <c r="T72" s="2" t="s">
        <v>205</v>
      </c>
      <c r="U72" s="2">
        <v>2009</v>
      </c>
      <c r="V72" s="6">
        <v>42914</v>
      </c>
      <c r="W72" s="3" t="s">
        <v>229</v>
      </c>
      <c r="X72" s="23">
        <v>2500</v>
      </c>
    </row>
    <row r="73" spans="1:24" x14ac:dyDescent="0.2">
      <c r="A73" s="8">
        <v>1701069</v>
      </c>
      <c r="B73" s="6">
        <v>42748.373835879633</v>
      </c>
      <c r="C73" s="6">
        <v>42748.374709374999</v>
      </c>
      <c r="E73" s="6" t="s">
        <v>1511</v>
      </c>
      <c r="F73" s="2" t="s">
        <v>92</v>
      </c>
      <c r="G73" s="2" t="s">
        <v>11</v>
      </c>
      <c r="H73" s="2" t="s">
        <v>93</v>
      </c>
      <c r="I73" s="2" t="s">
        <v>94</v>
      </c>
      <c r="J73" s="2" t="s">
        <v>95</v>
      </c>
      <c r="K73" s="2" t="s">
        <v>269</v>
      </c>
      <c r="L73" s="2" t="s">
        <v>27</v>
      </c>
      <c r="M73" s="2" t="s">
        <v>126</v>
      </c>
      <c r="N73" s="2" t="s">
        <v>276</v>
      </c>
      <c r="P73" s="5">
        <v>616144716</v>
      </c>
      <c r="R73" s="2" t="s">
        <v>277</v>
      </c>
      <c r="S73" s="2" t="s">
        <v>70</v>
      </c>
      <c r="T73" s="2" t="s">
        <v>193</v>
      </c>
      <c r="X73" s="23">
        <v>6400</v>
      </c>
    </row>
    <row r="74" spans="1:24" x14ac:dyDescent="0.2">
      <c r="A74" s="8">
        <v>1701070</v>
      </c>
      <c r="B74" s="6">
        <v>42748.681998958331</v>
      </c>
      <c r="C74" s="6">
        <v>42768.493503935184</v>
      </c>
      <c r="D74" s="6">
        <v>42776</v>
      </c>
      <c r="E74" s="6">
        <v>42777.405393749999</v>
      </c>
      <c r="F74" s="2">
        <v>7.5064960648160195</v>
      </c>
      <c r="G74" s="2" t="s">
        <v>11</v>
      </c>
      <c r="H74" s="2" t="s">
        <v>93</v>
      </c>
      <c r="I74" s="2" t="s">
        <v>94</v>
      </c>
      <c r="J74" s="2" t="s">
        <v>95</v>
      </c>
      <c r="K74" s="2" t="s">
        <v>8</v>
      </c>
      <c r="L74" s="2" t="s">
        <v>27</v>
      </c>
      <c r="M74" s="2" t="s">
        <v>28</v>
      </c>
      <c r="N74" s="2" t="s">
        <v>278</v>
      </c>
      <c r="O74" s="2" t="s">
        <v>128</v>
      </c>
      <c r="P74" s="5">
        <v>856614576</v>
      </c>
      <c r="Q74" s="5">
        <v>865618475</v>
      </c>
      <c r="R74" s="2" t="s">
        <v>279</v>
      </c>
      <c r="S74" s="2" t="s">
        <v>49</v>
      </c>
      <c r="T74" s="2" t="s">
        <v>130</v>
      </c>
      <c r="U74" s="2">
        <v>2004</v>
      </c>
      <c r="V74" s="6">
        <v>42712</v>
      </c>
      <c r="W74" s="3" t="s">
        <v>280</v>
      </c>
      <c r="X74" s="23">
        <v>0</v>
      </c>
    </row>
    <row r="75" spans="1:24" x14ac:dyDescent="0.2">
      <c r="A75" s="8">
        <v>1701071</v>
      </c>
      <c r="B75" s="6">
        <v>42748.685124305557</v>
      </c>
      <c r="C75" s="6">
        <v>42789.380383912037</v>
      </c>
      <c r="E75" s="6">
        <v>42798.61018541667</v>
      </c>
      <c r="F75" s="2" t="s">
        <v>26</v>
      </c>
      <c r="G75" s="2" t="s">
        <v>26</v>
      </c>
      <c r="H75" s="2" t="s">
        <v>93</v>
      </c>
      <c r="I75" s="2" t="s">
        <v>26</v>
      </c>
      <c r="J75" s="2" t="s">
        <v>26</v>
      </c>
      <c r="K75" s="2" t="s">
        <v>8</v>
      </c>
      <c r="L75" s="2" t="s">
        <v>34</v>
      </c>
      <c r="M75" s="2" t="s">
        <v>61</v>
      </c>
      <c r="N75" s="2" t="s">
        <v>281</v>
      </c>
      <c r="P75" s="5">
        <v>991638419</v>
      </c>
      <c r="R75" s="2" t="s">
        <v>282</v>
      </c>
      <c r="S75" s="2" t="s">
        <v>31</v>
      </c>
      <c r="T75" s="2" t="s">
        <v>283</v>
      </c>
      <c r="U75" s="2">
        <v>2012</v>
      </c>
      <c r="V75" s="6">
        <v>42981</v>
      </c>
      <c r="W75" s="3" t="s">
        <v>57</v>
      </c>
      <c r="X75" s="23">
        <v>7058</v>
      </c>
    </row>
    <row r="76" spans="1:24" x14ac:dyDescent="0.2">
      <c r="A76" s="8">
        <v>1701072</v>
      </c>
      <c r="B76" s="6">
        <v>42749.644963888888</v>
      </c>
      <c r="C76" s="6">
        <v>42777.565852777778</v>
      </c>
      <c r="D76" s="6">
        <v>42783</v>
      </c>
      <c r="E76" s="6">
        <v>42787.43408564815</v>
      </c>
      <c r="F76" s="2" t="s">
        <v>26</v>
      </c>
      <c r="G76" s="2" t="s">
        <v>26</v>
      </c>
      <c r="H76" s="2" t="s">
        <v>93</v>
      </c>
      <c r="I76" s="2" t="s">
        <v>26</v>
      </c>
      <c r="J76" s="2" t="s">
        <v>26</v>
      </c>
      <c r="K76" s="2" t="s">
        <v>8</v>
      </c>
      <c r="L76" s="2" t="s">
        <v>34</v>
      </c>
      <c r="M76" s="2" t="s">
        <v>28</v>
      </c>
      <c r="N76" s="2" t="s">
        <v>284</v>
      </c>
      <c r="O76" s="2" t="s">
        <v>128</v>
      </c>
      <c r="P76" s="5">
        <v>845123329</v>
      </c>
      <c r="R76" s="2" t="s">
        <v>285</v>
      </c>
      <c r="S76" s="2" t="s">
        <v>31</v>
      </c>
      <c r="T76" s="2" t="s">
        <v>43</v>
      </c>
      <c r="U76" s="2">
        <v>2014</v>
      </c>
      <c r="V76" s="6">
        <v>42991</v>
      </c>
      <c r="W76" s="3" t="s">
        <v>286</v>
      </c>
    </row>
    <row r="77" spans="1:24" x14ac:dyDescent="0.2">
      <c r="A77" s="8">
        <v>1701073</v>
      </c>
      <c r="B77" s="6">
        <v>42749.685704629628</v>
      </c>
      <c r="C77" s="6">
        <v>42787.709521064811</v>
      </c>
      <c r="E77" s="6">
        <v>42804.472771412038</v>
      </c>
      <c r="F77" s="2" t="s">
        <v>26</v>
      </c>
      <c r="G77" s="2" t="s">
        <v>26</v>
      </c>
      <c r="H77" s="2" t="s">
        <v>93</v>
      </c>
      <c r="I77" s="2" t="s">
        <v>26</v>
      </c>
      <c r="J77" s="2" t="s">
        <v>26</v>
      </c>
      <c r="K77" s="2" t="s">
        <v>8</v>
      </c>
      <c r="L77" s="2" t="s">
        <v>34</v>
      </c>
      <c r="M77" s="2" t="s">
        <v>81</v>
      </c>
      <c r="N77" s="2" t="s">
        <v>287</v>
      </c>
      <c r="O77" s="2" t="s">
        <v>288</v>
      </c>
      <c r="P77" s="5">
        <v>820568015</v>
      </c>
      <c r="R77" s="2" t="s">
        <v>289</v>
      </c>
      <c r="S77" s="2" t="s">
        <v>70</v>
      </c>
      <c r="T77" s="2" t="s">
        <v>290</v>
      </c>
      <c r="U77" s="2">
        <v>2012</v>
      </c>
      <c r="V77" s="6">
        <v>42823</v>
      </c>
      <c r="W77" s="3" t="s">
        <v>229</v>
      </c>
    </row>
    <row r="78" spans="1:24" x14ac:dyDescent="0.2">
      <c r="A78" s="8">
        <v>1701074</v>
      </c>
      <c r="B78" s="6">
        <v>42749.687321527781</v>
      </c>
      <c r="C78" s="6">
        <v>42791.692208101849</v>
      </c>
      <c r="E78" s="6">
        <v>42798.57535324074</v>
      </c>
      <c r="F78" s="2" t="s">
        <v>26</v>
      </c>
      <c r="G78" s="2" t="s">
        <v>26</v>
      </c>
      <c r="H78" s="2" t="s">
        <v>93</v>
      </c>
      <c r="I78" s="2" t="s">
        <v>26</v>
      </c>
      <c r="J78" s="2" t="s">
        <v>26</v>
      </c>
      <c r="K78" s="2" t="s">
        <v>8</v>
      </c>
      <c r="L78" s="2" t="s">
        <v>34</v>
      </c>
      <c r="M78" s="2" t="s">
        <v>28</v>
      </c>
      <c r="N78" s="2" t="s">
        <v>291</v>
      </c>
      <c r="O78" s="2" t="s">
        <v>120</v>
      </c>
      <c r="P78" s="5">
        <v>984606046</v>
      </c>
      <c r="R78" s="2" t="s">
        <v>292</v>
      </c>
      <c r="S78" s="2" t="s">
        <v>31</v>
      </c>
      <c r="T78" s="2" t="s">
        <v>283</v>
      </c>
      <c r="U78" s="2">
        <v>2005</v>
      </c>
      <c r="V78" s="6">
        <v>42947</v>
      </c>
      <c r="W78" s="3" t="s">
        <v>226</v>
      </c>
      <c r="X78" s="23">
        <v>0</v>
      </c>
    </row>
    <row r="79" spans="1:24" x14ac:dyDescent="0.2">
      <c r="A79" s="8">
        <v>1701075</v>
      </c>
      <c r="B79" s="6">
        <v>42749.688907754629</v>
      </c>
      <c r="C79" s="6">
        <v>42807.721640046293</v>
      </c>
      <c r="D79" s="6">
        <v>42812</v>
      </c>
      <c r="E79" s="6">
        <v>42819.556009259257</v>
      </c>
      <c r="F79" s="2" t="s">
        <v>26</v>
      </c>
      <c r="G79" s="2" t="s">
        <v>26</v>
      </c>
      <c r="H79" s="2" t="s">
        <v>93</v>
      </c>
      <c r="I79" s="2" t="s">
        <v>26</v>
      </c>
      <c r="J79" s="2" t="s">
        <v>26</v>
      </c>
      <c r="K79" s="2" t="s">
        <v>8</v>
      </c>
      <c r="L79" s="2" t="s">
        <v>34</v>
      </c>
      <c r="M79" s="2" t="s">
        <v>28</v>
      </c>
      <c r="N79" s="2" t="s">
        <v>293</v>
      </c>
      <c r="O79" s="2" t="s">
        <v>128</v>
      </c>
      <c r="P79" s="5">
        <v>632491995</v>
      </c>
      <c r="R79" s="2" t="s">
        <v>294</v>
      </c>
      <c r="S79" s="2" t="s">
        <v>31</v>
      </c>
      <c r="T79" s="2" t="s">
        <v>116</v>
      </c>
      <c r="U79" s="2">
        <v>2012</v>
      </c>
      <c r="V79" s="6">
        <v>43064</v>
      </c>
      <c r="W79" s="3" t="s">
        <v>57</v>
      </c>
      <c r="X79" s="23">
        <v>25082.82</v>
      </c>
    </row>
    <row r="80" spans="1:24" x14ac:dyDescent="0.2">
      <c r="A80" s="8">
        <v>1701076</v>
      </c>
      <c r="B80" s="6">
        <v>42749.698301736113</v>
      </c>
      <c r="C80" s="6">
        <v>42805.586761574072</v>
      </c>
      <c r="D80" s="6">
        <v>42812</v>
      </c>
      <c r="E80" s="6">
        <v>42833.606281597225</v>
      </c>
      <c r="F80" s="2" t="s">
        <v>26</v>
      </c>
      <c r="G80" s="2" t="s">
        <v>26</v>
      </c>
      <c r="H80" s="2" t="s">
        <v>93</v>
      </c>
      <c r="I80" s="2" t="s">
        <v>26</v>
      </c>
      <c r="J80" s="2" t="s">
        <v>26</v>
      </c>
      <c r="K80" s="2" t="s">
        <v>8</v>
      </c>
      <c r="L80" s="2" t="s">
        <v>27</v>
      </c>
      <c r="M80" s="2" t="s">
        <v>295</v>
      </c>
      <c r="N80" s="2" t="s">
        <v>296</v>
      </c>
      <c r="O80" s="2" t="s">
        <v>59</v>
      </c>
      <c r="P80" s="5">
        <v>963860825</v>
      </c>
      <c r="R80" s="2" t="s">
        <v>297</v>
      </c>
      <c r="S80" s="2" t="s">
        <v>49</v>
      </c>
      <c r="T80" s="2" t="s">
        <v>130</v>
      </c>
      <c r="U80" s="2">
        <v>2014</v>
      </c>
      <c r="V80" s="6">
        <v>42804</v>
      </c>
      <c r="W80" s="3" t="s">
        <v>266</v>
      </c>
    </row>
    <row r="81" spans="1:24" x14ac:dyDescent="0.2">
      <c r="A81" s="8">
        <v>1701077</v>
      </c>
      <c r="B81" s="6">
        <v>42749.722731250004</v>
      </c>
      <c r="C81" s="6">
        <v>42749.726045833333</v>
      </c>
      <c r="D81" s="6">
        <v>42774</v>
      </c>
      <c r="E81" s="6">
        <v>42770.755080092589</v>
      </c>
      <c r="F81" s="2">
        <v>24.273954166666954</v>
      </c>
      <c r="G81" s="2" t="s">
        <v>11</v>
      </c>
      <c r="H81" s="2" t="s">
        <v>93</v>
      </c>
      <c r="I81" s="2" t="s">
        <v>94</v>
      </c>
      <c r="J81" s="2" t="s">
        <v>95</v>
      </c>
      <c r="K81" s="2" t="s">
        <v>8</v>
      </c>
      <c r="L81" s="2" t="s">
        <v>73</v>
      </c>
      <c r="M81" s="2" t="s">
        <v>28</v>
      </c>
      <c r="N81" s="2" t="s">
        <v>298</v>
      </c>
      <c r="O81" s="2" t="s">
        <v>68</v>
      </c>
      <c r="P81" s="5">
        <v>894971525</v>
      </c>
      <c r="Q81" s="5">
        <v>860039790</v>
      </c>
      <c r="R81" s="2" t="s">
        <v>299</v>
      </c>
      <c r="S81" s="2" t="s">
        <v>49</v>
      </c>
      <c r="T81" s="2" t="s">
        <v>130</v>
      </c>
      <c r="U81" s="2">
        <v>2012</v>
      </c>
      <c r="V81" s="6">
        <v>42959</v>
      </c>
      <c r="W81" s="3" t="s">
        <v>194</v>
      </c>
    </row>
    <row r="82" spans="1:24" x14ac:dyDescent="0.2">
      <c r="A82" s="8">
        <v>1701078</v>
      </c>
      <c r="B82" s="6">
        <v>42751.391392939811</v>
      </c>
      <c r="C82" s="6">
        <v>42751.392860416665</v>
      </c>
      <c r="D82" s="6">
        <v>42756</v>
      </c>
      <c r="E82" s="6">
        <v>42760.716844675924</v>
      </c>
      <c r="F82" s="2" t="s">
        <v>26</v>
      </c>
      <c r="G82" s="2" t="s">
        <v>26</v>
      </c>
      <c r="H82" s="2" t="s">
        <v>93</v>
      </c>
      <c r="I82" s="2" t="s">
        <v>26</v>
      </c>
      <c r="J82" s="2" t="s">
        <v>26</v>
      </c>
      <c r="K82" s="2" t="s">
        <v>8</v>
      </c>
      <c r="L82" s="2" t="s">
        <v>34</v>
      </c>
      <c r="M82" s="2" t="s">
        <v>45</v>
      </c>
      <c r="N82" s="2" t="s">
        <v>300</v>
      </c>
      <c r="O82" s="2" t="s">
        <v>120</v>
      </c>
      <c r="P82" s="5">
        <v>957583883</v>
      </c>
      <c r="R82" s="2" t="s">
        <v>301</v>
      </c>
      <c r="S82" s="2" t="s">
        <v>55</v>
      </c>
      <c r="T82" s="2" t="s">
        <v>76</v>
      </c>
      <c r="U82" s="2">
        <v>1999</v>
      </c>
      <c r="V82" s="6">
        <v>43066</v>
      </c>
      <c r="W82" s="3">
        <v>3</v>
      </c>
    </row>
    <row r="83" spans="1:24" x14ac:dyDescent="0.2">
      <c r="A83" s="8">
        <v>1701079</v>
      </c>
      <c r="B83" s="6">
        <v>42751.400129861111</v>
      </c>
      <c r="C83" s="6">
        <v>42751.422877199075</v>
      </c>
      <c r="E83" s="6">
        <v>42759.744687615741</v>
      </c>
      <c r="F83" s="2" t="s">
        <v>26</v>
      </c>
      <c r="G83" s="2" t="s">
        <v>26</v>
      </c>
      <c r="H83" s="2" t="s">
        <v>93</v>
      </c>
      <c r="I83" s="2" t="s">
        <v>26</v>
      </c>
      <c r="J83" s="2" t="s">
        <v>26</v>
      </c>
      <c r="K83" s="2" t="s">
        <v>8</v>
      </c>
      <c r="L83" s="2" t="s">
        <v>34</v>
      </c>
      <c r="M83" s="2" t="s">
        <v>28</v>
      </c>
      <c r="N83" s="2" t="s">
        <v>302</v>
      </c>
      <c r="O83" s="2" t="s">
        <v>303</v>
      </c>
      <c r="P83" s="5">
        <v>615788229</v>
      </c>
      <c r="R83" s="2" t="s">
        <v>304</v>
      </c>
      <c r="S83" s="2" t="s">
        <v>49</v>
      </c>
      <c r="T83" s="2" t="s">
        <v>79</v>
      </c>
      <c r="U83" s="2">
        <v>2012</v>
      </c>
      <c r="V83" s="6">
        <v>42880</v>
      </c>
      <c r="W83" s="3" t="s">
        <v>226</v>
      </c>
    </row>
    <row r="84" spans="1:24" x14ac:dyDescent="0.2">
      <c r="A84" s="8">
        <v>1701080</v>
      </c>
      <c r="B84" s="6">
        <v>42751.494986458332</v>
      </c>
      <c r="C84" s="6">
        <v>42751.498047800924</v>
      </c>
      <c r="E84" s="6">
        <v>42954</v>
      </c>
      <c r="F84" s="2" t="s">
        <v>26</v>
      </c>
      <c r="G84" s="2" t="s">
        <v>26</v>
      </c>
      <c r="H84" s="2" t="s">
        <v>26</v>
      </c>
      <c r="I84" s="2" t="s">
        <v>26</v>
      </c>
      <c r="J84" s="2" t="s">
        <v>26</v>
      </c>
      <c r="K84" s="2" t="s">
        <v>8</v>
      </c>
      <c r="L84" s="2" t="s">
        <v>34</v>
      </c>
      <c r="M84" s="2" t="s">
        <v>66</v>
      </c>
      <c r="N84" s="2" t="s">
        <v>305</v>
      </c>
      <c r="O84" s="2" t="s">
        <v>239</v>
      </c>
      <c r="P84" s="5">
        <v>818173764</v>
      </c>
      <c r="R84" s="2" t="s">
        <v>306</v>
      </c>
      <c r="S84" s="2" t="s">
        <v>31</v>
      </c>
      <c r="T84" s="2" t="s">
        <v>32</v>
      </c>
      <c r="U84" s="2">
        <v>2012</v>
      </c>
      <c r="V84" s="6">
        <v>42785</v>
      </c>
      <c r="W84" s="3" t="s">
        <v>135</v>
      </c>
      <c r="X84" s="23">
        <v>4042.05</v>
      </c>
    </row>
    <row r="85" spans="1:24" x14ac:dyDescent="0.2">
      <c r="A85" s="8">
        <v>1701081</v>
      </c>
      <c r="B85" s="6">
        <v>42751.57927303241</v>
      </c>
      <c r="C85" s="6">
        <v>42826.489974768519</v>
      </c>
      <c r="D85" s="6">
        <v>42835</v>
      </c>
      <c r="E85" s="6" t="s">
        <v>1511</v>
      </c>
      <c r="F85" s="2">
        <v>8.5100252314805402</v>
      </c>
      <c r="G85" s="2" t="s">
        <v>26</v>
      </c>
      <c r="H85" s="2" t="s">
        <v>95</v>
      </c>
      <c r="I85" s="2" t="s">
        <v>94</v>
      </c>
      <c r="J85" s="2" t="s">
        <v>26</v>
      </c>
      <c r="K85" s="2" t="s">
        <v>307</v>
      </c>
      <c r="L85" s="2" t="s">
        <v>307</v>
      </c>
      <c r="M85" s="2" t="s">
        <v>307</v>
      </c>
      <c r="N85" s="2" t="s">
        <v>307</v>
      </c>
      <c r="O85" s="2" t="s">
        <v>307</v>
      </c>
      <c r="P85" s="5" t="s">
        <v>307</v>
      </c>
      <c r="Q85" s="5" t="s">
        <v>307</v>
      </c>
      <c r="R85" s="2" t="s">
        <v>307</v>
      </c>
      <c r="S85" s="2" t="s">
        <v>307</v>
      </c>
      <c r="T85" s="2" t="s">
        <v>307</v>
      </c>
      <c r="U85" s="2" t="s">
        <v>307</v>
      </c>
      <c r="V85" s="6" t="s">
        <v>307</v>
      </c>
      <c r="W85" s="3" t="s">
        <v>307</v>
      </c>
      <c r="X85" s="23">
        <v>0</v>
      </c>
    </row>
    <row r="86" spans="1:24" x14ac:dyDescent="0.2">
      <c r="A86" s="8">
        <v>1701082</v>
      </c>
      <c r="B86" s="6">
        <v>42751.580443749997</v>
      </c>
      <c r="C86" s="6">
        <v>42826.485754050926</v>
      </c>
      <c r="D86" s="6">
        <v>42835</v>
      </c>
      <c r="E86" s="6">
        <v>42851.716863888891</v>
      </c>
      <c r="F86" s="2" t="s">
        <v>26</v>
      </c>
      <c r="G86" s="2" t="s">
        <v>26</v>
      </c>
      <c r="H86" s="2" t="s">
        <v>93</v>
      </c>
      <c r="I86" s="2" t="s">
        <v>26</v>
      </c>
      <c r="J86" s="2" t="s">
        <v>26</v>
      </c>
      <c r="K86" s="2" t="s">
        <v>8</v>
      </c>
      <c r="L86" s="2" t="s">
        <v>34</v>
      </c>
      <c r="M86" s="2" t="s">
        <v>295</v>
      </c>
      <c r="N86" s="2" t="s">
        <v>308</v>
      </c>
      <c r="O86" s="2" t="s">
        <v>208</v>
      </c>
      <c r="P86" s="5">
        <v>898874821</v>
      </c>
      <c r="Q86" s="5" t="s">
        <v>126</v>
      </c>
      <c r="R86" s="2" t="s">
        <v>309</v>
      </c>
      <c r="S86" s="2" t="s">
        <v>37</v>
      </c>
      <c r="T86" s="2" t="s">
        <v>102</v>
      </c>
      <c r="U86" s="2">
        <v>2012</v>
      </c>
      <c r="V86" s="6">
        <v>42804</v>
      </c>
      <c r="W86" s="3" t="s">
        <v>310</v>
      </c>
      <c r="X86" s="23">
        <v>6357.95</v>
      </c>
    </row>
    <row r="87" spans="1:24" x14ac:dyDescent="0.2">
      <c r="A87" s="8">
        <v>1701083</v>
      </c>
      <c r="B87" s="6">
        <v>42751.59108460648</v>
      </c>
      <c r="C87" s="6">
        <v>42751.637166319444</v>
      </c>
      <c r="D87" s="6">
        <v>42762</v>
      </c>
      <c r="E87" s="6">
        <v>42766.677401388886</v>
      </c>
      <c r="F87" s="2" t="s">
        <v>26</v>
      </c>
      <c r="G87" s="2" t="s">
        <v>26</v>
      </c>
      <c r="H87" s="2" t="s">
        <v>93</v>
      </c>
      <c r="I87" s="2" t="s">
        <v>26</v>
      </c>
      <c r="J87" s="2" t="s">
        <v>26</v>
      </c>
      <c r="K87" s="2" t="s">
        <v>8</v>
      </c>
      <c r="L87" s="2" t="s">
        <v>27</v>
      </c>
      <c r="M87" s="2" t="s">
        <v>28</v>
      </c>
      <c r="N87" s="2" t="s">
        <v>311</v>
      </c>
      <c r="P87" s="5">
        <v>952495230</v>
      </c>
      <c r="R87" s="2" t="s">
        <v>312</v>
      </c>
      <c r="S87" s="2" t="s">
        <v>70</v>
      </c>
      <c r="T87" s="2" t="s">
        <v>313</v>
      </c>
      <c r="U87" s="2">
        <v>2004</v>
      </c>
      <c r="V87" s="6">
        <v>42915</v>
      </c>
      <c r="W87" s="3" t="s">
        <v>314</v>
      </c>
      <c r="X87" s="23">
        <v>23971.99</v>
      </c>
    </row>
    <row r="88" spans="1:24" x14ac:dyDescent="0.2">
      <c r="A88" s="8">
        <v>1701084</v>
      </c>
      <c r="B88" s="6">
        <v>42751.612256250002</v>
      </c>
      <c r="C88" s="6">
        <v>42751.659650694448</v>
      </c>
      <c r="D88" s="6">
        <v>42776</v>
      </c>
      <c r="E88" s="6">
        <v>42776.429491898147</v>
      </c>
      <c r="F88" s="2">
        <v>24.340349305552081</v>
      </c>
      <c r="G88" s="2" t="s">
        <v>11</v>
      </c>
      <c r="H88" s="2" t="s">
        <v>93</v>
      </c>
      <c r="I88" s="2" t="s">
        <v>94</v>
      </c>
      <c r="J88" s="2" t="s">
        <v>95</v>
      </c>
      <c r="K88" s="2" t="s">
        <v>8</v>
      </c>
      <c r="L88" s="2" t="s">
        <v>73</v>
      </c>
      <c r="M88" s="2" t="s">
        <v>28</v>
      </c>
      <c r="N88" s="2" t="s">
        <v>315</v>
      </c>
      <c r="O88" s="2" t="s">
        <v>120</v>
      </c>
      <c r="P88" s="5">
        <v>821984425</v>
      </c>
      <c r="R88" s="2" t="s">
        <v>316</v>
      </c>
      <c r="S88" s="2" t="s">
        <v>70</v>
      </c>
      <c r="T88" s="2" t="s">
        <v>317</v>
      </c>
      <c r="U88" s="2">
        <v>2015</v>
      </c>
      <c r="V88" s="6" t="s">
        <v>72</v>
      </c>
      <c r="X88" s="23">
        <v>5560.74</v>
      </c>
    </row>
    <row r="89" spans="1:24" x14ac:dyDescent="0.2">
      <c r="A89" s="8">
        <v>1701085</v>
      </c>
      <c r="B89" s="6">
        <v>42751.613793402779</v>
      </c>
      <c r="C89" s="6">
        <v>42751.643709490738</v>
      </c>
      <c r="D89" s="6">
        <v>42760</v>
      </c>
      <c r="E89" s="6">
        <v>42762.742735185187</v>
      </c>
      <c r="F89" s="2" t="s">
        <v>26</v>
      </c>
      <c r="G89" s="2" t="s">
        <v>26</v>
      </c>
      <c r="H89" s="2" t="s">
        <v>93</v>
      </c>
      <c r="I89" s="2" t="s">
        <v>26</v>
      </c>
      <c r="J89" s="2" t="s">
        <v>26</v>
      </c>
      <c r="K89" s="2" t="s">
        <v>8</v>
      </c>
      <c r="L89" s="2" t="s">
        <v>27</v>
      </c>
      <c r="M89" s="2" t="s">
        <v>61</v>
      </c>
      <c r="N89" s="2" t="s">
        <v>318</v>
      </c>
      <c r="O89" s="2" t="s">
        <v>217</v>
      </c>
      <c r="P89" s="5">
        <v>917133317</v>
      </c>
      <c r="R89" s="2" t="s">
        <v>319</v>
      </c>
      <c r="S89" s="2" t="s">
        <v>49</v>
      </c>
      <c r="T89" s="2" t="s">
        <v>130</v>
      </c>
      <c r="U89" s="2">
        <v>2012</v>
      </c>
      <c r="V89" s="6">
        <v>42842</v>
      </c>
      <c r="W89" s="3" t="s">
        <v>117</v>
      </c>
    </row>
    <row r="90" spans="1:24" x14ac:dyDescent="0.2">
      <c r="A90" s="8">
        <v>1701086</v>
      </c>
      <c r="B90" s="6">
        <v>42751.665629976851</v>
      </c>
      <c r="C90" s="6">
        <v>42751.666270601854</v>
      </c>
      <c r="E90" s="6">
        <v>42832.371917013887</v>
      </c>
      <c r="F90" s="2" t="s">
        <v>26</v>
      </c>
      <c r="G90" s="2" t="s">
        <v>26</v>
      </c>
      <c r="H90" s="2" t="s">
        <v>93</v>
      </c>
      <c r="I90" s="2" t="s">
        <v>26</v>
      </c>
      <c r="J90" s="2" t="s">
        <v>26</v>
      </c>
      <c r="K90" s="2" t="s">
        <v>8</v>
      </c>
      <c r="L90" s="2" t="s">
        <v>170</v>
      </c>
      <c r="M90" s="2" t="s">
        <v>45</v>
      </c>
      <c r="N90" s="2" t="s">
        <v>320</v>
      </c>
      <c r="O90" s="2" t="s">
        <v>41</v>
      </c>
      <c r="P90" s="5">
        <v>925518211</v>
      </c>
      <c r="R90" s="2" t="s">
        <v>321</v>
      </c>
      <c r="S90" s="2" t="s">
        <v>70</v>
      </c>
      <c r="T90" s="2" t="s">
        <v>317</v>
      </c>
      <c r="U90" s="2">
        <v>2012</v>
      </c>
      <c r="V90" s="6" t="s">
        <v>72</v>
      </c>
    </row>
    <row r="91" spans="1:24" x14ac:dyDescent="0.2">
      <c r="A91" s="8">
        <v>1701087</v>
      </c>
      <c r="B91" s="6">
        <v>42751.669031018515</v>
      </c>
      <c r="C91" s="6">
        <v>42798.741825231482</v>
      </c>
      <c r="E91" s="6">
        <v>42812.421127777779</v>
      </c>
      <c r="F91" s="2" t="s">
        <v>26</v>
      </c>
      <c r="G91" s="2" t="s">
        <v>26</v>
      </c>
      <c r="H91" s="2" t="s">
        <v>93</v>
      </c>
      <c r="I91" s="2" t="s">
        <v>26</v>
      </c>
      <c r="J91" s="2" t="s">
        <v>26</v>
      </c>
      <c r="K91" s="2" t="s">
        <v>8</v>
      </c>
      <c r="L91" s="2" t="s">
        <v>27</v>
      </c>
      <c r="M91" s="2" t="s">
        <v>28</v>
      </c>
      <c r="N91" s="2" t="s">
        <v>322</v>
      </c>
      <c r="O91" s="2" t="s">
        <v>128</v>
      </c>
      <c r="P91" s="5">
        <v>833001890</v>
      </c>
      <c r="R91" s="2" t="s">
        <v>323</v>
      </c>
      <c r="S91" s="2" t="s">
        <v>70</v>
      </c>
      <c r="T91" s="2" t="s">
        <v>317</v>
      </c>
      <c r="U91" s="2">
        <v>2014</v>
      </c>
      <c r="V91" s="6">
        <v>42757</v>
      </c>
      <c r="W91" s="3" t="s">
        <v>266</v>
      </c>
    </row>
    <row r="92" spans="1:24" x14ac:dyDescent="0.2">
      <c r="A92" s="8">
        <v>1701088</v>
      </c>
      <c r="B92" s="6">
        <v>42751.67106296296</v>
      </c>
      <c r="C92" s="6">
        <v>42751.691519097221</v>
      </c>
      <c r="D92" s="6">
        <v>42781</v>
      </c>
      <c r="E92" s="6">
        <v>42791.475376041664</v>
      </c>
      <c r="F92" s="2" t="s">
        <v>26</v>
      </c>
      <c r="G92" s="2" t="s">
        <v>26</v>
      </c>
      <c r="H92" s="2" t="s">
        <v>93</v>
      </c>
      <c r="I92" s="2" t="s">
        <v>26</v>
      </c>
      <c r="J92" s="2" t="s">
        <v>26</v>
      </c>
      <c r="K92" s="2" t="s">
        <v>8</v>
      </c>
      <c r="L92" s="2" t="s">
        <v>73</v>
      </c>
      <c r="M92" s="2" t="s">
        <v>66</v>
      </c>
      <c r="N92" s="2" t="s">
        <v>324</v>
      </c>
      <c r="O92" s="2" t="s">
        <v>186</v>
      </c>
      <c r="P92" s="5">
        <v>851678357</v>
      </c>
      <c r="R92" s="2" t="s">
        <v>325</v>
      </c>
      <c r="S92" s="2" t="s">
        <v>55</v>
      </c>
      <c r="T92" s="2" t="s">
        <v>76</v>
      </c>
      <c r="U92" s="2">
        <v>2008</v>
      </c>
      <c r="V92" s="6" t="s">
        <v>72</v>
      </c>
    </row>
    <row r="93" spans="1:24" x14ac:dyDescent="0.2">
      <c r="A93" s="8">
        <v>1701089</v>
      </c>
      <c r="B93" s="6">
        <v>42751.732797916666</v>
      </c>
      <c r="C93" s="6">
        <v>42751.735224652781</v>
      </c>
      <c r="D93" s="6">
        <v>42760</v>
      </c>
      <c r="E93" s="6">
        <v>42762.743033680556</v>
      </c>
      <c r="F93" s="2" t="s">
        <v>26</v>
      </c>
      <c r="G93" s="2" t="s">
        <v>26</v>
      </c>
      <c r="H93" s="2" t="s">
        <v>93</v>
      </c>
      <c r="I93" s="2" t="s">
        <v>26</v>
      </c>
      <c r="J93" s="2" t="s">
        <v>26</v>
      </c>
      <c r="K93" s="2" t="s">
        <v>8</v>
      </c>
      <c r="L93" s="2" t="s">
        <v>27</v>
      </c>
      <c r="M93" s="2" t="s">
        <v>28</v>
      </c>
      <c r="N93" s="2" t="s">
        <v>326</v>
      </c>
      <c r="O93" s="2" t="s">
        <v>327</v>
      </c>
      <c r="P93" s="5">
        <v>811443937</v>
      </c>
      <c r="R93" s="2" t="s">
        <v>328</v>
      </c>
      <c r="S93" s="2" t="s">
        <v>49</v>
      </c>
      <c r="T93" s="2" t="s">
        <v>130</v>
      </c>
      <c r="U93" s="2">
        <v>2004</v>
      </c>
      <c r="V93" s="6">
        <v>42821</v>
      </c>
      <c r="W93" s="3" t="s">
        <v>223</v>
      </c>
    </row>
    <row r="94" spans="1:24" x14ac:dyDescent="0.2">
      <c r="A94" s="8">
        <v>1701090</v>
      </c>
      <c r="B94" s="6">
        <v>42751.737937268517</v>
      </c>
      <c r="C94" s="6">
        <v>42800.471648148145</v>
      </c>
      <c r="E94" s="6" t="s">
        <v>1511</v>
      </c>
      <c r="F94" s="2" t="s">
        <v>92</v>
      </c>
      <c r="G94" s="2" t="s">
        <v>11</v>
      </c>
      <c r="H94" s="2" t="s">
        <v>93</v>
      </c>
      <c r="I94" s="2" t="s">
        <v>94</v>
      </c>
      <c r="J94" s="2" t="s">
        <v>95</v>
      </c>
      <c r="K94" s="2" t="s">
        <v>8</v>
      </c>
      <c r="L94" s="2" t="s">
        <v>34</v>
      </c>
      <c r="M94" s="2" t="s">
        <v>28</v>
      </c>
      <c r="N94" s="2" t="s">
        <v>329</v>
      </c>
      <c r="O94" s="2" t="s">
        <v>128</v>
      </c>
      <c r="P94" s="5">
        <v>835476595</v>
      </c>
      <c r="R94" s="2" t="s">
        <v>330</v>
      </c>
      <c r="S94" s="2" t="s">
        <v>37</v>
      </c>
      <c r="T94" s="2" t="s">
        <v>331</v>
      </c>
      <c r="U94" s="2">
        <v>2001</v>
      </c>
      <c r="V94" s="6">
        <v>43026</v>
      </c>
      <c r="W94" s="3" t="s">
        <v>44</v>
      </c>
    </row>
    <row r="95" spans="1:24" x14ac:dyDescent="0.2">
      <c r="A95" s="8">
        <v>1701091</v>
      </c>
      <c r="B95" s="6">
        <v>42751.739703587962</v>
      </c>
      <c r="C95" s="6">
        <v>42786.391195254633</v>
      </c>
      <c r="E95" s="6">
        <v>42786.391724652778</v>
      </c>
      <c r="F95" s="2" t="s">
        <v>92</v>
      </c>
      <c r="G95" s="2" t="s">
        <v>11</v>
      </c>
      <c r="H95" s="2" t="s">
        <v>93</v>
      </c>
      <c r="I95" s="2" t="s">
        <v>95</v>
      </c>
      <c r="J95" s="2" t="s">
        <v>95</v>
      </c>
      <c r="K95" s="2" t="s">
        <v>8</v>
      </c>
      <c r="L95" s="2" t="s">
        <v>27</v>
      </c>
      <c r="M95" s="2" t="s">
        <v>28</v>
      </c>
      <c r="N95" s="2" t="s">
        <v>332</v>
      </c>
      <c r="O95" s="2" t="s">
        <v>114</v>
      </c>
      <c r="P95" s="5">
        <v>837883715</v>
      </c>
      <c r="R95" s="2" t="s">
        <v>333</v>
      </c>
      <c r="S95" s="2" t="s">
        <v>31</v>
      </c>
      <c r="T95" s="2" t="s">
        <v>116</v>
      </c>
      <c r="U95" s="2">
        <v>2013</v>
      </c>
      <c r="V95" s="6">
        <v>42770</v>
      </c>
      <c r="W95" s="3" t="s">
        <v>117</v>
      </c>
    </row>
    <row r="96" spans="1:24" x14ac:dyDescent="0.2">
      <c r="A96" s="8">
        <v>1701092</v>
      </c>
      <c r="B96" s="6">
        <v>42751.742012847222</v>
      </c>
      <c r="C96" s="6">
        <v>42751.742412384257</v>
      </c>
      <c r="E96" s="6">
        <v>42854.747355439817</v>
      </c>
      <c r="F96" s="2" t="s">
        <v>26</v>
      </c>
      <c r="G96" s="2" t="s">
        <v>26</v>
      </c>
      <c r="H96" s="2" t="s">
        <v>93</v>
      </c>
      <c r="I96" s="2" t="s">
        <v>26</v>
      </c>
      <c r="J96" s="2" t="s">
        <v>26</v>
      </c>
      <c r="K96" s="2" t="s">
        <v>8</v>
      </c>
      <c r="L96" s="2" t="s">
        <v>170</v>
      </c>
      <c r="M96" s="2" t="s">
        <v>28</v>
      </c>
      <c r="N96" s="2" t="s">
        <v>334</v>
      </c>
      <c r="O96" s="2" t="s">
        <v>68</v>
      </c>
      <c r="P96" s="5">
        <v>616085905</v>
      </c>
      <c r="R96" s="2" t="s">
        <v>335</v>
      </c>
      <c r="S96" s="2" t="s">
        <v>31</v>
      </c>
      <c r="T96" s="2" t="s">
        <v>336</v>
      </c>
      <c r="U96" s="2">
        <v>2013</v>
      </c>
      <c r="V96" s="6">
        <v>42973</v>
      </c>
      <c r="W96" s="3" t="s">
        <v>337</v>
      </c>
      <c r="X96" s="23">
        <v>28205.62</v>
      </c>
    </row>
    <row r="97" spans="1:24" x14ac:dyDescent="0.2">
      <c r="A97" s="8">
        <v>1701093</v>
      </c>
      <c r="B97" s="6">
        <v>42752.412129050928</v>
      </c>
      <c r="C97" s="6">
        <v>42984.397992824073</v>
      </c>
      <c r="D97" s="6">
        <v>42985</v>
      </c>
      <c r="E97" s="6" t="s">
        <v>1511</v>
      </c>
      <c r="F97" s="2">
        <v>0.60200717592670117</v>
      </c>
      <c r="G97" s="2" t="s">
        <v>11</v>
      </c>
      <c r="H97" s="2" t="s">
        <v>93</v>
      </c>
      <c r="I97" s="2" t="s">
        <v>94</v>
      </c>
      <c r="J97" s="2" t="s">
        <v>95</v>
      </c>
      <c r="K97" s="2" t="s">
        <v>8</v>
      </c>
      <c r="L97" s="2" t="s">
        <v>34</v>
      </c>
      <c r="M97" s="2" t="s">
        <v>338</v>
      </c>
      <c r="N97" s="2" t="s">
        <v>339</v>
      </c>
      <c r="O97" s="2" t="s">
        <v>107</v>
      </c>
      <c r="P97" s="5">
        <v>846754441</v>
      </c>
      <c r="R97" s="2" t="s">
        <v>340</v>
      </c>
      <c r="S97" s="2" t="s">
        <v>37</v>
      </c>
      <c r="T97" s="2" t="s">
        <v>341</v>
      </c>
      <c r="U97" s="2">
        <v>2014</v>
      </c>
      <c r="V97" s="6">
        <v>43045</v>
      </c>
      <c r="W97" s="3" t="s">
        <v>342</v>
      </c>
      <c r="X97" s="23">
        <v>0</v>
      </c>
    </row>
    <row r="98" spans="1:24" x14ac:dyDescent="0.2">
      <c r="A98" s="8">
        <v>1701094</v>
      </c>
      <c r="B98" s="6">
        <v>42752.463861226854</v>
      </c>
      <c r="E98" s="6">
        <v>42843.405121064818</v>
      </c>
      <c r="F98" s="2" t="s">
        <v>26</v>
      </c>
      <c r="G98" s="2" t="s">
        <v>26</v>
      </c>
      <c r="H98" s="2" t="s">
        <v>126</v>
      </c>
      <c r="I98" s="2" t="s">
        <v>26</v>
      </c>
      <c r="J98" s="2" t="s">
        <v>26</v>
      </c>
      <c r="K98" s="2" t="s">
        <v>8</v>
      </c>
      <c r="L98" s="2" t="s">
        <v>34</v>
      </c>
      <c r="M98" s="2" t="s">
        <v>118</v>
      </c>
      <c r="N98" s="2" t="s">
        <v>343</v>
      </c>
      <c r="O98" s="2" t="s">
        <v>128</v>
      </c>
      <c r="P98" s="5">
        <v>631911899</v>
      </c>
      <c r="R98" s="2" t="s">
        <v>344</v>
      </c>
      <c r="S98" s="2" t="s">
        <v>49</v>
      </c>
      <c r="T98" s="2" t="s">
        <v>79</v>
      </c>
      <c r="U98" s="2">
        <v>2013</v>
      </c>
      <c r="V98" s="6">
        <v>42981</v>
      </c>
      <c r="W98" s="3" t="s">
        <v>342</v>
      </c>
      <c r="X98" s="23">
        <v>0</v>
      </c>
    </row>
    <row r="99" spans="1:24" x14ac:dyDescent="0.2">
      <c r="A99" s="8">
        <v>1701095</v>
      </c>
      <c r="B99" s="6">
        <v>42752.583697916663</v>
      </c>
      <c r="C99" s="6">
        <v>42752.588288310188</v>
      </c>
      <c r="D99" s="6">
        <v>42756</v>
      </c>
      <c r="E99" s="6">
        <v>42766.459448842594</v>
      </c>
      <c r="F99" s="2" t="s">
        <v>26</v>
      </c>
      <c r="G99" s="2" t="s">
        <v>26</v>
      </c>
      <c r="H99" s="2" t="s">
        <v>93</v>
      </c>
      <c r="I99" s="2" t="s">
        <v>26</v>
      </c>
      <c r="J99" s="2" t="s">
        <v>26</v>
      </c>
      <c r="K99" s="2" t="s">
        <v>8</v>
      </c>
      <c r="L99" s="2" t="s">
        <v>27</v>
      </c>
      <c r="M99" s="2" t="s">
        <v>28</v>
      </c>
      <c r="N99" s="2" t="s">
        <v>345</v>
      </c>
      <c r="O99" s="2" t="s">
        <v>346</v>
      </c>
      <c r="P99" s="5">
        <v>618206593</v>
      </c>
      <c r="R99" s="2" t="s">
        <v>347</v>
      </c>
      <c r="S99" s="2" t="s">
        <v>55</v>
      </c>
      <c r="T99" s="2" t="s">
        <v>76</v>
      </c>
      <c r="U99" s="2">
        <v>2007</v>
      </c>
      <c r="V99" s="6">
        <v>42808</v>
      </c>
      <c r="W99" s="3" t="s">
        <v>44</v>
      </c>
    </row>
    <row r="100" spans="1:24" x14ac:dyDescent="0.2">
      <c r="A100" s="8">
        <v>1701096</v>
      </c>
      <c r="B100" s="6">
        <v>42752.620065972224</v>
      </c>
      <c r="C100" s="6">
        <v>42752.634860763887</v>
      </c>
      <c r="D100" s="6">
        <v>0</v>
      </c>
      <c r="E100" s="6">
        <v>42774.452768634263</v>
      </c>
      <c r="F100" s="2">
        <v>-42752.634860763887</v>
      </c>
      <c r="G100" s="2" t="s">
        <v>11</v>
      </c>
      <c r="H100" s="2" t="s">
        <v>93</v>
      </c>
      <c r="I100" s="2" t="s">
        <v>94</v>
      </c>
      <c r="J100" s="2" t="s">
        <v>95</v>
      </c>
      <c r="K100" s="2" t="s">
        <v>8</v>
      </c>
      <c r="L100" s="2" t="s">
        <v>27</v>
      </c>
      <c r="M100" s="2" t="s">
        <v>126</v>
      </c>
      <c r="N100" s="2" t="s">
        <v>348</v>
      </c>
      <c r="O100" s="2" t="s">
        <v>349</v>
      </c>
      <c r="P100" s="5">
        <v>615903753</v>
      </c>
      <c r="R100" s="2" t="s">
        <v>350</v>
      </c>
      <c r="S100" s="2" t="s">
        <v>31</v>
      </c>
      <c r="T100" s="2" t="s">
        <v>43</v>
      </c>
      <c r="U100" s="2">
        <v>2016</v>
      </c>
      <c r="V100" s="6">
        <v>42976</v>
      </c>
      <c r="W100" s="3" t="s">
        <v>351</v>
      </c>
    </row>
    <row r="101" spans="1:24" x14ac:dyDescent="0.2">
      <c r="A101" s="8">
        <v>1701097</v>
      </c>
      <c r="B101" s="6">
        <v>42752.639358912034</v>
      </c>
      <c r="C101" s="6">
        <v>42847.407450231483</v>
      </c>
      <c r="D101" s="6">
        <v>42854</v>
      </c>
      <c r="E101" s="6">
        <v>42860.455417592595</v>
      </c>
      <c r="F101" s="2" t="s">
        <v>26</v>
      </c>
      <c r="G101" s="2" t="s">
        <v>26</v>
      </c>
      <c r="H101" s="2" t="s">
        <v>93</v>
      </c>
      <c r="I101" s="2" t="s">
        <v>26</v>
      </c>
      <c r="J101" s="2" t="s">
        <v>26</v>
      </c>
      <c r="K101" s="2" t="s">
        <v>8</v>
      </c>
      <c r="L101" s="2" t="s">
        <v>27</v>
      </c>
      <c r="M101" s="2" t="s">
        <v>28</v>
      </c>
      <c r="N101" s="2" t="s">
        <v>352</v>
      </c>
      <c r="O101" s="2" t="s">
        <v>234</v>
      </c>
      <c r="P101" s="5">
        <v>624098697</v>
      </c>
      <c r="R101" s="2" t="s">
        <v>353</v>
      </c>
      <c r="S101" s="2" t="s">
        <v>37</v>
      </c>
      <c r="T101" s="2" t="s">
        <v>354</v>
      </c>
      <c r="U101" s="2">
        <v>2005</v>
      </c>
      <c r="V101" s="6">
        <v>42798</v>
      </c>
      <c r="W101" s="3" t="s">
        <v>280</v>
      </c>
    </row>
    <row r="102" spans="1:24" x14ac:dyDescent="0.2">
      <c r="A102" s="8">
        <v>1701098</v>
      </c>
      <c r="B102" s="6">
        <v>42752.670165162039</v>
      </c>
      <c r="C102" s="6">
        <v>42752.674793518519</v>
      </c>
      <c r="D102" s="6">
        <v>42755</v>
      </c>
      <c r="E102" s="6">
        <v>42756.699616782411</v>
      </c>
      <c r="F102" s="2" t="s">
        <v>26</v>
      </c>
      <c r="G102" s="2" t="s">
        <v>26</v>
      </c>
      <c r="H102" s="2" t="s">
        <v>93</v>
      </c>
      <c r="I102" s="2" t="s">
        <v>26</v>
      </c>
      <c r="J102" s="2" t="s">
        <v>26</v>
      </c>
      <c r="K102" s="2" t="s">
        <v>8</v>
      </c>
      <c r="L102" s="2" t="s">
        <v>27</v>
      </c>
      <c r="M102" s="2" t="s">
        <v>66</v>
      </c>
      <c r="N102" s="2" t="s">
        <v>355</v>
      </c>
      <c r="O102" s="2" t="s">
        <v>59</v>
      </c>
      <c r="P102" s="5">
        <v>816458861</v>
      </c>
      <c r="R102" s="2" t="s">
        <v>356</v>
      </c>
      <c r="S102" s="2" t="s">
        <v>37</v>
      </c>
      <c r="T102" s="2" t="s">
        <v>341</v>
      </c>
      <c r="U102" s="2">
        <v>2012</v>
      </c>
      <c r="V102" s="6">
        <v>42749</v>
      </c>
      <c r="W102" s="3" t="s">
        <v>152</v>
      </c>
    </row>
    <row r="103" spans="1:24" x14ac:dyDescent="0.2">
      <c r="A103" s="8">
        <v>1701099</v>
      </c>
      <c r="B103" s="6">
        <v>42753.592624537036</v>
      </c>
      <c r="C103" s="6">
        <v>42787.49069525463</v>
      </c>
      <c r="E103" s="6">
        <v>42788.740419560185</v>
      </c>
      <c r="F103" s="2" t="s">
        <v>26</v>
      </c>
      <c r="G103" s="2" t="s">
        <v>26</v>
      </c>
      <c r="H103" s="2" t="s">
        <v>93</v>
      </c>
      <c r="I103" s="2" t="s">
        <v>26</v>
      </c>
      <c r="J103" s="2" t="s">
        <v>26</v>
      </c>
      <c r="K103" s="2" t="s">
        <v>8</v>
      </c>
      <c r="L103" s="2" t="s">
        <v>34</v>
      </c>
      <c r="M103" s="2" t="s">
        <v>28</v>
      </c>
      <c r="N103" s="2" t="s">
        <v>357</v>
      </c>
      <c r="O103" s="2" t="s">
        <v>208</v>
      </c>
      <c r="P103" s="5">
        <v>890201930</v>
      </c>
      <c r="R103" s="2" t="s">
        <v>358</v>
      </c>
      <c r="S103" s="2" t="s">
        <v>49</v>
      </c>
      <c r="T103" s="2" t="s">
        <v>79</v>
      </c>
      <c r="U103" s="2">
        <v>2008</v>
      </c>
      <c r="V103" s="6">
        <v>42791</v>
      </c>
      <c r="W103" s="3" t="s">
        <v>103</v>
      </c>
    </row>
    <row r="104" spans="1:24" x14ac:dyDescent="0.2">
      <c r="A104" s="8">
        <v>1701100</v>
      </c>
      <c r="B104" s="6">
        <v>42753.596622685189</v>
      </c>
      <c r="C104" s="6">
        <v>42797.726947453702</v>
      </c>
      <c r="E104" s="6" t="s">
        <v>1511</v>
      </c>
      <c r="F104" s="2" t="s">
        <v>92</v>
      </c>
      <c r="G104" s="2" t="s">
        <v>11</v>
      </c>
      <c r="H104" s="2" t="s">
        <v>93</v>
      </c>
      <c r="I104" s="2" t="s">
        <v>94</v>
      </c>
      <c r="J104" s="2" t="s">
        <v>95</v>
      </c>
      <c r="K104" s="2" t="s">
        <v>8</v>
      </c>
      <c r="L104" s="2" t="s">
        <v>34</v>
      </c>
      <c r="M104" s="2" t="s">
        <v>28</v>
      </c>
      <c r="N104" s="2" t="s">
        <v>359</v>
      </c>
      <c r="O104" s="2" t="s">
        <v>128</v>
      </c>
      <c r="P104" s="5">
        <v>815536987</v>
      </c>
      <c r="R104" s="2" t="s">
        <v>360</v>
      </c>
      <c r="S104" s="2" t="s">
        <v>55</v>
      </c>
      <c r="T104" s="2" t="s">
        <v>142</v>
      </c>
      <c r="U104" s="2">
        <v>2012</v>
      </c>
      <c r="V104" s="6">
        <v>42613</v>
      </c>
      <c r="W104" s="3" t="s">
        <v>361</v>
      </c>
    </row>
    <row r="105" spans="1:24" x14ac:dyDescent="0.2">
      <c r="A105" s="8">
        <v>1701101</v>
      </c>
      <c r="B105" s="6">
        <v>42753.608387384258</v>
      </c>
      <c r="C105" s="6">
        <v>42892.456290277776</v>
      </c>
      <c r="D105" s="6">
        <v>42895</v>
      </c>
      <c r="E105" s="6">
        <v>42896.739263888892</v>
      </c>
      <c r="F105" s="2" t="s">
        <v>26</v>
      </c>
      <c r="G105" s="2" t="s">
        <v>26</v>
      </c>
      <c r="H105" s="2" t="s">
        <v>26</v>
      </c>
      <c r="I105" s="2" t="s">
        <v>26</v>
      </c>
      <c r="J105" s="2" t="s">
        <v>26</v>
      </c>
      <c r="K105" s="2" t="s">
        <v>8</v>
      </c>
      <c r="L105" s="2" t="s">
        <v>34</v>
      </c>
      <c r="M105" s="2" t="s">
        <v>28</v>
      </c>
      <c r="N105" s="2" t="s">
        <v>362</v>
      </c>
      <c r="O105" s="2" t="s">
        <v>41</v>
      </c>
      <c r="P105" s="5">
        <v>850570556</v>
      </c>
      <c r="R105" s="2" t="s">
        <v>363</v>
      </c>
      <c r="S105" s="2" t="s">
        <v>49</v>
      </c>
      <c r="T105" s="2" t="s">
        <v>50</v>
      </c>
      <c r="U105" s="2">
        <v>2012</v>
      </c>
      <c r="V105" s="6">
        <v>42954</v>
      </c>
      <c r="W105" s="3" t="s">
        <v>364</v>
      </c>
      <c r="X105" s="23">
        <v>2362.5</v>
      </c>
    </row>
    <row r="106" spans="1:24" x14ac:dyDescent="0.2">
      <c r="A106" s="8">
        <v>1701102</v>
      </c>
      <c r="B106" s="6">
        <v>42753.640184490738</v>
      </c>
      <c r="C106" s="6">
        <v>42847.659266898147</v>
      </c>
      <c r="D106" s="6">
        <v>42860</v>
      </c>
      <c r="E106" s="6" t="s">
        <v>1511</v>
      </c>
      <c r="F106" s="2">
        <v>12.340733101853402</v>
      </c>
      <c r="G106" s="2" t="s">
        <v>11</v>
      </c>
      <c r="H106" s="2" t="s">
        <v>93</v>
      </c>
      <c r="I106" s="2" t="s">
        <v>94</v>
      </c>
      <c r="J106" s="2" t="s">
        <v>95</v>
      </c>
      <c r="K106" s="2" t="s">
        <v>8</v>
      </c>
      <c r="L106" s="2" t="s">
        <v>34</v>
      </c>
      <c r="M106" s="2" t="s">
        <v>28</v>
      </c>
      <c r="N106" s="2" t="s">
        <v>366</v>
      </c>
      <c r="O106" s="2" t="s">
        <v>53</v>
      </c>
      <c r="P106" s="5">
        <v>643200734</v>
      </c>
      <c r="R106" s="2" t="s">
        <v>367</v>
      </c>
      <c r="S106" s="2" t="s">
        <v>49</v>
      </c>
      <c r="T106" s="2" t="s">
        <v>205</v>
      </c>
      <c r="U106" s="2">
        <v>2014</v>
      </c>
      <c r="V106" s="6">
        <v>42812</v>
      </c>
      <c r="W106" s="3" t="s">
        <v>99</v>
      </c>
      <c r="X106" s="23">
        <v>4850</v>
      </c>
    </row>
    <row r="107" spans="1:24" x14ac:dyDescent="0.2">
      <c r="A107" s="8">
        <v>1701103</v>
      </c>
      <c r="B107" s="6">
        <v>42753.646120717596</v>
      </c>
      <c r="C107" s="6">
        <v>42753.649562847226</v>
      </c>
      <c r="D107" s="6">
        <v>42760</v>
      </c>
      <c r="E107" s="6" t="s">
        <v>126</v>
      </c>
      <c r="F107" s="2">
        <v>6.3504371527742478</v>
      </c>
      <c r="G107" s="2" t="s">
        <v>11</v>
      </c>
      <c r="H107" s="2" t="s">
        <v>368</v>
      </c>
      <c r="I107" s="2" t="s">
        <v>94</v>
      </c>
      <c r="J107" s="2" t="s">
        <v>95</v>
      </c>
      <c r="K107" s="2" t="s">
        <v>8</v>
      </c>
      <c r="L107" s="2" t="s">
        <v>27</v>
      </c>
      <c r="M107" s="2" t="s">
        <v>28</v>
      </c>
      <c r="N107" s="2" t="s">
        <v>369</v>
      </c>
      <c r="O107" s="2" t="s">
        <v>128</v>
      </c>
      <c r="P107" s="5">
        <v>880224946</v>
      </c>
      <c r="R107" s="2" t="s">
        <v>370</v>
      </c>
      <c r="S107" s="2" t="s">
        <v>49</v>
      </c>
      <c r="T107" s="2" t="s">
        <v>111</v>
      </c>
      <c r="U107" s="2">
        <v>2005</v>
      </c>
      <c r="V107" s="6">
        <v>42916</v>
      </c>
      <c r="W107" s="3" t="s">
        <v>44</v>
      </c>
    </row>
    <row r="108" spans="1:24" x14ac:dyDescent="0.2">
      <c r="A108" s="8">
        <v>1701104</v>
      </c>
      <c r="B108" s="6">
        <v>42753.713361921298</v>
      </c>
      <c r="C108" s="6">
        <v>42875.598178009262</v>
      </c>
      <c r="D108" s="6">
        <v>42885</v>
      </c>
      <c r="E108" s="6">
        <v>42898.707293287036</v>
      </c>
      <c r="F108" s="2" t="s">
        <v>26</v>
      </c>
      <c r="G108" s="2" t="s">
        <v>26</v>
      </c>
      <c r="H108" s="2" t="s">
        <v>26</v>
      </c>
      <c r="I108" s="2" t="s">
        <v>26</v>
      </c>
      <c r="J108" s="2" t="s">
        <v>26</v>
      </c>
      <c r="K108" s="2" t="s">
        <v>8</v>
      </c>
      <c r="L108" s="2" t="s">
        <v>34</v>
      </c>
      <c r="M108" s="2" t="s">
        <v>61</v>
      </c>
      <c r="N108" s="2" t="s">
        <v>371</v>
      </c>
      <c r="O108" s="2" t="s">
        <v>120</v>
      </c>
      <c r="P108" s="5">
        <v>812863432</v>
      </c>
      <c r="R108" s="2" t="s">
        <v>372</v>
      </c>
      <c r="S108" s="2" t="s">
        <v>183</v>
      </c>
      <c r="T108" s="2" t="s">
        <v>373</v>
      </c>
      <c r="U108" s="2">
        <v>2011</v>
      </c>
      <c r="V108" s="6">
        <v>42786</v>
      </c>
      <c r="W108" s="3" t="s">
        <v>106</v>
      </c>
      <c r="X108" s="23">
        <v>2000</v>
      </c>
    </row>
    <row r="109" spans="1:24" x14ac:dyDescent="0.2">
      <c r="A109" s="8">
        <v>1701105</v>
      </c>
      <c r="B109" s="6">
        <v>42753.715865625003</v>
      </c>
      <c r="C109" s="6">
        <v>42926.605844328704</v>
      </c>
      <c r="D109" s="6">
        <v>42933</v>
      </c>
      <c r="E109" s="6">
        <v>42938.056056250003</v>
      </c>
      <c r="F109" s="2" t="s">
        <v>26</v>
      </c>
      <c r="G109" s="2" t="s">
        <v>26</v>
      </c>
      <c r="H109" s="2" t="s">
        <v>26</v>
      </c>
      <c r="I109" s="2" t="s">
        <v>26</v>
      </c>
      <c r="J109" s="2" t="s">
        <v>26</v>
      </c>
      <c r="K109" s="2" t="s">
        <v>8</v>
      </c>
      <c r="L109" s="2" t="s">
        <v>51</v>
      </c>
      <c r="M109" s="2" t="s">
        <v>61</v>
      </c>
      <c r="N109" s="2" t="s">
        <v>374</v>
      </c>
      <c r="O109" s="2" t="s">
        <v>120</v>
      </c>
      <c r="P109" s="5">
        <v>865151380</v>
      </c>
      <c r="R109" s="2" t="s">
        <v>375</v>
      </c>
      <c r="S109" s="2" t="s">
        <v>55</v>
      </c>
      <c r="T109" s="2" t="s">
        <v>142</v>
      </c>
      <c r="U109" s="2">
        <v>2006</v>
      </c>
      <c r="V109" s="6" t="s">
        <v>72</v>
      </c>
      <c r="X109" s="23">
        <v>3860</v>
      </c>
    </row>
    <row r="110" spans="1:24" x14ac:dyDescent="0.2">
      <c r="A110" s="8">
        <v>1701106</v>
      </c>
      <c r="B110" s="6">
        <v>42753.719615624999</v>
      </c>
      <c r="F110" s="2" t="s">
        <v>126</v>
      </c>
      <c r="G110" s="2" t="s">
        <v>126</v>
      </c>
      <c r="H110" s="2" t="s">
        <v>126</v>
      </c>
      <c r="I110" s="2" t="s">
        <v>126</v>
      </c>
      <c r="J110" s="2" t="s">
        <v>126</v>
      </c>
      <c r="K110" s="2" t="s">
        <v>8</v>
      </c>
      <c r="L110" s="2" t="s">
        <v>34</v>
      </c>
      <c r="M110" s="2" t="s">
        <v>61</v>
      </c>
      <c r="N110" s="2" t="s">
        <v>376</v>
      </c>
      <c r="O110" s="2" t="s">
        <v>68</v>
      </c>
      <c r="P110" s="5">
        <v>853955614</v>
      </c>
      <c r="R110" s="2" t="s">
        <v>377</v>
      </c>
      <c r="S110" s="2" t="s">
        <v>31</v>
      </c>
      <c r="T110" s="2" t="s">
        <v>283</v>
      </c>
      <c r="U110" s="2">
        <v>2009</v>
      </c>
      <c r="V110" s="6">
        <v>42823</v>
      </c>
      <c r="W110" s="3" t="s">
        <v>342</v>
      </c>
    </row>
    <row r="111" spans="1:24" x14ac:dyDescent="0.2">
      <c r="A111" s="8">
        <v>1701107</v>
      </c>
      <c r="B111" s="6">
        <v>42754.39926215278</v>
      </c>
      <c r="C111" s="6">
        <v>42754.404783449078</v>
      </c>
      <c r="D111" s="6">
        <v>42767</v>
      </c>
      <c r="E111" s="6">
        <v>42776.731441550925</v>
      </c>
      <c r="F111" s="2">
        <v>12.595216550922487</v>
      </c>
      <c r="G111" s="2" t="s">
        <v>11</v>
      </c>
      <c r="H111" s="2" t="s">
        <v>93</v>
      </c>
      <c r="I111" s="2" t="s">
        <v>94</v>
      </c>
      <c r="J111" s="2" t="s">
        <v>95</v>
      </c>
      <c r="K111" s="2" t="s">
        <v>8</v>
      </c>
      <c r="L111" s="2" t="s">
        <v>51</v>
      </c>
      <c r="M111" s="2" t="s">
        <v>378</v>
      </c>
      <c r="N111" s="2" t="s">
        <v>379</v>
      </c>
      <c r="O111" s="2" t="s">
        <v>380</v>
      </c>
      <c r="P111" s="5">
        <v>858185188</v>
      </c>
      <c r="R111" s="2" t="s">
        <v>381</v>
      </c>
      <c r="S111" s="2" t="s">
        <v>31</v>
      </c>
      <c r="T111" s="2" t="s">
        <v>382</v>
      </c>
      <c r="U111" s="2">
        <v>2007</v>
      </c>
      <c r="V111" s="6">
        <v>42899</v>
      </c>
      <c r="W111" s="3" t="s">
        <v>84</v>
      </c>
      <c r="X111" s="23">
        <v>9110</v>
      </c>
    </row>
    <row r="112" spans="1:24" x14ac:dyDescent="0.2">
      <c r="A112" s="8">
        <v>1701108</v>
      </c>
      <c r="B112" s="6">
        <v>42754.408292245367</v>
      </c>
      <c r="C112" s="6">
        <v>42803.718074074073</v>
      </c>
      <c r="D112" s="6">
        <v>42816</v>
      </c>
      <c r="E112" s="6">
        <v>42833.731832060184</v>
      </c>
      <c r="F112" s="2" t="s">
        <v>26</v>
      </c>
      <c r="G112" s="2" t="s">
        <v>26</v>
      </c>
      <c r="H112" s="2" t="s">
        <v>93</v>
      </c>
      <c r="I112" s="2" t="s">
        <v>26</v>
      </c>
      <c r="J112" s="2" t="s">
        <v>26</v>
      </c>
      <c r="K112" s="2" t="s">
        <v>8</v>
      </c>
      <c r="L112" s="2" t="s">
        <v>27</v>
      </c>
      <c r="M112" s="2" t="s">
        <v>81</v>
      </c>
      <c r="N112" s="2" t="s">
        <v>383</v>
      </c>
      <c r="O112" s="2" t="s">
        <v>120</v>
      </c>
      <c r="P112" s="5">
        <v>863838434</v>
      </c>
      <c r="R112" s="2" t="s">
        <v>384</v>
      </c>
      <c r="S112" s="2" t="s">
        <v>37</v>
      </c>
      <c r="T112" s="2" t="s">
        <v>38</v>
      </c>
      <c r="U112" s="2">
        <v>2010</v>
      </c>
      <c r="V112" s="6">
        <v>42826</v>
      </c>
      <c r="W112" s="3" t="s">
        <v>117</v>
      </c>
      <c r="X112" s="23">
        <v>17805.509999999998</v>
      </c>
    </row>
    <row r="113" spans="1:24" x14ac:dyDescent="0.2">
      <c r="A113" s="8">
        <v>1701109</v>
      </c>
      <c r="B113" s="6">
        <v>42754.63109988426</v>
      </c>
      <c r="C113" s="6">
        <v>42754.632010300928</v>
      </c>
      <c r="D113" s="6">
        <v>0</v>
      </c>
      <c r="E113" s="6">
        <v>42826.667693055555</v>
      </c>
      <c r="F113" s="2" t="s">
        <v>26</v>
      </c>
      <c r="G113" s="2" t="s">
        <v>26</v>
      </c>
      <c r="H113" s="2" t="s">
        <v>93</v>
      </c>
      <c r="I113" s="2" t="s">
        <v>26</v>
      </c>
      <c r="J113" s="2" t="s">
        <v>26</v>
      </c>
      <c r="K113" s="2" t="s">
        <v>8</v>
      </c>
      <c r="L113" s="2" t="s">
        <v>170</v>
      </c>
      <c r="M113" s="2" t="s">
        <v>66</v>
      </c>
      <c r="N113" s="2" t="s">
        <v>385</v>
      </c>
      <c r="O113" s="2" t="s">
        <v>380</v>
      </c>
      <c r="P113" s="5">
        <v>817509831</v>
      </c>
      <c r="R113" s="2" t="s">
        <v>386</v>
      </c>
      <c r="S113" s="2" t="s">
        <v>37</v>
      </c>
      <c r="T113" s="2" t="s">
        <v>387</v>
      </c>
      <c r="U113" s="2">
        <v>2011</v>
      </c>
      <c r="V113" s="6">
        <v>42882</v>
      </c>
      <c r="W113" s="3" t="s">
        <v>388</v>
      </c>
    </row>
    <row r="114" spans="1:24" x14ac:dyDescent="0.2">
      <c r="A114" s="8">
        <v>1701110</v>
      </c>
      <c r="B114" s="6">
        <v>42755.694035995373</v>
      </c>
      <c r="C114" s="6">
        <v>42794.744501041663</v>
      </c>
      <c r="E114" s="6">
        <v>42798.612301504632</v>
      </c>
      <c r="F114" s="2" t="s">
        <v>26</v>
      </c>
      <c r="G114" s="2" t="s">
        <v>26</v>
      </c>
      <c r="H114" s="2" t="s">
        <v>93</v>
      </c>
      <c r="I114" s="2" t="s">
        <v>26</v>
      </c>
      <c r="J114" s="2" t="s">
        <v>26</v>
      </c>
      <c r="K114" s="2" t="s">
        <v>8</v>
      </c>
      <c r="L114" s="2" t="s">
        <v>34</v>
      </c>
      <c r="M114" s="2" t="s">
        <v>66</v>
      </c>
      <c r="N114" s="2" t="s">
        <v>389</v>
      </c>
      <c r="O114" s="2" t="s">
        <v>114</v>
      </c>
      <c r="P114" s="5">
        <v>934744865</v>
      </c>
      <c r="R114" s="2" t="s">
        <v>390</v>
      </c>
      <c r="S114" s="2" t="s">
        <v>49</v>
      </c>
      <c r="T114" s="2" t="s">
        <v>79</v>
      </c>
      <c r="U114" s="2">
        <v>2011</v>
      </c>
      <c r="V114" s="6">
        <v>42812</v>
      </c>
      <c r="W114" s="3" t="s">
        <v>117</v>
      </c>
    </row>
    <row r="115" spans="1:24" x14ac:dyDescent="0.2">
      <c r="A115" s="8">
        <v>1701111</v>
      </c>
      <c r="B115" s="6">
        <v>42755.695421180557</v>
      </c>
      <c r="C115" s="6">
        <v>1</v>
      </c>
      <c r="E115" s="6" t="s">
        <v>126</v>
      </c>
      <c r="F115" s="2" t="s">
        <v>92</v>
      </c>
      <c r="G115" s="2" t="s">
        <v>95</v>
      </c>
      <c r="H115" s="2" t="s">
        <v>95</v>
      </c>
      <c r="I115" s="2" t="s">
        <v>95</v>
      </c>
      <c r="J115" s="2" t="s">
        <v>95</v>
      </c>
      <c r="K115" s="2" t="s">
        <v>8</v>
      </c>
      <c r="L115" s="2" t="s">
        <v>34</v>
      </c>
      <c r="M115" s="2" t="s">
        <v>28</v>
      </c>
      <c r="N115" s="2" t="s">
        <v>391</v>
      </c>
      <c r="O115" s="2" t="s">
        <v>114</v>
      </c>
      <c r="P115" s="5">
        <v>980961047</v>
      </c>
      <c r="R115" s="2" t="s">
        <v>392</v>
      </c>
      <c r="S115" s="2" t="s">
        <v>49</v>
      </c>
      <c r="T115" s="2" t="s">
        <v>130</v>
      </c>
      <c r="U115" s="2">
        <v>2004</v>
      </c>
      <c r="V115" s="6">
        <v>42855</v>
      </c>
      <c r="W115" s="3" t="s">
        <v>219</v>
      </c>
      <c r="X115" s="23">
        <v>0</v>
      </c>
    </row>
    <row r="116" spans="1:24" x14ac:dyDescent="0.2">
      <c r="A116" s="8">
        <v>1701112</v>
      </c>
      <c r="B116" s="6">
        <v>42755.698437615742</v>
      </c>
      <c r="C116" s="6">
        <v>42755.704998958332</v>
      </c>
      <c r="D116" s="6">
        <v>42761</v>
      </c>
      <c r="E116" s="6">
        <v>42767.596072106484</v>
      </c>
      <c r="F116" s="2" t="s">
        <v>26</v>
      </c>
      <c r="G116" s="2" t="s">
        <v>26</v>
      </c>
      <c r="H116" s="2" t="s">
        <v>93</v>
      </c>
      <c r="I116" s="2" t="s">
        <v>26</v>
      </c>
      <c r="J116" s="2" t="s">
        <v>26</v>
      </c>
      <c r="K116" s="2" t="s">
        <v>126</v>
      </c>
      <c r="L116" s="2" t="s">
        <v>126</v>
      </c>
      <c r="M116" s="2" t="s">
        <v>126</v>
      </c>
      <c r="N116" s="2" t="s">
        <v>391</v>
      </c>
      <c r="O116" s="2" t="s">
        <v>114</v>
      </c>
      <c r="P116" s="5">
        <v>980961047</v>
      </c>
      <c r="Q116" s="5">
        <v>0</v>
      </c>
      <c r="R116" s="2" t="s">
        <v>393</v>
      </c>
      <c r="S116" s="2" t="s">
        <v>49</v>
      </c>
      <c r="T116" s="2" t="s">
        <v>130</v>
      </c>
      <c r="U116" s="2">
        <v>2004</v>
      </c>
      <c r="V116" s="6">
        <v>42855</v>
      </c>
      <c r="W116" s="3" t="s">
        <v>219</v>
      </c>
      <c r="X116" s="23">
        <v>6200</v>
      </c>
    </row>
    <row r="117" spans="1:24" x14ac:dyDescent="0.2">
      <c r="A117" s="8">
        <v>1701113</v>
      </c>
      <c r="B117" s="6">
        <v>42756.552233912036</v>
      </c>
      <c r="C117" s="6">
        <v>42825.495982870372</v>
      </c>
      <c r="D117" s="6">
        <v>42833</v>
      </c>
      <c r="E117" s="6">
        <v>42835.733954166666</v>
      </c>
      <c r="F117" s="2" t="s">
        <v>26</v>
      </c>
      <c r="G117" s="2" t="s">
        <v>26</v>
      </c>
      <c r="H117" s="2" t="s">
        <v>93</v>
      </c>
      <c r="I117" s="2" t="s">
        <v>26</v>
      </c>
      <c r="J117" s="2" t="s">
        <v>26</v>
      </c>
      <c r="K117" s="2" t="s">
        <v>8</v>
      </c>
      <c r="L117" s="2" t="s">
        <v>27</v>
      </c>
      <c r="M117" s="2" t="s">
        <v>45</v>
      </c>
      <c r="N117" s="2" t="s">
        <v>394</v>
      </c>
      <c r="O117" s="2" t="s">
        <v>47</v>
      </c>
      <c r="P117" s="5">
        <v>834498294</v>
      </c>
      <c r="R117" s="2" t="s">
        <v>395</v>
      </c>
      <c r="S117" s="2" t="s">
        <v>70</v>
      </c>
      <c r="T117" s="2" t="s">
        <v>193</v>
      </c>
      <c r="U117" s="2">
        <v>2012</v>
      </c>
      <c r="V117" s="6">
        <v>42797</v>
      </c>
      <c r="W117" s="3" t="s">
        <v>396</v>
      </c>
      <c r="X117" s="23">
        <v>6580</v>
      </c>
    </row>
    <row r="118" spans="1:24" x14ac:dyDescent="0.2">
      <c r="A118" s="8">
        <v>1701114</v>
      </c>
      <c r="B118" s="6">
        <v>42756.555912384261</v>
      </c>
      <c r="C118" s="6">
        <v>42809.700220254628</v>
      </c>
      <c r="D118" s="6">
        <v>42816</v>
      </c>
      <c r="E118" s="6">
        <v>42824.410406944444</v>
      </c>
      <c r="F118" s="2" t="s">
        <v>26</v>
      </c>
      <c r="G118" s="2" t="s">
        <v>26</v>
      </c>
      <c r="H118" s="2" t="s">
        <v>93</v>
      </c>
      <c r="I118" s="2" t="s">
        <v>26</v>
      </c>
      <c r="J118" s="2" t="s">
        <v>26</v>
      </c>
      <c r="K118" s="2" t="s">
        <v>8</v>
      </c>
      <c r="L118" s="2" t="s">
        <v>34</v>
      </c>
      <c r="M118" s="2" t="s">
        <v>61</v>
      </c>
      <c r="N118" s="2" t="s">
        <v>397</v>
      </c>
      <c r="O118" s="2" t="s">
        <v>349</v>
      </c>
      <c r="P118" s="5">
        <v>984600907</v>
      </c>
      <c r="R118" s="2" t="s">
        <v>398</v>
      </c>
      <c r="S118" s="2" t="s">
        <v>243</v>
      </c>
      <c r="T118" s="2" t="s">
        <v>244</v>
      </c>
      <c r="U118" s="2">
        <v>2012</v>
      </c>
      <c r="V118" s="6" t="s">
        <v>72</v>
      </c>
      <c r="X118" s="23">
        <v>4475</v>
      </c>
    </row>
    <row r="119" spans="1:24" x14ac:dyDescent="0.2">
      <c r="A119" s="8">
        <v>1701115</v>
      </c>
      <c r="B119" s="6">
        <v>42756.559947569447</v>
      </c>
      <c r="C119" s="6">
        <v>42910.724627662035</v>
      </c>
      <c r="D119" s="6">
        <v>42916</v>
      </c>
      <c r="E119" s="6">
        <v>42921.384445370371</v>
      </c>
      <c r="F119" s="2" t="s">
        <v>26</v>
      </c>
      <c r="G119" s="2" t="s">
        <v>26</v>
      </c>
      <c r="H119" s="2" t="s">
        <v>26</v>
      </c>
      <c r="I119" s="2" t="s">
        <v>26</v>
      </c>
      <c r="J119" s="2" t="s">
        <v>26</v>
      </c>
      <c r="K119" s="2" t="s">
        <v>8</v>
      </c>
      <c r="L119" s="2" t="s">
        <v>34</v>
      </c>
      <c r="M119" s="2" t="s">
        <v>28</v>
      </c>
      <c r="N119" s="2" t="s">
        <v>399</v>
      </c>
      <c r="O119" s="2" t="s">
        <v>114</v>
      </c>
      <c r="P119" s="5">
        <v>616162950</v>
      </c>
      <c r="R119" s="2" t="s">
        <v>400</v>
      </c>
      <c r="S119" s="2" t="s">
        <v>31</v>
      </c>
      <c r="T119" s="2" t="s">
        <v>116</v>
      </c>
      <c r="U119" s="2">
        <v>2011</v>
      </c>
      <c r="V119" s="6">
        <v>42805</v>
      </c>
      <c r="W119" s="3" t="s">
        <v>342</v>
      </c>
      <c r="X119" s="23">
        <v>1900</v>
      </c>
    </row>
    <row r="120" spans="1:24" x14ac:dyDescent="0.2">
      <c r="A120" s="8">
        <v>1701116</v>
      </c>
      <c r="B120" s="6">
        <v>42756.564023611114</v>
      </c>
      <c r="C120" s="6">
        <v>42822.435190856479</v>
      </c>
      <c r="D120" s="6">
        <v>42830</v>
      </c>
      <c r="E120" s="6">
        <v>42832.363255902776</v>
      </c>
      <c r="F120" s="2" t="s">
        <v>26</v>
      </c>
      <c r="G120" s="2" t="s">
        <v>26</v>
      </c>
      <c r="H120" s="2" t="s">
        <v>93</v>
      </c>
      <c r="I120" s="2" t="s">
        <v>26</v>
      </c>
      <c r="J120" s="2" t="s">
        <v>26</v>
      </c>
      <c r="K120" s="2" t="s">
        <v>8</v>
      </c>
      <c r="L120" s="2" t="s">
        <v>27</v>
      </c>
      <c r="M120" s="2" t="s">
        <v>139</v>
      </c>
      <c r="N120" s="2" t="s">
        <v>401</v>
      </c>
      <c r="O120" s="2" t="s">
        <v>41</v>
      </c>
      <c r="P120" s="5">
        <v>952516238</v>
      </c>
      <c r="R120" s="2" t="s">
        <v>402</v>
      </c>
      <c r="S120" s="2" t="s">
        <v>64</v>
      </c>
      <c r="T120" s="2">
        <v>2</v>
      </c>
      <c r="U120" s="2">
        <v>2013</v>
      </c>
      <c r="V120" s="6">
        <v>42886</v>
      </c>
      <c r="W120" s="3" t="s">
        <v>39</v>
      </c>
    </row>
    <row r="121" spans="1:24" x14ac:dyDescent="0.2">
      <c r="A121" s="8">
        <v>1701117</v>
      </c>
      <c r="B121" s="6">
        <v>42756.685568402776</v>
      </c>
      <c r="C121" s="6">
        <v>42794.400852662038</v>
      </c>
      <c r="E121" s="6" t="s">
        <v>1511</v>
      </c>
      <c r="F121" s="2" t="s">
        <v>92</v>
      </c>
      <c r="G121" s="2" t="s">
        <v>11</v>
      </c>
      <c r="H121" s="2" t="s">
        <v>93</v>
      </c>
      <c r="I121" s="2" t="s">
        <v>94</v>
      </c>
      <c r="J121" s="2" t="s">
        <v>95</v>
      </c>
      <c r="K121" s="2" t="s">
        <v>8</v>
      </c>
      <c r="L121" s="2" t="s">
        <v>34</v>
      </c>
      <c r="M121" s="2" t="s">
        <v>28</v>
      </c>
      <c r="N121" s="2" t="s">
        <v>403</v>
      </c>
      <c r="O121" s="2" t="s">
        <v>68</v>
      </c>
      <c r="P121" s="5">
        <v>896752294</v>
      </c>
      <c r="R121" s="2" t="s">
        <v>404</v>
      </c>
      <c r="S121" s="2" t="s">
        <v>31</v>
      </c>
      <c r="T121" s="2" t="s">
        <v>116</v>
      </c>
      <c r="U121" s="2">
        <v>2011</v>
      </c>
      <c r="V121" s="6">
        <v>42984</v>
      </c>
      <c r="W121" s="3" t="s">
        <v>405</v>
      </c>
    </row>
    <row r="122" spans="1:24" x14ac:dyDescent="0.2">
      <c r="A122" s="8">
        <v>1701118</v>
      </c>
      <c r="B122" s="6">
        <v>42756.691441087962</v>
      </c>
      <c r="C122" s="6">
        <v>42779.587583564811</v>
      </c>
      <c r="D122" s="6">
        <v>42788</v>
      </c>
      <c r="E122" s="6">
        <v>42791.75600011574</v>
      </c>
      <c r="F122" s="2" t="s">
        <v>26</v>
      </c>
      <c r="G122" s="2" t="s">
        <v>26</v>
      </c>
      <c r="H122" s="2" t="s">
        <v>93</v>
      </c>
      <c r="I122" s="2" t="s">
        <v>26</v>
      </c>
      <c r="J122" s="2" t="s">
        <v>26</v>
      </c>
      <c r="K122" s="2" t="s">
        <v>8</v>
      </c>
      <c r="L122" s="2" t="s">
        <v>27</v>
      </c>
      <c r="M122" s="2" t="s">
        <v>88</v>
      </c>
      <c r="N122" s="2" t="s">
        <v>406</v>
      </c>
      <c r="O122" s="2" t="s">
        <v>407</v>
      </c>
      <c r="P122" s="5">
        <v>979393659</v>
      </c>
      <c r="Q122" s="5">
        <v>619894485</v>
      </c>
      <c r="R122" s="2" t="s">
        <v>408</v>
      </c>
      <c r="S122" s="2" t="s">
        <v>64</v>
      </c>
      <c r="T122" s="2">
        <v>3</v>
      </c>
      <c r="U122" s="2">
        <v>2005</v>
      </c>
      <c r="V122" s="6" t="s">
        <v>72</v>
      </c>
    </row>
    <row r="123" spans="1:24" x14ac:dyDescent="0.2">
      <c r="A123" s="8">
        <v>1701119</v>
      </c>
      <c r="B123" s="6">
        <v>42756.695165972225</v>
      </c>
      <c r="C123" s="6">
        <v>42767.630519675928</v>
      </c>
      <c r="D123" s="6">
        <v>42772</v>
      </c>
      <c r="E123" s="6">
        <v>42772.76835092593</v>
      </c>
      <c r="F123" s="2">
        <v>4.3694803240723559</v>
      </c>
      <c r="G123" s="2" t="s">
        <v>11</v>
      </c>
      <c r="H123" s="2" t="s">
        <v>93</v>
      </c>
      <c r="I123" s="2" t="s">
        <v>94</v>
      </c>
      <c r="J123" s="2" t="s">
        <v>95</v>
      </c>
      <c r="K123" s="2" t="s">
        <v>8</v>
      </c>
      <c r="L123" s="2" t="s">
        <v>34</v>
      </c>
      <c r="M123" s="2" t="s">
        <v>61</v>
      </c>
      <c r="N123" s="2" t="s">
        <v>409</v>
      </c>
      <c r="O123" s="2" t="s">
        <v>41</v>
      </c>
      <c r="P123" s="5">
        <v>896610115</v>
      </c>
      <c r="Q123" s="5">
        <v>815658114</v>
      </c>
      <c r="R123" s="2" t="s">
        <v>410</v>
      </c>
      <c r="S123" s="2" t="s">
        <v>70</v>
      </c>
      <c r="T123" s="2" t="s">
        <v>411</v>
      </c>
      <c r="U123" s="2">
        <v>2002</v>
      </c>
      <c r="V123" s="6">
        <v>42836</v>
      </c>
      <c r="W123" s="3" t="s">
        <v>223</v>
      </c>
      <c r="X123" s="23">
        <v>4841.9799999999996</v>
      </c>
    </row>
    <row r="124" spans="1:24" x14ac:dyDescent="0.2">
      <c r="A124" s="8">
        <v>1701120</v>
      </c>
      <c r="B124" s="6">
        <v>42756.696515625001</v>
      </c>
      <c r="C124" s="6">
        <v>42756.697737847222</v>
      </c>
      <c r="D124" s="6">
        <v>42765</v>
      </c>
      <c r="E124" s="6">
        <v>42772.769206018522</v>
      </c>
      <c r="F124" s="2">
        <v>8.3022621527779847</v>
      </c>
      <c r="G124" s="2" t="s">
        <v>11</v>
      </c>
      <c r="H124" s="2" t="s">
        <v>93</v>
      </c>
      <c r="I124" s="2" t="s">
        <v>94</v>
      </c>
      <c r="J124" s="2" t="s">
        <v>95</v>
      </c>
      <c r="K124" s="2" t="s">
        <v>269</v>
      </c>
      <c r="L124" s="2" t="s">
        <v>27</v>
      </c>
      <c r="M124" s="2" t="s">
        <v>126</v>
      </c>
      <c r="N124" s="2" t="s">
        <v>412</v>
      </c>
      <c r="O124" s="2" t="s">
        <v>41</v>
      </c>
      <c r="P124" s="5">
        <v>802949872</v>
      </c>
      <c r="R124" s="2" t="s">
        <v>413</v>
      </c>
      <c r="S124" s="2" t="s">
        <v>49</v>
      </c>
      <c r="T124" s="2" t="s">
        <v>130</v>
      </c>
      <c r="X124" s="23">
        <v>37417.78</v>
      </c>
    </row>
    <row r="125" spans="1:24" x14ac:dyDescent="0.2">
      <c r="A125" s="8">
        <v>1701121</v>
      </c>
      <c r="B125" s="6">
        <v>42756.723049537039</v>
      </c>
      <c r="C125" s="6">
        <v>42756.726676736114</v>
      </c>
      <c r="D125" s="6">
        <v>42770</v>
      </c>
      <c r="E125" s="6">
        <v>42775.349485995372</v>
      </c>
      <c r="F125" s="2">
        <v>13.273323263885686</v>
      </c>
      <c r="G125" s="2" t="s">
        <v>11</v>
      </c>
      <c r="H125" s="2" t="s">
        <v>93</v>
      </c>
      <c r="I125" s="2" t="s">
        <v>94</v>
      </c>
      <c r="J125" s="2" t="s">
        <v>95</v>
      </c>
      <c r="K125" s="2" t="s">
        <v>8</v>
      </c>
      <c r="L125" s="2" t="s">
        <v>27</v>
      </c>
      <c r="M125" s="2" t="s">
        <v>45</v>
      </c>
      <c r="N125" s="2" t="s">
        <v>414</v>
      </c>
      <c r="O125" s="2" t="s">
        <v>47</v>
      </c>
      <c r="P125" s="5">
        <v>945520315</v>
      </c>
      <c r="R125" s="2" t="s">
        <v>415</v>
      </c>
      <c r="S125" s="2" t="s">
        <v>49</v>
      </c>
      <c r="T125" s="2" t="s">
        <v>79</v>
      </c>
      <c r="U125" s="2">
        <v>2009</v>
      </c>
      <c r="V125" s="6">
        <v>43092</v>
      </c>
      <c r="W125" s="3" t="s">
        <v>106</v>
      </c>
    </row>
    <row r="126" spans="1:24" x14ac:dyDescent="0.2">
      <c r="A126" s="8">
        <v>1701122</v>
      </c>
      <c r="B126" s="6">
        <v>42758.484242592589</v>
      </c>
      <c r="C126" s="6">
        <v>42758.484618634262</v>
      </c>
      <c r="D126" s="6">
        <v>0</v>
      </c>
      <c r="E126" s="6">
        <v>42861.70164525463</v>
      </c>
      <c r="F126" s="2" t="s">
        <v>26</v>
      </c>
      <c r="G126" s="2" t="s">
        <v>26</v>
      </c>
      <c r="H126" s="2" t="s">
        <v>93</v>
      </c>
      <c r="I126" s="2" t="s">
        <v>26</v>
      </c>
      <c r="J126" s="2" t="s">
        <v>26</v>
      </c>
      <c r="K126" s="2" t="s">
        <v>8</v>
      </c>
      <c r="L126" s="2" t="s">
        <v>170</v>
      </c>
      <c r="M126" s="2" t="s">
        <v>416</v>
      </c>
      <c r="N126" s="2" t="s">
        <v>417</v>
      </c>
      <c r="O126" s="2" t="s">
        <v>128</v>
      </c>
      <c r="P126" s="5">
        <v>811705153</v>
      </c>
      <c r="Q126" s="5">
        <v>0</v>
      </c>
      <c r="R126" s="2" t="s">
        <v>418</v>
      </c>
      <c r="S126" s="2" t="s">
        <v>419</v>
      </c>
      <c r="T126" s="2" t="s">
        <v>420</v>
      </c>
      <c r="U126" s="2">
        <v>2004</v>
      </c>
      <c r="V126" s="6">
        <v>42803</v>
      </c>
      <c r="W126" s="3" t="s">
        <v>421</v>
      </c>
      <c r="X126" s="23">
        <v>280.37</v>
      </c>
    </row>
    <row r="127" spans="1:24" x14ac:dyDescent="0.2">
      <c r="A127" s="8">
        <v>1701123</v>
      </c>
      <c r="B127" s="6">
        <v>42758.486395486114</v>
      </c>
      <c r="C127" s="6">
        <v>42773.608945370368</v>
      </c>
      <c r="D127" s="6">
        <v>42781</v>
      </c>
      <c r="E127" s="6">
        <v>42789.747918518522</v>
      </c>
      <c r="F127" s="2" t="s">
        <v>26</v>
      </c>
      <c r="G127" s="2" t="s">
        <v>26</v>
      </c>
      <c r="H127" s="2" t="s">
        <v>93</v>
      </c>
      <c r="I127" s="2" t="s">
        <v>26</v>
      </c>
      <c r="J127" s="2" t="s">
        <v>26</v>
      </c>
      <c r="K127" s="2" t="s">
        <v>8</v>
      </c>
      <c r="L127" s="2" t="s">
        <v>27</v>
      </c>
      <c r="M127" s="2" t="s">
        <v>28</v>
      </c>
      <c r="N127" s="2" t="s">
        <v>422</v>
      </c>
      <c r="O127" s="2" t="s">
        <v>239</v>
      </c>
      <c r="P127" s="5">
        <v>899544324</v>
      </c>
      <c r="Q127" s="5">
        <v>982591134</v>
      </c>
      <c r="R127" s="2" t="s">
        <v>423</v>
      </c>
      <c r="S127" s="2" t="s">
        <v>31</v>
      </c>
      <c r="T127" s="2" t="s">
        <v>32</v>
      </c>
      <c r="U127" s="2">
        <v>2011</v>
      </c>
      <c r="V127" s="6">
        <v>43120</v>
      </c>
      <c r="W127" s="3" t="s">
        <v>424</v>
      </c>
    </row>
    <row r="128" spans="1:24" x14ac:dyDescent="0.2">
      <c r="A128" s="8">
        <v>1701124</v>
      </c>
      <c r="B128" s="6">
        <v>42758.490105555553</v>
      </c>
      <c r="C128" s="6">
        <v>42758.490976851848</v>
      </c>
      <c r="D128" s="6">
        <v>0</v>
      </c>
      <c r="E128" s="6">
        <v>42768.569323611111</v>
      </c>
      <c r="F128" s="2" t="s">
        <v>26</v>
      </c>
      <c r="G128" s="2" t="s">
        <v>26</v>
      </c>
      <c r="H128" s="2" t="s">
        <v>93</v>
      </c>
      <c r="I128" s="2" t="s">
        <v>26</v>
      </c>
      <c r="J128" s="2" t="s">
        <v>26</v>
      </c>
      <c r="K128" s="2" t="s">
        <v>8</v>
      </c>
      <c r="L128" s="2" t="s">
        <v>27</v>
      </c>
      <c r="M128" s="2" t="s">
        <v>66</v>
      </c>
      <c r="N128" s="2" t="s">
        <v>425</v>
      </c>
      <c r="O128" s="2" t="s">
        <v>380</v>
      </c>
      <c r="P128" s="5">
        <v>841121920</v>
      </c>
      <c r="Q128" s="5">
        <v>815559602</v>
      </c>
      <c r="R128" s="2" t="s">
        <v>426</v>
      </c>
      <c r="S128" s="2" t="s">
        <v>37</v>
      </c>
      <c r="T128" s="2" t="s">
        <v>354</v>
      </c>
      <c r="U128" s="2">
        <v>0</v>
      </c>
      <c r="V128" s="6" t="s">
        <v>427</v>
      </c>
      <c r="W128" s="3" t="s">
        <v>428</v>
      </c>
      <c r="X128" s="23">
        <v>2224.3000000000002</v>
      </c>
    </row>
    <row r="129" spans="1:24" x14ac:dyDescent="0.2">
      <c r="A129" s="8">
        <v>1701125</v>
      </c>
      <c r="B129" s="6">
        <v>42758.49334976852</v>
      </c>
      <c r="C129" s="6">
        <v>42758.495610648148</v>
      </c>
      <c r="D129" s="6">
        <v>42763</v>
      </c>
      <c r="E129" s="6">
        <v>42781.722231481479</v>
      </c>
      <c r="F129" s="2">
        <v>4.5043893518522964</v>
      </c>
      <c r="G129" s="2" t="s">
        <v>11</v>
      </c>
      <c r="H129" s="2" t="s">
        <v>93</v>
      </c>
      <c r="I129" s="2" t="s">
        <v>94</v>
      </c>
      <c r="J129" s="2" t="s">
        <v>95</v>
      </c>
      <c r="K129" s="2" t="s">
        <v>8</v>
      </c>
      <c r="L129" s="2" t="s">
        <v>27</v>
      </c>
      <c r="M129" s="2" t="s">
        <v>28</v>
      </c>
      <c r="N129" s="2" t="s">
        <v>429</v>
      </c>
      <c r="O129" s="2" t="s">
        <v>120</v>
      </c>
      <c r="P129" s="5">
        <v>802622627</v>
      </c>
      <c r="Q129" s="5">
        <v>846420738</v>
      </c>
      <c r="R129" s="2" t="s">
        <v>430</v>
      </c>
      <c r="S129" s="2" t="s">
        <v>55</v>
      </c>
      <c r="T129" s="2" t="s">
        <v>56</v>
      </c>
      <c r="U129" s="2">
        <v>2003</v>
      </c>
      <c r="V129" s="6">
        <v>42891</v>
      </c>
      <c r="W129" s="3" t="s">
        <v>44</v>
      </c>
      <c r="X129" s="23">
        <v>56848.95</v>
      </c>
    </row>
    <row r="130" spans="1:24" x14ac:dyDescent="0.2">
      <c r="A130" s="8">
        <v>1701126</v>
      </c>
      <c r="B130" s="6">
        <v>42758.496880671293</v>
      </c>
      <c r="C130" s="6">
        <v>42758.498824652779</v>
      </c>
      <c r="E130" s="6">
        <v>42772.551954976851</v>
      </c>
      <c r="F130" s="2" t="s">
        <v>92</v>
      </c>
      <c r="G130" s="2" t="s">
        <v>11</v>
      </c>
      <c r="H130" s="2" t="s">
        <v>93</v>
      </c>
      <c r="I130" s="2" t="s">
        <v>94</v>
      </c>
      <c r="J130" s="2" t="s">
        <v>95</v>
      </c>
      <c r="K130" s="2" t="s">
        <v>8</v>
      </c>
      <c r="L130" s="2" t="s">
        <v>34</v>
      </c>
      <c r="M130" s="2" t="s">
        <v>118</v>
      </c>
      <c r="N130" s="2" t="s">
        <v>431</v>
      </c>
      <c r="O130" s="2" t="s">
        <v>41</v>
      </c>
      <c r="P130" s="5">
        <v>982707977</v>
      </c>
      <c r="Q130" s="5">
        <v>0</v>
      </c>
      <c r="R130" s="2" t="s">
        <v>432</v>
      </c>
      <c r="S130" s="2" t="s">
        <v>37</v>
      </c>
      <c r="T130" s="2" t="s">
        <v>38</v>
      </c>
      <c r="U130" s="2">
        <v>2006</v>
      </c>
      <c r="V130" s="6">
        <v>42869</v>
      </c>
      <c r="W130" s="3" t="s">
        <v>99</v>
      </c>
    </row>
    <row r="131" spans="1:24" x14ac:dyDescent="0.2">
      <c r="A131" s="8">
        <v>1701127</v>
      </c>
      <c r="B131" s="6">
        <v>42758.500242939816</v>
      </c>
      <c r="C131" s="6">
        <v>42758.500833217593</v>
      </c>
      <c r="E131" s="6">
        <v>42761.37639351852</v>
      </c>
      <c r="F131" s="2" t="s">
        <v>26</v>
      </c>
      <c r="G131" s="2" t="s">
        <v>26</v>
      </c>
      <c r="H131" s="2" t="s">
        <v>95</v>
      </c>
      <c r="I131" s="2" t="s">
        <v>26</v>
      </c>
      <c r="J131" s="2" t="s">
        <v>26</v>
      </c>
      <c r="K131" s="2" t="s">
        <v>8</v>
      </c>
      <c r="L131" s="2" t="s">
        <v>170</v>
      </c>
      <c r="M131" s="2" t="s">
        <v>139</v>
      </c>
      <c r="N131" s="2" t="s">
        <v>433</v>
      </c>
      <c r="O131" s="2" t="s">
        <v>68</v>
      </c>
      <c r="P131" s="5">
        <v>625144525</v>
      </c>
      <c r="R131" s="2" t="s">
        <v>434</v>
      </c>
      <c r="S131" s="2" t="s">
        <v>70</v>
      </c>
      <c r="T131" s="2" t="s">
        <v>435</v>
      </c>
      <c r="U131" s="2">
        <v>0</v>
      </c>
      <c r="V131" s="6">
        <v>43067</v>
      </c>
      <c r="W131" s="3">
        <v>3</v>
      </c>
      <c r="X131" s="23">
        <v>0</v>
      </c>
    </row>
    <row r="132" spans="1:24" x14ac:dyDescent="0.2">
      <c r="A132" s="8">
        <v>1701128</v>
      </c>
      <c r="B132" s="6">
        <v>42758.665187500003</v>
      </c>
      <c r="C132" s="6">
        <v>42758.697554513892</v>
      </c>
      <c r="D132" s="6">
        <v>0</v>
      </c>
      <c r="E132" s="6">
        <v>42794.741910879631</v>
      </c>
      <c r="F132" s="2" t="s">
        <v>26</v>
      </c>
      <c r="G132" s="2" t="s">
        <v>26</v>
      </c>
      <c r="H132" s="2" t="s">
        <v>95</v>
      </c>
      <c r="I132" s="2" t="s">
        <v>26</v>
      </c>
      <c r="J132" s="2" t="s">
        <v>26</v>
      </c>
      <c r="K132" s="2" t="s">
        <v>8</v>
      </c>
      <c r="L132" s="2" t="s">
        <v>170</v>
      </c>
      <c r="M132" s="2" t="s">
        <v>45</v>
      </c>
      <c r="N132" s="2" t="s">
        <v>436</v>
      </c>
      <c r="O132" s="2" t="s">
        <v>437</v>
      </c>
      <c r="P132" s="5">
        <v>819612232</v>
      </c>
      <c r="Q132" s="5">
        <v>819362232</v>
      </c>
      <c r="R132" s="2" t="s">
        <v>438</v>
      </c>
      <c r="S132" s="2" t="s">
        <v>49</v>
      </c>
      <c r="T132" s="2" t="s">
        <v>111</v>
      </c>
      <c r="U132" s="2">
        <v>2006</v>
      </c>
      <c r="V132" s="6" t="s">
        <v>72</v>
      </c>
      <c r="X132" s="23">
        <v>11313.4</v>
      </c>
    </row>
    <row r="133" spans="1:24" x14ac:dyDescent="0.2">
      <c r="A133" s="8">
        <v>1701129</v>
      </c>
      <c r="B133" s="6">
        <v>42758.673053472223</v>
      </c>
      <c r="C133" s="6">
        <v>42784.643062268522</v>
      </c>
      <c r="D133" s="6">
        <v>42783</v>
      </c>
      <c r="E133" s="6">
        <v>42791.472057638886</v>
      </c>
      <c r="F133" s="2" t="s">
        <v>26</v>
      </c>
      <c r="G133" s="2" t="s">
        <v>26</v>
      </c>
      <c r="H133" s="2" t="s">
        <v>93</v>
      </c>
      <c r="I133" s="2" t="s">
        <v>26</v>
      </c>
      <c r="J133" s="2" t="s">
        <v>26</v>
      </c>
      <c r="K133" s="2" t="s">
        <v>8</v>
      </c>
      <c r="L133" s="2" t="s">
        <v>34</v>
      </c>
      <c r="M133" s="2" t="s">
        <v>28</v>
      </c>
      <c r="N133" s="2" t="s">
        <v>439</v>
      </c>
      <c r="O133" s="2" t="s">
        <v>41</v>
      </c>
      <c r="P133" s="5">
        <v>870271860</v>
      </c>
      <c r="R133" s="2" t="s">
        <v>440</v>
      </c>
      <c r="S133" s="2" t="s">
        <v>31</v>
      </c>
      <c r="T133" s="2" t="s">
        <v>116</v>
      </c>
      <c r="U133" s="2">
        <v>2009</v>
      </c>
      <c r="V133" s="6">
        <v>42877</v>
      </c>
      <c r="W133" s="3" t="s">
        <v>194</v>
      </c>
    </row>
    <row r="134" spans="1:24" x14ac:dyDescent="0.2">
      <c r="A134" s="8">
        <v>1701130</v>
      </c>
      <c r="B134" s="6">
        <v>42758.675039004629</v>
      </c>
      <c r="C134" s="6">
        <v>42794.398385532404</v>
      </c>
      <c r="E134" s="6">
        <v>42812.419325462964</v>
      </c>
      <c r="F134" s="2" t="s">
        <v>26</v>
      </c>
      <c r="G134" s="2" t="s">
        <v>26</v>
      </c>
      <c r="H134" s="2" t="s">
        <v>93</v>
      </c>
      <c r="I134" s="2" t="s">
        <v>26</v>
      </c>
      <c r="J134" s="2" t="s">
        <v>26</v>
      </c>
      <c r="K134" s="2" t="s">
        <v>8</v>
      </c>
      <c r="L134" s="2" t="s">
        <v>51</v>
      </c>
      <c r="M134" s="2" t="s">
        <v>295</v>
      </c>
      <c r="N134" s="2" t="s">
        <v>441</v>
      </c>
      <c r="P134" s="5">
        <v>879573594</v>
      </c>
      <c r="Q134" s="5">
        <v>879573592</v>
      </c>
      <c r="R134" s="2" t="s">
        <v>442</v>
      </c>
      <c r="S134" s="2" t="s">
        <v>49</v>
      </c>
      <c r="T134" s="2" t="s">
        <v>79</v>
      </c>
      <c r="U134" s="2">
        <v>2008</v>
      </c>
      <c r="V134" s="6">
        <v>42764</v>
      </c>
      <c r="W134" s="3" t="s">
        <v>39</v>
      </c>
      <c r="X134" s="23">
        <v>0</v>
      </c>
    </row>
    <row r="135" spans="1:24" x14ac:dyDescent="0.2">
      <c r="A135" s="8">
        <v>1701131</v>
      </c>
      <c r="B135" s="6">
        <v>42758.679111689817</v>
      </c>
      <c r="C135" s="6">
        <v>42758.701310069446</v>
      </c>
      <c r="D135" s="6">
        <v>42767</v>
      </c>
      <c r="E135" s="6" t="s">
        <v>1511</v>
      </c>
      <c r="F135" s="2">
        <v>8.2986899305542465</v>
      </c>
      <c r="G135" s="2" t="s">
        <v>11</v>
      </c>
      <c r="H135" s="2" t="s">
        <v>93</v>
      </c>
      <c r="I135" s="2" t="s">
        <v>94</v>
      </c>
      <c r="J135" s="2" t="s">
        <v>95</v>
      </c>
      <c r="K135" s="2" t="s">
        <v>8</v>
      </c>
      <c r="L135" s="2" t="s">
        <v>27</v>
      </c>
      <c r="M135" s="2" t="s">
        <v>66</v>
      </c>
      <c r="N135" s="2" t="s">
        <v>443</v>
      </c>
      <c r="P135" s="5">
        <v>926201384</v>
      </c>
      <c r="R135" s="2" t="s">
        <v>444</v>
      </c>
      <c r="S135" s="2" t="s">
        <v>64</v>
      </c>
      <c r="T135" s="2" t="s">
        <v>445</v>
      </c>
      <c r="U135" s="2">
        <v>2012</v>
      </c>
      <c r="V135" s="6">
        <v>42817</v>
      </c>
      <c r="W135" s="3" t="s">
        <v>143</v>
      </c>
    </row>
    <row r="136" spans="1:24" x14ac:dyDescent="0.2">
      <c r="A136" s="8">
        <v>1701132</v>
      </c>
      <c r="B136" s="6">
        <v>42758.693754050924</v>
      </c>
      <c r="C136" s="6">
        <v>42758.707990625</v>
      </c>
      <c r="D136" s="6">
        <v>42770</v>
      </c>
      <c r="E136" s="6">
        <v>42770.686809953702</v>
      </c>
      <c r="F136" s="2">
        <v>11.292009374999907</v>
      </c>
      <c r="G136" s="2" t="s">
        <v>11</v>
      </c>
      <c r="H136" s="2" t="s">
        <v>93</v>
      </c>
      <c r="I136" s="2" t="s">
        <v>94</v>
      </c>
      <c r="J136" s="2" t="s">
        <v>95</v>
      </c>
      <c r="K136" s="2" t="s">
        <v>8</v>
      </c>
      <c r="L136" s="2" t="s">
        <v>27</v>
      </c>
      <c r="M136" s="2" t="s">
        <v>45</v>
      </c>
      <c r="N136" s="2" t="s">
        <v>446</v>
      </c>
      <c r="O136" s="2" t="s">
        <v>59</v>
      </c>
      <c r="P136" s="5">
        <v>817336411</v>
      </c>
      <c r="R136" s="2" t="s">
        <v>447</v>
      </c>
      <c r="S136" s="2" t="s">
        <v>64</v>
      </c>
      <c r="T136" s="2">
        <v>3</v>
      </c>
      <c r="U136" s="2">
        <v>2010</v>
      </c>
      <c r="V136" s="6">
        <v>42793</v>
      </c>
      <c r="W136" s="3" t="s">
        <v>57</v>
      </c>
      <c r="X136" s="23">
        <v>14000</v>
      </c>
    </row>
    <row r="137" spans="1:24" x14ac:dyDescent="0.2">
      <c r="A137" s="8">
        <v>1701133</v>
      </c>
      <c r="B137" s="6">
        <v>42758.696918055553</v>
      </c>
      <c r="C137" s="6">
        <v>42758.709819791664</v>
      </c>
      <c r="D137" s="6">
        <v>42761</v>
      </c>
      <c r="E137" s="6">
        <v>42762.734633680557</v>
      </c>
      <c r="F137" s="2" t="s">
        <v>26</v>
      </c>
      <c r="G137" s="2" t="s">
        <v>26</v>
      </c>
      <c r="H137" s="2" t="s">
        <v>93</v>
      </c>
      <c r="I137" s="2" t="s">
        <v>26</v>
      </c>
      <c r="J137" s="2" t="s">
        <v>26</v>
      </c>
      <c r="K137" s="2" t="s">
        <v>8</v>
      </c>
      <c r="L137" s="2" t="s">
        <v>34</v>
      </c>
      <c r="M137" s="2" t="s">
        <v>61</v>
      </c>
      <c r="N137" s="2" t="s">
        <v>448</v>
      </c>
      <c r="P137" s="5">
        <v>991688211</v>
      </c>
      <c r="R137" s="2" t="s">
        <v>449</v>
      </c>
      <c r="S137" s="2" t="s">
        <v>243</v>
      </c>
      <c r="T137" s="2" t="s">
        <v>244</v>
      </c>
      <c r="U137" s="2">
        <v>2014</v>
      </c>
      <c r="V137" s="6" t="s">
        <v>72</v>
      </c>
      <c r="X137" s="23">
        <v>3000</v>
      </c>
    </row>
    <row r="138" spans="1:24" x14ac:dyDescent="0.2">
      <c r="A138" s="8">
        <v>1701134</v>
      </c>
      <c r="B138" s="6">
        <v>42759.40647361111</v>
      </c>
      <c r="C138" s="6">
        <v>42759.406921875001</v>
      </c>
      <c r="D138" s="6">
        <v>0</v>
      </c>
      <c r="E138" s="6" t="s">
        <v>126</v>
      </c>
      <c r="F138" s="2">
        <v>-42759.406921875001</v>
      </c>
      <c r="G138" s="2" t="s">
        <v>95</v>
      </c>
      <c r="H138" s="2" t="s">
        <v>95</v>
      </c>
      <c r="I138" s="2" t="s">
        <v>94</v>
      </c>
      <c r="J138" s="2" t="s">
        <v>95</v>
      </c>
      <c r="K138" s="2" t="s">
        <v>269</v>
      </c>
      <c r="L138" s="2" t="s">
        <v>34</v>
      </c>
      <c r="M138" s="2" t="s">
        <v>126</v>
      </c>
      <c r="N138" s="2" t="s">
        <v>450</v>
      </c>
      <c r="P138" s="5">
        <v>830809607</v>
      </c>
      <c r="Q138" s="5">
        <v>813710632</v>
      </c>
      <c r="R138" s="2" t="s">
        <v>451</v>
      </c>
      <c r="S138" s="2" t="s">
        <v>49</v>
      </c>
      <c r="T138" s="2" t="s">
        <v>130</v>
      </c>
      <c r="X138" s="23">
        <v>4500</v>
      </c>
    </row>
    <row r="139" spans="1:24" x14ac:dyDescent="0.2">
      <c r="A139" s="8">
        <v>1701135</v>
      </c>
      <c r="B139" s="6">
        <v>42759.498704166668</v>
      </c>
      <c r="C139" s="6">
        <v>42759.499408333337</v>
      </c>
      <c r="D139" s="6">
        <v>0</v>
      </c>
      <c r="E139" s="6">
        <v>42766.459201157406</v>
      </c>
      <c r="F139" s="2" t="s">
        <v>26</v>
      </c>
      <c r="G139" s="2" t="s">
        <v>26</v>
      </c>
      <c r="H139" s="2" t="s">
        <v>93</v>
      </c>
      <c r="I139" s="2" t="s">
        <v>26</v>
      </c>
      <c r="J139" s="2" t="s">
        <v>26</v>
      </c>
      <c r="K139" s="2" t="s">
        <v>8</v>
      </c>
      <c r="L139" s="2" t="s">
        <v>27</v>
      </c>
      <c r="M139" s="2" t="s">
        <v>88</v>
      </c>
      <c r="N139" s="2" t="s">
        <v>452</v>
      </c>
      <c r="P139" s="5">
        <v>800238465</v>
      </c>
      <c r="R139" s="2" t="s">
        <v>453</v>
      </c>
      <c r="S139" s="2" t="s">
        <v>49</v>
      </c>
      <c r="T139" s="2" t="s">
        <v>130</v>
      </c>
      <c r="U139" s="2">
        <v>2013</v>
      </c>
      <c r="V139" s="6">
        <v>42851</v>
      </c>
      <c r="W139" s="3" t="s">
        <v>342</v>
      </c>
      <c r="X139" s="23">
        <v>2626.17</v>
      </c>
    </row>
    <row r="140" spans="1:24" x14ac:dyDescent="0.2">
      <c r="A140" s="2">
        <v>1701136</v>
      </c>
      <c r="B140" s="6">
        <v>42759.55831886574</v>
      </c>
      <c r="E140" s="6">
        <v>42814.469209722221</v>
      </c>
      <c r="F140" s="2" t="s">
        <v>26</v>
      </c>
      <c r="G140" s="2" t="s">
        <v>26</v>
      </c>
      <c r="H140" s="2" t="s">
        <v>126</v>
      </c>
      <c r="I140" s="2" t="s">
        <v>26</v>
      </c>
      <c r="J140" s="2" t="s">
        <v>26</v>
      </c>
      <c r="K140" s="2" t="s">
        <v>8</v>
      </c>
      <c r="L140" s="2" t="s">
        <v>27</v>
      </c>
      <c r="M140" s="2" t="s">
        <v>61</v>
      </c>
      <c r="N140" s="2" t="s">
        <v>454</v>
      </c>
      <c r="O140" s="2" t="s">
        <v>114</v>
      </c>
      <c r="P140" s="5">
        <v>981349877</v>
      </c>
      <c r="R140" s="2" t="s">
        <v>455</v>
      </c>
      <c r="S140" s="2" t="s">
        <v>243</v>
      </c>
      <c r="T140" s="2" t="s">
        <v>456</v>
      </c>
      <c r="U140" s="2">
        <v>2011</v>
      </c>
      <c r="V140" s="6">
        <v>42720</v>
      </c>
      <c r="W140" s="3" t="s">
        <v>457</v>
      </c>
      <c r="X140" s="23">
        <v>7200</v>
      </c>
    </row>
    <row r="141" spans="1:24" x14ac:dyDescent="0.2">
      <c r="A141" s="2">
        <v>1701137</v>
      </c>
      <c r="B141" s="6">
        <v>42759.561556597226</v>
      </c>
      <c r="C141" s="6">
        <v>42759.568281481479</v>
      </c>
      <c r="D141" s="6">
        <v>42784</v>
      </c>
      <c r="E141" s="6">
        <v>42779.370437500002</v>
      </c>
      <c r="F141" s="2">
        <v>24.431718518520938</v>
      </c>
      <c r="G141" s="2" t="s">
        <v>11</v>
      </c>
      <c r="H141" s="2" t="s">
        <v>93</v>
      </c>
      <c r="I141" s="2" t="s">
        <v>94</v>
      </c>
      <c r="J141" s="2" t="s">
        <v>95</v>
      </c>
      <c r="K141" s="2" t="s">
        <v>8</v>
      </c>
      <c r="L141" s="2" t="s">
        <v>73</v>
      </c>
      <c r="M141" s="2" t="s">
        <v>45</v>
      </c>
      <c r="N141" s="2" t="s">
        <v>503</v>
      </c>
      <c r="O141" s="2" t="s">
        <v>234</v>
      </c>
      <c r="P141" s="5">
        <v>890770627</v>
      </c>
      <c r="R141" s="2" t="s">
        <v>504</v>
      </c>
      <c r="S141" s="2" t="s">
        <v>55</v>
      </c>
      <c r="T141" s="2" t="s">
        <v>56</v>
      </c>
      <c r="U141" s="2">
        <v>2012</v>
      </c>
      <c r="V141" s="6">
        <v>42956</v>
      </c>
      <c r="W141" s="3" t="s">
        <v>250</v>
      </c>
      <c r="X141" s="23">
        <v>6672</v>
      </c>
    </row>
    <row r="142" spans="1:24" x14ac:dyDescent="0.2">
      <c r="A142" s="2">
        <v>1701138</v>
      </c>
      <c r="B142" s="6">
        <v>42759.564061111108</v>
      </c>
      <c r="C142" s="6">
        <v>42801.459148032409</v>
      </c>
      <c r="E142" s="6">
        <v>42816.750845601855</v>
      </c>
      <c r="F142" s="2" t="s">
        <v>26</v>
      </c>
      <c r="G142" s="2" t="s">
        <v>26</v>
      </c>
      <c r="H142" s="2" t="s">
        <v>93</v>
      </c>
      <c r="I142" s="2" t="s">
        <v>26</v>
      </c>
      <c r="J142" s="2" t="s">
        <v>26</v>
      </c>
      <c r="K142" s="2" t="s">
        <v>8</v>
      </c>
      <c r="L142" s="2" t="s">
        <v>34</v>
      </c>
      <c r="M142" s="2" t="s">
        <v>28</v>
      </c>
      <c r="N142" s="2" t="s">
        <v>505</v>
      </c>
      <c r="O142" s="2" t="s">
        <v>47</v>
      </c>
      <c r="P142" s="5">
        <v>870687476</v>
      </c>
      <c r="R142" s="2" t="s">
        <v>506</v>
      </c>
      <c r="S142" s="2" t="s">
        <v>49</v>
      </c>
      <c r="T142" s="2" t="s">
        <v>79</v>
      </c>
      <c r="U142" s="2">
        <v>2013</v>
      </c>
      <c r="V142" s="6">
        <v>42796</v>
      </c>
      <c r="W142" s="3" t="s">
        <v>247</v>
      </c>
      <c r="X142" s="23">
        <v>2190.59</v>
      </c>
    </row>
    <row r="143" spans="1:24" x14ac:dyDescent="0.2">
      <c r="A143" s="2">
        <v>1701139</v>
      </c>
      <c r="B143" s="6">
        <v>42760.359657986111</v>
      </c>
      <c r="F143" s="2" t="s">
        <v>126</v>
      </c>
      <c r="G143" s="2" t="s">
        <v>126</v>
      </c>
      <c r="H143" s="2" t="s">
        <v>126</v>
      </c>
      <c r="I143" s="2" t="s">
        <v>126</v>
      </c>
      <c r="J143" s="2" t="s">
        <v>126</v>
      </c>
      <c r="K143" s="2" t="s">
        <v>8</v>
      </c>
      <c r="L143" s="2" t="s">
        <v>34</v>
      </c>
      <c r="M143" s="2" t="s">
        <v>28</v>
      </c>
      <c r="N143" s="2" t="s">
        <v>507</v>
      </c>
      <c r="O143" s="2" t="s">
        <v>114</v>
      </c>
      <c r="P143" s="5">
        <v>891233224</v>
      </c>
      <c r="R143" s="2" t="s">
        <v>508</v>
      </c>
      <c r="S143" s="2" t="s">
        <v>49</v>
      </c>
      <c r="T143" s="2" t="s">
        <v>151</v>
      </c>
      <c r="U143" s="2">
        <v>2011</v>
      </c>
      <c r="V143" s="6">
        <v>42818</v>
      </c>
      <c r="W143" s="3" t="s">
        <v>509</v>
      </c>
      <c r="X143" s="23">
        <v>5277.66</v>
      </c>
    </row>
    <row r="144" spans="1:24" x14ac:dyDescent="0.2">
      <c r="A144" s="2">
        <v>1701140</v>
      </c>
      <c r="B144" s="6">
        <v>42760.364370370371</v>
      </c>
      <c r="F144" s="2" t="s">
        <v>126</v>
      </c>
      <c r="G144" s="2" t="s">
        <v>126</v>
      </c>
      <c r="H144" s="2" t="s">
        <v>126</v>
      </c>
      <c r="I144" s="2" t="s">
        <v>126</v>
      </c>
      <c r="J144" s="2" t="s">
        <v>126</v>
      </c>
      <c r="K144" s="2" t="s">
        <v>8</v>
      </c>
      <c r="L144" s="2" t="s">
        <v>27</v>
      </c>
      <c r="M144" s="2" t="s">
        <v>28</v>
      </c>
      <c r="N144" s="2" t="s">
        <v>510</v>
      </c>
      <c r="O144" s="2" t="s">
        <v>511</v>
      </c>
      <c r="P144" s="5">
        <v>926782240</v>
      </c>
      <c r="Q144" s="5">
        <v>854958918</v>
      </c>
      <c r="R144" s="2" t="s">
        <v>512</v>
      </c>
      <c r="S144" s="2" t="s">
        <v>49</v>
      </c>
      <c r="T144" s="2" t="s">
        <v>79</v>
      </c>
      <c r="U144" s="2">
        <v>2006</v>
      </c>
      <c r="V144" s="6" t="s">
        <v>72</v>
      </c>
      <c r="X144" s="23">
        <v>0</v>
      </c>
    </row>
    <row r="145" spans="1:24" x14ac:dyDescent="0.2">
      <c r="A145" s="2">
        <v>1701141</v>
      </c>
      <c r="B145" s="6">
        <v>42760.62625173611</v>
      </c>
      <c r="C145" s="6">
        <v>42805.655612268522</v>
      </c>
      <c r="D145" s="6">
        <v>42812</v>
      </c>
      <c r="E145" s="6">
        <v>42816.752706712963</v>
      </c>
      <c r="F145" s="2" t="s">
        <v>26</v>
      </c>
      <c r="G145" s="2" t="s">
        <v>26</v>
      </c>
      <c r="H145" s="2" t="s">
        <v>93</v>
      </c>
      <c r="I145" s="2" t="s">
        <v>26</v>
      </c>
      <c r="J145" s="2" t="s">
        <v>26</v>
      </c>
      <c r="K145" s="2" t="s">
        <v>8</v>
      </c>
      <c r="L145" s="2" t="s">
        <v>27</v>
      </c>
      <c r="M145" s="2" t="s">
        <v>28</v>
      </c>
      <c r="N145" s="2" t="s">
        <v>513</v>
      </c>
      <c r="O145" s="2" t="s">
        <v>68</v>
      </c>
      <c r="P145" s="5">
        <v>898626549</v>
      </c>
      <c r="R145" s="2" t="s">
        <v>514</v>
      </c>
      <c r="S145" s="2" t="s">
        <v>37</v>
      </c>
      <c r="T145" s="2" t="s">
        <v>98</v>
      </c>
      <c r="U145" s="2">
        <v>2013</v>
      </c>
      <c r="V145" s="6">
        <v>42757</v>
      </c>
      <c r="W145" s="3" t="s">
        <v>229</v>
      </c>
      <c r="X145" s="23">
        <v>5303.74</v>
      </c>
    </row>
    <row r="146" spans="1:24" x14ac:dyDescent="0.2">
      <c r="A146" s="2">
        <v>1701142</v>
      </c>
      <c r="B146" s="6">
        <v>42760.628062615739</v>
      </c>
      <c r="C146" s="6">
        <v>42832.409404513892</v>
      </c>
      <c r="D146" s="6">
        <v>0</v>
      </c>
      <c r="E146" s="6">
        <v>42843.386593055555</v>
      </c>
      <c r="F146" s="2" t="s">
        <v>26</v>
      </c>
      <c r="G146" s="2" t="s">
        <v>26</v>
      </c>
      <c r="H146" s="2" t="s">
        <v>93</v>
      </c>
      <c r="I146" s="2" t="s">
        <v>26</v>
      </c>
      <c r="J146" s="2" t="s">
        <v>26</v>
      </c>
      <c r="K146" s="2" t="s">
        <v>8</v>
      </c>
      <c r="L146" s="2" t="s">
        <v>27</v>
      </c>
      <c r="M146" s="2" t="s">
        <v>66</v>
      </c>
      <c r="N146" s="2" t="s">
        <v>515</v>
      </c>
      <c r="O146" s="2" t="s">
        <v>59</v>
      </c>
      <c r="P146" s="5">
        <v>936496151</v>
      </c>
      <c r="R146" s="2" t="s">
        <v>516</v>
      </c>
      <c r="S146" s="2" t="s">
        <v>49</v>
      </c>
      <c r="T146" s="2" t="s">
        <v>205</v>
      </c>
      <c r="U146" s="2">
        <v>2009</v>
      </c>
      <c r="V146" s="6">
        <v>42558</v>
      </c>
      <c r="W146" s="3" t="s">
        <v>517</v>
      </c>
      <c r="X146" s="23">
        <v>5440</v>
      </c>
    </row>
    <row r="147" spans="1:24" x14ac:dyDescent="0.2">
      <c r="A147" s="2">
        <v>1701143</v>
      </c>
      <c r="B147" s="6">
        <v>42760.629834375002</v>
      </c>
      <c r="C147" s="6">
        <v>42761.717495023149</v>
      </c>
      <c r="E147" s="6" t="s">
        <v>1511</v>
      </c>
      <c r="F147" s="2" t="s">
        <v>92</v>
      </c>
      <c r="G147" s="2" t="s">
        <v>11</v>
      </c>
      <c r="H147" s="2" t="s">
        <v>93</v>
      </c>
      <c r="I147" s="2" t="s">
        <v>94</v>
      </c>
      <c r="J147" s="2" t="s">
        <v>518</v>
      </c>
      <c r="K147" s="2" t="s">
        <v>8</v>
      </c>
      <c r="L147" s="2" t="s">
        <v>73</v>
      </c>
      <c r="M147" s="2" t="s">
        <v>45</v>
      </c>
      <c r="N147" s="2" t="s">
        <v>519</v>
      </c>
      <c r="O147" s="2" t="s">
        <v>520</v>
      </c>
      <c r="P147" s="5">
        <v>924536550</v>
      </c>
      <c r="R147" s="2" t="s">
        <v>521</v>
      </c>
      <c r="S147" s="2" t="s">
        <v>49</v>
      </c>
      <c r="T147" s="2" t="s">
        <v>79</v>
      </c>
      <c r="U147" s="2">
        <v>2008</v>
      </c>
      <c r="V147" s="6">
        <v>42798</v>
      </c>
      <c r="W147" s="3" t="s">
        <v>155</v>
      </c>
      <c r="X147" s="23">
        <v>10000</v>
      </c>
    </row>
    <row r="148" spans="1:24" x14ac:dyDescent="0.2">
      <c r="A148" s="2">
        <v>1701144</v>
      </c>
      <c r="B148" s="6">
        <v>42760.637753587966</v>
      </c>
      <c r="C148" s="6">
        <v>42760.640671990739</v>
      </c>
      <c r="D148" s="6">
        <v>42769</v>
      </c>
      <c r="E148" s="6">
        <v>42774.698554513889</v>
      </c>
      <c r="F148" s="2">
        <v>8.3593280092609348</v>
      </c>
      <c r="G148" s="2" t="s">
        <v>11</v>
      </c>
      <c r="H148" s="2" t="s">
        <v>93</v>
      </c>
      <c r="I148" s="2" t="s">
        <v>94</v>
      </c>
      <c r="J148" s="2" t="s">
        <v>95</v>
      </c>
      <c r="K148" s="2" t="s">
        <v>8</v>
      </c>
      <c r="L148" s="2" t="s">
        <v>34</v>
      </c>
      <c r="M148" s="2" t="s">
        <v>28</v>
      </c>
      <c r="N148" s="2" t="s">
        <v>522</v>
      </c>
      <c r="O148" s="2" t="s">
        <v>208</v>
      </c>
      <c r="P148" s="5">
        <v>972806665</v>
      </c>
      <c r="R148" s="2" t="s">
        <v>523</v>
      </c>
      <c r="S148" s="2" t="s">
        <v>524</v>
      </c>
      <c r="T148" s="2" t="s">
        <v>525</v>
      </c>
      <c r="U148" s="2">
        <v>2010</v>
      </c>
      <c r="V148" s="6">
        <v>42752</v>
      </c>
      <c r="W148" s="3" t="s">
        <v>219</v>
      </c>
      <c r="X148" s="23">
        <v>18665</v>
      </c>
    </row>
    <row r="149" spans="1:24" x14ac:dyDescent="0.2">
      <c r="A149" s="2">
        <v>1701145</v>
      </c>
      <c r="B149" s="6">
        <v>42762.755765277776</v>
      </c>
      <c r="C149" s="6">
        <v>42762.759086342594</v>
      </c>
      <c r="D149" s="6">
        <v>0</v>
      </c>
      <c r="E149" s="6">
        <v>42843.396791435189</v>
      </c>
      <c r="F149" s="2" t="s">
        <v>26</v>
      </c>
      <c r="G149" s="2" t="s">
        <v>26</v>
      </c>
      <c r="H149" s="2" t="s">
        <v>95</v>
      </c>
      <c r="I149" s="2" t="s">
        <v>26</v>
      </c>
      <c r="J149" s="2" t="s">
        <v>26</v>
      </c>
      <c r="K149" s="2" t="s">
        <v>8</v>
      </c>
      <c r="L149" s="2" t="s">
        <v>170</v>
      </c>
      <c r="M149" s="2" t="s">
        <v>88</v>
      </c>
      <c r="N149" s="2" t="s">
        <v>526</v>
      </c>
      <c r="O149" s="2" t="s">
        <v>234</v>
      </c>
      <c r="P149" s="5">
        <v>891554289</v>
      </c>
      <c r="R149" s="2" t="s">
        <v>527</v>
      </c>
      <c r="S149" s="2" t="s">
        <v>49</v>
      </c>
      <c r="T149" s="2" t="s">
        <v>111</v>
      </c>
      <c r="U149" s="2">
        <v>2012</v>
      </c>
      <c r="V149" s="6">
        <v>43025</v>
      </c>
      <c r="W149" s="3" t="s">
        <v>528</v>
      </c>
      <c r="X149" s="23">
        <v>0</v>
      </c>
    </row>
    <row r="150" spans="1:24" x14ac:dyDescent="0.2">
      <c r="A150" s="2">
        <v>1701146</v>
      </c>
      <c r="B150" s="6">
        <v>42762.757175462961</v>
      </c>
      <c r="C150" s="6">
        <v>42762.759670023152</v>
      </c>
      <c r="D150" s="6">
        <v>0</v>
      </c>
      <c r="E150" s="6">
        <v>42843.397454398146</v>
      </c>
      <c r="F150" s="2" t="s">
        <v>26</v>
      </c>
      <c r="G150" s="2" t="s">
        <v>26</v>
      </c>
      <c r="H150" s="2" t="s">
        <v>93</v>
      </c>
      <c r="I150" s="2" t="s">
        <v>26</v>
      </c>
      <c r="J150" s="2" t="s">
        <v>26</v>
      </c>
      <c r="K150" s="2" t="s">
        <v>8</v>
      </c>
      <c r="L150" s="2" t="s">
        <v>51</v>
      </c>
      <c r="M150" s="2" t="s">
        <v>61</v>
      </c>
      <c r="N150" s="2" t="s">
        <v>529</v>
      </c>
      <c r="O150" s="2" t="s">
        <v>128</v>
      </c>
      <c r="P150" s="5">
        <v>968955655</v>
      </c>
      <c r="R150" s="2" t="s">
        <v>530</v>
      </c>
      <c r="S150" s="2" t="s">
        <v>49</v>
      </c>
      <c r="T150" s="2" t="s">
        <v>79</v>
      </c>
      <c r="U150" s="2">
        <v>2010</v>
      </c>
      <c r="V150" s="6">
        <v>42927</v>
      </c>
      <c r="W150" s="3" t="s">
        <v>106</v>
      </c>
      <c r="X150" s="23">
        <v>4677.57</v>
      </c>
    </row>
    <row r="151" spans="1:24" x14ac:dyDescent="0.2">
      <c r="A151" s="2">
        <v>1701147</v>
      </c>
      <c r="B151" s="6">
        <v>42765.449166203703</v>
      </c>
      <c r="F151" s="2" t="s">
        <v>126</v>
      </c>
      <c r="G151" s="2" t="s">
        <v>126</v>
      </c>
      <c r="H151" s="2" t="s">
        <v>126</v>
      </c>
      <c r="I151" s="2" t="s">
        <v>126</v>
      </c>
      <c r="J151" s="2" t="s">
        <v>126</v>
      </c>
      <c r="K151" s="2" t="s">
        <v>8</v>
      </c>
      <c r="L151" s="2" t="s">
        <v>27</v>
      </c>
      <c r="M151" s="2" t="s">
        <v>28</v>
      </c>
      <c r="N151" s="2" t="s">
        <v>531</v>
      </c>
      <c r="O151" s="2" t="s">
        <v>186</v>
      </c>
      <c r="P151" s="5">
        <v>627435892</v>
      </c>
      <c r="R151" s="2" t="s">
        <v>532</v>
      </c>
      <c r="S151" s="2" t="s">
        <v>49</v>
      </c>
      <c r="T151" s="2" t="s">
        <v>79</v>
      </c>
      <c r="U151" s="2">
        <v>2013</v>
      </c>
      <c r="V151" s="6" t="s">
        <v>72</v>
      </c>
    </row>
    <row r="152" spans="1:24" x14ac:dyDescent="0.2">
      <c r="A152" s="2">
        <v>1701148</v>
      </c>
      <c r="B152" s="6">
        <v>42765.454514583333</v>
      </c>
      <c r="C152" s="6">
        <v>42807.745647800926</v>
      </c>
      <c r="D152" s="6">
        <v>42819</v>
      </c>
      <c r="E152" s="6">
        <v>42835.733147685183</v>
      </c>
      <c r="F152" s="2" t="s">
        <v>26</v>
      </c>
      <c r="G152" s="2" t="s">
        <v>26</v>
      </c>
      <c r="H152" s="2" t="s">
        <v>93</v>
      </c>
      <c r="I152" s="2" t="s">
        <v>26</v>
      </c>
      <c r="J152" s="2" t="s">
        <v>26</v>
      </c>
      <c r="K152" s="2" t="s">
        <v>8</v>
      </c>
      <c r="L152" s="2" t="s">
        <v>27</v>
      </c>
      <c r="M152" s="2" t="s">
        <v>88</v>
      </c>
      <c r="N152" s="2" t="s">
        <v>533</v>
      </c>
      <c r="O152" s="2" t="s">
        <v>120</v>
      </c>
      <c r="P152" s="5">
        <v>852347045</v>
      </c>
      <c r="R152" s="2" t="s">
        <v>534</v>
      </c>
      <c r="S152" s="2" t="s">
        <v>31</v>
      </c>
      <c r="T152" s="2" t="s">
        <v>283</v>
      </c>
      <c r="U152" s="2">
        <v>2014</v>
      </c>
      <c r="V152" s="6">
        <v>42947</v>
      </c>
      <c r="W152" s="3" t="s">
        <v>266</v>
      </c>
      <c r="X152" s="23">
        <v>3600</v>
      </c>
    </row>
    <row r="153" spans="1:24" x14ac:dyDescent="0.2">
      <c r="A153" s="2">
        <v>1701149</v>
      </c>
      <c r="B153" s="6">
        <v>42765.45938148148</v>
      </c>
      <c r="C153" s="6">
        <v>42847.610014467595</v>
      </c>
      <c r="D153" s="6">
        <v>42854</v>
      </c>
      <c r="E153" s="6">
        <v>42860.711711574077</v>
      </c>
      <c r="F153" s="2" t="s">
        <v>26</v>
      </c>
      <c r="G153" s="2" t="s">
        <v>26</v>
      </c>
      <c r="H153" s="2" t="s">
        <v>93</v>
      </c>
      <c r="I153" s="2" t="s">
        <v>26</v>
      </c>
      <c r="J153" s="2" t="s">
        <v>26</v>
      </c>
      <c r="K153" s="2" t="s">
        <v>8</v>
      </c>
      <c r="L153" s="2" t="s">
        <v>27</v>
      </c>
      <c r="M153" s="2" t="s">
        <v>61</v>
      </c>
      <c r="N153" s="2" t="s">
        <v>535</v>
      </c>
      <c r="O153" s="2">
        <v>811947748</v>
      </c>
      <c r="P153" s="5" t="s">
        <v>536</v>
      </c>
      <c r="Q153" s="5">
        <v>811947748</v>
      </c>
      <c r="R153" s="2" t="s">
        <v>537</v>
      </c>
      <c r="S153" s="2" t="s">
        <v>31</v>
      </c>
      <c r="T153" s="2" t="s">
        <v>538</v>
      </c>
      <c r="U153" s="2">
        <v>2014</v>
      </c>
      <c r="V153" s="6">
        <v>43089</v>
      </c>
      <c r="W153" s="3" t="s">
        <v>539</v>
      </c>
      <c r="X153" s="23">
        <v>2983</v>
      </c>
    </row>
    <row r="154" spans="1:24" x14ac:dyDescent="0.2">
      <c r="A154" s="2">
        <v>1701150</v>
      </c>
      <c r="B154" s="6">
        <v>42765.46496597222</v>
      </c>
      <c r="C154" s="6">
        <v>42765.46666111111</v>
      </c>
      <c r="D154" s="6">
        <v>42770</v>
      </c>
      <c r="E154" s="6">
        <v>42770.75481273148</v>
      </c>
      <c r="F154" s="2">
        <v>4.5333388888902846</v>
      </c>
      <c r="G154" s="2" t="s">
        <v>11</v>
      </c>
      <c r="H154" s="2" t="s">
        <v>93</v>
      </c>
      <c r="I154" s="2" t="s">
        <v>94</v>
      </c>
      <c r="J154" s="2" t="s">
        <v>95</v>
      </c>
      <c r="K154" s="2" t="s">
        <v>8</v>
      </c>
      <c r="L154" s="2" t="s">
        <v>34</v>
      </c>
      <c r="M154" s="2" t="s">
        <v>28</v>
      </c>
      <c r="N154" s="2" t="s">
        <v>540</v>
      </c>
      <c r="O154" s="2" t="s">
        <v>120</v>
      </c>
      <c r="P154" s="5">
        <v>617083460</v>
      </c>
      <c r="R154" s="2" t="s">
        <v>541</v>
      </c>
      <c r="S154" s="2" t="s">
        <v>133</v>
      </c>
      <c r="T154" s="2" t="s">
        <v>134</v>
      </c>
      <c r="U154" s="2">
        <v>2016</v>
      </c>
      <c r="V154" s="6">
        <v>42906</v>
      </c>
      <c r="W154" s="3" t="s">
        <v>542</v>
      </c>
      <c r="X154" s="23">
        <v>3900</v>
      </c>
    </row>
    <row r="155" spans="1:24" x14ac:dyDescent="0.2">
      <c r="A155" s="2">
        <v>1701151</v>
      </c>
      <c r="B155" s="6">
        <v>42765.579751504629</v>
      </c>
      <c r="C155" s="6">
        <v>42866.596061574077</v>
      </c>
      <c r="D155" s="6">
        <v>42875</v>
      </c>
      <c r="E155" s="6">
        <v>42879.373892013886</v>
      </c>
      <c r="F155" s="2" t="s">
        <v>26</v>
      </c>
      <c r="G155" s="2" t="s">
        <v>26</v>
      </c>
      <c r="H155" s="2" t="s">
        <v>26</v>
      </c>
      <c r="I155" s="2" t="s">
        <v>26</v>
      </c>
      <c r="J155" s="2" t="s">
        <v>26</v>
      </c>
      <c r="K155" s="2" t="s">
        <v>8</v>
      </c>
      <c r="L155" s="2" t="s">
        <v>34</v>
      </c>
      <c r="M155" s="2" t="s">
        <v>543</v>
      </c>
      <c r="N155" s="2" t="s">
        <v>544</v>
      </c>
      <c r="O155" s="2" t="s">
        <v>114</v>
      </c>
      <c r="P155" s="5">
        <v>909569843</v>
      </c>
      <c r="R155" s="2" t="s">
        <v>545</v>
      </c>
      <c r="S155" s="2" t="s">
        <v>49</v>
      </c>
      <c r="T155" s="2" t="s">
        <v>91</v>
      </c>
      <c r="U155" s="2">
        <v>2011</v>
      </c>
      <c r="V155" s="6">
        <v>42824</v>
      </c>
      <c r="W155" s="3" t="s">
        <v>396</v>
      </c>
      <c r="X155" s="23">
        <v>10510</v>
      </c>
    </row>
    <row r="156" spans="1:24" x14ac:dyDescent="0.2">
      <c r="A156" s="2">
        <v>1701152</v>
      </c>
      <c r="B156" s="6">
        <v>42765.636229976852</v>
      </c>
      <c r="C156" s="6">
        <v>42825.466551504629</v>
      </c>
      <c r="D156" s="6">
        <v>0</v>
      </c>
      <c r="E156" s="6">
        <v>42852.476508680556</v>
      </c>
      <c r="F156" s="2" t="s">
        <v>26</v>
      </c>
      <c r="G156" s="2" t="s">
        <v>26</v>
      </c>
      <c r="H156" s="2" t="s">
        <v>93</v>
      </c>
      <c r="I156" s="2" t="s">
        <v>26</v>
      </c>
      <c r="J156" s="2" t="s">
        <v>26</v>
      </c>
      <c r="K156" s="2" t="s">
        <v>8</v>
      </c>
      <c r="L156" s="2" t="s">
        <v>27</v>
      </c>
      <c r="M156" s="2" t="s">
        <v>61</v>
      </c>
      <c r="N156" s="2" t="s">
        <v>546</v>
      </c>
      <c r="O156" s="2" t="s">
        <v>107</v>
      </c>
      <c r="P156" s="5">
        <v>814089838</v>
      </c>
      <c r="R156" s="2" t="s">
        <v>547</v>
      </c>
      <c r="S156" s="2" t="s">
        <v>49</v>
      </c>
      <c r="T156" s="2" t="s">
        <v>50</v>
      </c>
      <c r="U156" s="2">
        <v>2005</v>
      </c>
      <c r="V156" s="6">
        <v>42984</v>
      </c>
      <c r="W156" s="3" t="s">
        <v>548</v>
      </c>
      <c r="X156" s="23">
        <v>10009.35</v>
      </c>
    </row>
    <row r="157" spans="1:24" x14ac:dyDescent="0.2">
      <c r="A157" s="2">
        <v>1701153</v>
      </c>
      <c r="B157" s="6">
        <v>42765.650416898148</v>
      </c>
      <c r="C157" s="6">
        <v>42787.483254861108</v>
      </c>
      <c r="E157" s="6">
        <v>42829.688647800926</v>
      </c>
      <c r="F157" s="2" t="s">
        <v>26</v>
      </c>
      <c r="G157" s="2" t="s">
        <v>26</v>
      </c>
      <c r="H157" s="2" t="s">
        <v>93</v>
      </c>
      <c r="I157" s="2" t="s">
        <v>26</v>
      </c>
      <c r="J157" s="2" t="s">
        <v>26</v>
      </c>
      <c r="K157" s="2" t="s">
        <v>8</v>
      </c>
      <c r="L157" s="2" t="s">
        <v>27</v>
      </c>
      <c r="M157" s="2" t="s">
        <v>88</v>
      </c>
      <c r="N157" s="2" t="s">
        <v>549</v>
      </c>
      <c r="O157" s="2" t="s">
        <v>128</v>
      </c>
      <c r="P157" s="5">
        <v>854838009</v>
      </c>
      <c r="R157" s="2" t="s">
        <v>550</v>
      </c>
      <c r="S157" s="2" t="s">
        <v>49</v>
      </c>
      <c r="T157" s="2" t="s">
        <v>79</v>
      </c>
      <c r="U157" s="2">
        <v>2014</v>
      </c>
      <c r="V157" s="6">
        <v>42810</v>
      </c>
      <c r="W157" s="3" t="s">
        <v>33</v>
      </c>
      <c r="X157" s="23">
        <v>24039.52</v>
      </c>
    </row>
    <row r="158" spans="1:24" x14ac:dyDescent="0.2">
      <c r="A158" s="2">
        <v>1701154</v>
      </c>
      <c r="B158" s="6">
        <v>42765.663563194445</v>
      </c>
      <c r="C158" s="6">
        <v>42830.695480439812</v>
      </c>
      <c r="D158" s="6">
        <v>42836</v>
      </c>
      <c r="E158" s="6">
        <v>42860.464482407406</v>
      </c>
      <c r="F158" s="2" t="s">
        <v>26</v>
      </c>
      <c r="G158" s="2" t="s">
        <v>26</v>
      </c>
      <c r="H158" s="2" t="s">
        <v>93</v>
      </c>
      <c r="I158" s="2" t="s">
        <v>26</v>
      </c>
      <c r="J158" s="2" t="s">
        <v>26</v>
      </c>
      <c r="K158" s="2" t="s">
        <v>8</v>
      </c>
      <c r="L158" s="2" t="s">
        <v>51</v>
      </c>
      <c r="M158" s="2" t="s">
        <v>88</v>
      </c>
      <c r="N158" s="2" t="s">
        <v>551</v>
      </c>
      <c r="O158" s="2" t="s">
        <v>186</v>
      </c>
      <c r="P158" s="5">
        <v>849122139</v>
      </c>
      <c r="R158" s="2" t="s">
        <v>552</v>
      </c>
      <c r="S158" s="2" t="s">
        <v>49</v>
      </c>
      <c r="T158" s="2" t="s">
        <v>130</v>
      </c>
      <c r="U158" s="2">
        <v>2007</v>
      </c>
      <c r="V158" s="6">
        <v>43090</v>
      </c>
      <c r="W158" s="3" t="s">
        <v>143</v>
      </c>
      <c r="X158" s="23">
        <v>7121</v>
      </c>
    </row>
    <row r="159" spans="1:24" x14ac:dyDescent="0.2">
      <c r="A159" s="2">
        <v>1701155</v>
      </c>
      <c r="B159" s="6">
        <v>42765.665954050928</v>
      </c>
      <c r="C159" s="6">
        <v>42781.42101111111</v>
      </c>
      <c r="D159" s="6">
        <v>42788</v>
      </c>
      <c r="E159" s="6">
        <v>42791.475155092594</v>
      </c>
      <c r="F159" s="2" t="s">
        <v>26</v>
      </c>
      <c r="G159" s="2" t="s">
        <v>26</v>
      </c>
      <c r="H159" s="2" t="s">
        <v>93</v>
      </c>
      <c r="I159" s="2" t="s">
        <v>26</v>
      </c>
      <c r="J159" s="2" t="s">
        <v>26</v>
      </c>
      <c r="K159" s="2" t="s">
        <v>8</v>
      </c>
      <c r="L159" s="2" t="s">
        <v>34</v>
      </c>
      <c r="M159" s="2" t="s">
        <v>28</v>
      </c>
      <c r="N159" s="2" t="s">
        <v>553</v>
      </c>
      <c r="O159" s="2" t="s">
        <v>68</v>
      </c>
      <c r="P159" s="5">
        <v>612195674</v>
      </c>
      <c r="R159" s="2" t="s">
        <v>554</v>
      </c>
      <c r="S159" s="2" t="s">
        <v>555</v>
      </c>
      <c r="T159" s="2" t="s">
        <v>134</v>
      </c>
      <c r="U159" s="2">
        <v>2014</v>
      </c>
      <c r="V159" s="6">
        <v>42973</v>
      </c>
      <c r="W159" s="3" t="s">
        <v>556</v>
      </c>
    </row>
    <row r="160" spans="1:24" x14ac:dyDescent="0.2">
      <c r="A160" s="2">
        <v>1701156</v>
      </c>
      <c r="B160" s="6">
        <v>42765.676598032405</v>
      </c>
      <c r="C160" s="6">
        <v>42774.450760995373</v>
      </c>
      <c r="D160" s="6">
        <v>42777</v>
      </c>
      <c r="E160" s="6">
        <v>42779.369752546299</v>
      </c>
      <c r="F160" s="2">
        <v>2.5492390046274522</v>
      </c>
      <c r="G160" s="2" t="s">
        <v>11</v>
      </c>
      <c r="H160" s="2" t="s">
        <v>93</v>
      </c>
      <c r="I160" s="2" t="s">
        <v>94</v>
      </c>
      <c r="J160" s="2" t="s">
        <v>95</v>
      </c>
      <c r="K160" s="2" t="s">
        <v>8</v>
      </c>
      <c r="L160" s="2" t="s">
        <v>27</v>
      </c>
      <c r="M160" s="2" t="s">
        <v>45</v>
      </c>
      <c r="N160" s="2" t="s">
        <v>557</v>
      </c>
      <c r="O160" s="2" t="s">
        <v>47</v>
      </c>
      <c r="P160" s="5">
        <v>849093739</v>
      </c>
      <c r="R160" s="2" t="s">
        <v>558</v>
      </c>
      <c r="S160" s="2" t="s">
        <v>49</v>
      </c>
      <c r="T160" s="2" t="s">
        <v>130</v>
      </c>
      <c r="U160" s="2">
        <v>2014</v>
      </c>
      <c r="V160" s="6">
        <v>43019</v>
      </c>
      <c r="W160" s="3" t="s">
        <v>57</v>
      </c>
      <c r="X160" s="23">
        <v>2983</v>
      </c>
    </row>
    <row r="161" spans="1:24" x14ac:dyDescent="0.2">
      <c r="A161" s="2">
        <v>1701157</v>
      </c>
      <c r="B161" s="6">
        <v>42765.681895949077</v>
      </c>
      <c r="C161" s="6">
        <v>42930.721133680556</v>
      </c>
      <c r="D161" s="6">
        <v>42930</v>
      </c>
      <c r="E161" s="6">
        <v>42935.360411226851</v>
      </c>
      <c r="F161" s="2" t="s">
        <v>26</v>
      </c>
      <c r="G161" s="2" t="s">
        <v>26</v>
      </c>
      <c r="H161" s="2" t="s">
        <v>26</v>
      </c>
      <c r="I161" s="2" t="s">
        <v>26</v>
      </c>
      <c r="J161" s="2" t="s">
        <v>26</v>
      </c>
      <c r="K161" s="2" t="s">
        <v>8</v>
      </c>
      <c r="L161" s="2" t="s">
        <v>27</v>
      </c>
      <c r="M161" s="2" t="s">
        <v>338</v>
      </c>
      <c r="N161" s="2" t="s">
        <v>559</v>
      </c>
      <c r="O161" s="2" t="s">
        <v>47</v>
      </c>
      <c r="P161" s="5">
        <v>987825692</v>
      </c>
      <c r="R161" s="2" t="s">
        <v>560</v>
      </c>
      <c r="S161" s="2" t="s">
        <v>55</v>
      </c>
      <c r="T161" s="2" t="s">
        <v>56</v>
      </c>
      <c r="U161" s="2">
        <v>2010</v>
      </c>
      <c r="V161" s="6">
        <v>42794</v>
      </c>
      <c r="W161" s="3" t="s">
        <v>39</v>
      </c>
      <c r="X161" s="23">
        <v>3000</v>
      </c>
    </row>
    <row r="162" spans="1:24" x14ac:dyDescent="0.2">
      <c r="A162" s="2">
        <v>1701158</v>
      </c>
      <c r="B162" s="6">
        <v>42765.7011375</v>
      </c>
      <c r="C162" s="6">
        <v>42765.720161458332</v>
      </c>
      <c r="D162" s="6">
        <v>0</v>
      </c>
      <c r="E162" s="6" t="s">
        <v>1511</v>
      </c>
      <c r="F162" s="2">
        <v>-42765.720161458332</v>
      </c>
      <c r="G162" s="2" t="s">
        <v>95</v>
      </c>
      <c r="H162" s="2" t="s">
        <v>93</v>
      </c>
      <c r="I162" s="2" t="s">
        <v>94</v>
      </c>
      <c r="J162" s="2" t="s">
        <v>95</v>
      </c>
      <c r="K162" s="2" t="s">
        <v>8</v>
      </c>
      <c r="L162" s="2" t="s">
        <v>51</v>
      </c>
      <c r="M162" s="2" t="s">
        <v>28</v>
      </c>
      <c r="N162" s="2" t="s">
        <v>561</v>
      </c>
      <c r="O162" s="2" t="s">
        <v>47</v>
      </c>
      <c r="P162" s="5">
        <v>876938859</v>
      </c>
      <c r="R162" s="2" t="s">
        <v>562</v>
      </c>
      <c r="S162" s="2" t="s">
        <v>55</v>
      </c>
      <c r="T162" s="2" t="s">
        <v>76</v>
      </c>
      <c r="U162" s="2">
        <v>2009</v>
      </c>
      <c r="V162" s="6">
        <v>43095</v>
      </c>
      <c r="W162" s="3" t="s">
        <v>44</v>
      </c>
      <c r="X162" s="23">
        <v>35000</v>
      </c>
    </row>
    <row r="163" spans="1:24" x14ac:dyDescent="0.2">
      <c r="A163" s="2">
        <v>1701159</v>
      </c>
      <c r="B163" s="6">
        <v>42765.703890046294</v>
      </c>
      <c r="C163" s="6">
        <v>42765.726041435184</v>
      </c>
      <c r="D163" s="6">
        <v>42776</v>
      </c>
      <c r="E163" s="6">
        <v>42777.558007754633</v>
      </c>
      <c r="F163" s="2">
        <v>10.273958564815985</v>
      </c>
      <c r="G163" s="2" t="s">
        <v>11</v>
      </c>
      <c r="H163" s="2" t="s">
        <v>93</v>
      </c>
      <c r="I163" s="2" t="s">
        <v>94</v>
      </c>
      <c r="J163" s="2" t="s">
        <v>95</v>
      </c>
      <c r="K163" s="2" t="s">
        <v>8</v>
      </c>
      <c r="L163" s="2" t="s">
        <v>27</v>
      </c>
      <c r="M163" s="2" t="s">
        <v>45</v>
      </c>
      <c r="N163" s="2" t="s">
        <v>563</v>
      </c>
      <c r="O163" s="2" t="s">
        <v>349</v>
      </c>
      <c r="P163" s="5">
        <v>800097128</v>
      </c>
      <c r="R163" s="2" t="s">
        <v>564</v>
      </c>
      <c r="S163" s="2" t="s">
        <v>49</v>
      </c>
      <c r="T163" s="2" t="s">
        <v>79</v>
      </c>
      <c r="U163" s="2">
        <v>2010</v>
      </c>
      <c r="V163" s="6">
        <v>42709</v>
      </c>
      <c r="W163" s="3" t="s">
        <v>250</v>
      </c>
      <c r="X163" s="23">
        <v>6523</v>
      </c>
    </row>
    <row r="164" spans="1:24" x14ac:dyDescent="0.2">
      <c r="A164" s="2">
        <v>1701160</v>
      </c>
      <c r="B164" s="6">
        <v>42765.706123958335</v>
      </c>
      <c r="C164" s="6">
        <v>42765.731107754633</v>
      </c>
      <c r="D164" s="6">
        <v>42773</v>
      </c>
      <c r="E164" s="6">
        <v>42772.76870173611</v>
      </c>
      <c r="F164" s="2">
        <v>7.2688922453671694</v>
      </c>
      <c r="G164" s="2" t="s">
        <v>11</v>
      </c>
      <c r="H164" s="2" t="s">
        <v>93</v>
      </c>
      <c r="I164" s="2" t="s">
        <v>94</v>
      </c>
      <c r="J164" s="2" t="s">
        <v>95</v>
      </c>
      <c r="K164" s="2" t="s">
        <v>8</v>
      </c>
      <c r="L164" s="2" t="s">
        <v>34</v>
      </c>
      <c r="M164" s="2" t="s">
        <v>28</v>
      </c>
      <c r="N164" s="2" t="s">
        <v>565</v>
      </c>
      <c r="P164" s="5">
        <v>985051088</v>
      </c>
      <c r="R164" s="2" t="s">
        <v>566</v>
      </c>
      <c r="S164" s="2" t="s">
        <v>49</v>
      </c>
      <c r="T164" s="2" t="s">
        <v>79</v>
      </c>
      <c r="U164" s="2">
        <v>2014</v>
      </c>
      <c r="V164" s="6" t="s">
        <v>72</v>
      </c>
    </row>
    <row r="165" spans="1:24" x14ac:dyDescent="0.2">
      <c r="A165" s="2">
        <v>1701161</v>
      </c>
      <c r="B165" s="6">
        <v>42765.712741898147</v>
      </c>
      <c r="C165" s="6">
        <v>42765.746794791667</v>
      </c>
      <c r="D165" s="6">
        <v>42777</v>
      </c>
      <c r="E165" s="6">
        <v>42787.432302777779</v>
      </c>
      <c r="F165" s="2" t="s">
        <v>26</v>
      </c>
      <c r="G165" s="2" t="s">
        <v>26</v>
      </c>
      <c r="H165" s="2" t="s">
        <v>93</v>
      </c>
      <c r="I165" s="2" t="s">
        <v>26</v>
      </c>
      <c r="J165" s="2" t="s">
        <v>26</v>
      </c>
      <c r="K165" s="2" t="s">
        <v>8</v>
      </c>
      <c r="L165" s="2" t="s">
        <v>51</v>
      </c>
      <c r="M165" s="2" t="s">
        <v>61</v>
      </c>
      <c r="N165" s="2" t="s">
        <v>567</v>
      </c>
      <c r="P165" s="5">
        <v>892168707</v>
      </c>
      <c r="R165" s="2" t="s">
        <v>568</v>
      </c>
      <c r="S165" s="2" t="s">
        <v>55</v>
      </c>
      <c r="T165" s="2" t="s">
        <v>56</v>
      </c>
      <c r="U165" s="2">
        <v>2010</v>
      </c>
      <c r="V165" s="6">
        <v>42874</v>
      </c>
      <c r="W165" s="3" t="s">
        <v>39</v>
      </c>
      <c r="X165" s="23">
        <v>467.29</v>
      </c>
    </row>
    <row r="166" spans="1:24" x14ac:dyDescent="0.2">
      <c r="A166" s="2">
        <v>1701162</v>
      </c>
      <c r="B166" s="6">
        <v>42765.716673726849</v>
      </c>
      <c r="C166" s="6">
        <v>42765.756522916665</v>
      </c>
      <c r="D166" s="6">
        <v>42780</v>
      </c>
      <c r="E166" s="6">
        <v>42779.370742708335</v>
      </c>
      <c r="F166" s="2">
        <v>14.243477083335165</v>
      </c>
      <c r="G166" s="2" t="s">
        <v>11</v>
      </c>
      <c r="H166" s="2" t="s">
        <v>93</v>
      </c>
      <c r="I166" s="2" t="s">
        <v>94</v>
      </c>
      <c r="J166" s="2" t="s">
        <v>95</v>
      </c>
      <c r="K166" s="2" t="s">
        <v>8</v>
      </c>
      <c r="L166" s="2" t="s">
        <v>27</v>
      </c>
      <c r="M166" s="2" t="s">
        <v>28</v>
      </c>
      <c r="N166" s="2" t="s">
        <v>272</v>
      </c>
      <c r="O166" s="2" t="s">
        <v>208</v>
      </c>
      <c r="P166" s="5">
        <v>983931580</v>
      </c>
      <c r="R166" s="2" t="s">
        <v>273</v>
      </c>
      <c r="S166" s="2" t="s">
        <v>49</v>
      </c>
      <c r="T166" s="2" t="s">
        <v>130</v>
      </c>
      <c r="U166" s="2">
        <v>2015</v>
      </c>
      <c r="V166" s="6">
        <v>43077</v>
      </c>
      <c r="W166" s="3" t="s">
        <v>135</v>
      </c>
      <c r="X166" s="23">
        <v>5424</v>
      </c>
    </row>
    <row r="167" spans="1:24" x14ac:dyDescent="0.2">
      <c r="A167" s="2">
        <v>1701163</v>
      </c>
      <c r="B167" s="6">
        <v>42766.604142476855</v>
      </c>
      <c r="C167" s="6">
        <v>42794.488499305553</v>
      </c>
      <c r="E167" s="6">
        <v>42803.737083333333</v>
      </c>
      <c r="F167" s="2" t="s">
        <v>26</v>
      </c>
      <c r="G167" s="2" t="s">
        <v>26</v>
      </c>
      <c r="H167" s="2" t="s">
        <v>93</v>
      </c>
      <c r="I167" s="2" t="s">
        <v>26</v>
      </c>
      <c r="J167" s="2" t="s">
        <v>26</v>
      </c>
      <c r="K167" s="2" t="s">
        <v>8</v>
      </c>
      <c r="L167" s="2" t="s">
        <v>27</v>
      </c>
      <c r="M167" s="2" t="s">
        <v>45</v>
      </c>
      <c r="N167" s="2" t="s">
        <v>569</v>
      </c>
      <c r="O167" s="2" t="s">
        <v>47</v>
      </c>
      <c r="P167" s="5">
        <v>917823353</v>
      </c>
      <c r="R167" s="2" t="s">
        <v>570</v>
      </c>
      <c r="S167" s="2" t="s">
        <v>55</v>
      </c>
      <c r="T167" s="2" t="s">
        <v>222</v>
      </c>
      <c r="U167" s="2">
        <v>2010</v>
      </c>
      <c r="V167" s="6">
        <v>42660</v>
      </c>
      <c r="W167" s="3" t="s">
        <v>421</v>
      </c>
      <c r="X167" s="23">
        <v>0</v>
      </c>
    </row>
    <row r="168" spans="1:24" x14ac:dyDescent="0.2">
      <c r="A168" s="2">
        <v>1701164</v>
      </c>
      <c r="B168" s="6">
        <v>42766.606442939817</v>
      </c>
      <c r="C168" s="6">
        <v>42801.559151273148</v>
      </c>
      <c r="E168" s="6">
        <v>42860.464098842589</v>
      </c>
      <c r="F168" s="2" t="s">
        <v>26</v>
      </c>
      <c r="G168" s="2" t="s">
        <v>26</v>
      </c>
      <c r="H168" s="2" t="s">
        <v>93</v>
      </c>
      <c r="I168" s="2" t="s">
        <v>26</v>
      </c>
      <c r="J168" s="2" t="s">
        <v>26</v>
      </c>
      <c r="K168" s="2" t="s">
        <v>8</v>
      </c>
      <c r="L168" s="2" t="s">
        <v>73</v>
      </c>
      <c r="M168" s="2" t="s">
        <v>66</v>
      </c>
      <c r="N168" s="2" t="s">
        <v>571</v>
      </c>
      <c r="O168" s="2" t="s">
        <v>128</v>
      </c>
      <c r="P168" s="5">
        <v>813002894</v>
      </c>
      <c r="R168" s="2" t="s">
        <v>572</v>
      </c>
      <c r="S168" s="2" t="s">
        <v>49</v>
      </c>
      <c r="T168" s="2" t="s">
        <v>79</v>
      </c>
      <c r="U168" s="2">
        <v>2006</v>
      </c>
      <c r="V168" s="6">
        <v>42943</v>
      </c>
      <c r="W168" s="3" t="s">
        <v>573</v>
      </c>
    </row>
    <row r="169" spans="1:24" x14ac:dyDescent="0.2">
      <c r="A169" s="2">
        <v>1701165</v>
      </c>
      <c r="B169" s="6">
        <v>42766.608080208331</v>
      </c>
      <c r="C169" s="6">
        <v>42987.457161689817</v>
      </c>
      <c r="D169" s="6">
        <v>42998</v>
      </c>
      <c r="E169" s="6">
        <v>42991</v>
      </c>
      <c r="F169" s="2" t="s">
        <v>26</v>
      </c>
      <c r="G169" s="2" t="s">
        <v>26</v>
      </c>
      <c r="H169" s="2" t="s">
        <v>26</v>
      </c>
      <c r="I169" s="2" t="s">
        <v>26</v>
      </c>
      <c r="J169" s="2" t="s">
        <v>26</v>
      </c>
      <c r="K169" s="2" t="s">
        <v>8</v>
      </c>
      <c r="L169" s="2" t="s">
        <v>34</v>
      </c>
      <c r="M169" s="2" t="s">
        <v>338</v>
      </c>
      <c r="N169" s="2" t="s">
        <v>574</v>
      </c>
      <c r="O169" s="2" t="s">
        <v>47</v>
      </c>
      <c r="P169" s="5">
        <v>909948837</v>
      </c>
      <c r="R169" s="2" t="s">
        <v>575</v>
      </c>
      <c r="S169" s="2" t="s">
        <v>55</v>
      </c>
      <c r="T169" s="2" t="s">
        <v>56</v>
      </c>
      <c r="U169" s="2">
        <v>2012</v>
      </c>
      <c r="V169" s="6">
        <v>43084</v>
      </c>
      <c r="W169" s="3" t="s">
        <v>65</v>
      </c>
      <c r="X169" s="23">
        <v>8100</v>
      </c>
    </row>
    <row r="170" spans="1:24" x14ac:dyDescent="0.2">
      <c r="A170" s="2">
        <v>1701166</v>
      </c>
      <c r="B170" s="6">
        <v>42766.659141435186</v>
      </c>
      <c r="C170" s="6">
        <v>42816.67058888889</v>
      </c>
      <c r="D170" s="6">
        <v>42824</v>
      </c>
      <c r="E170" s="6">
        <v>42835.732415046296</v>
      </c>
      <c r="F170" s="2" t="s">
        <v>26</v>
      </c>
      <c r="G170" s="2" t="s">
        <v>26</v>
      </c>
      <c r="H170" s="2" t="s">
        <v>93</v>
      </c>
      <c r="I170" s="2" t="s">
        <v>26</v>
      </c>
      <c r="J170" s="2" t="s">
        <v>26</v>
      </c>
      <c r="K170" s="2" t="s">
        <v>8</v>
      </c>
      <c r="L170" s="2" t="s">
        <v>34</v>
      </c>
      <c r="M170" s="2" t="s">
        <v>28</v>
      </c>
      <c r="N170" s="2" t="s">
        <v>576</v>
      </c>
      <c r="O170" s="2" t="s">
        <v>208</v>
      </c>
      <c r="P170" s="5">
        <v>863745359</v>
      </c>
      <c r="R170" s="2" t="s">
        <v>577</v>
      </c>
      <c r="S170" s="2" t="s">
        <v>133</v>
      </c>
      <c r="T170" s="2" t="s">
        <v>578</v>
      </c>
      <c r="U170" s="2">
        <v>2011</v>
      </c>
      <c r="V170" s="6" t="s">
        <v>72</v>
      </c>
      <c r="X170" s="23">
        <v>16023.37</v>
      </c>
    </row>
    <row r="171" spans="1:24" x14ac:dyDescent="0.2">
      <c r="A171" s="2">
        <v>1701167</v>
      </c>
      <c r="B171" s="6">
        <v>42766.661985879633</v>
      </c>
      <c r="F171" s="2" t="s">
        <v>126</v>
      </c>
      <c r="G171" s="2" t="s">
        <v>126</v>
      </c>
      <c r="H171" s="2" t="s">
        <v>126</v>
      </c>
      <c r="I171" s="2" t="s">
        <v>126</v>
      </c>
      <c r="J171" s="2" t="s">
        <v>126</v>
      </c>
      <c r="K171" s="2" t="s">
        <v>8</v>
      </c>
      <c r="L171" s="2" t="s">
        <v>34</v>
      </c>
      <c r="M171" s="2" t="s">
        <v>81</v>
      </c>
      <c r="N171" s="2" t="s">
        <v>579</v>
      </c>
      <c r="O171" s="2" t="s">
        <v>114</v>
      </c>
      <c r="P171" s="5">
        <v>819171606</v>
      </c>
      <c r="R171" s="2" t="s">
        <v>580</v>
      </c>
      <c r="S171" s="2" t="s">
        <v>37</v>
      </c>
      <c r="T171" s="2" t="s">
        <v>331</v>
      </c>
      <c r="U171" s="2">
        <v>2010</v>
      </c>
      <c r="V171" s="6">
        <v>43112</v>
      </c>
      <c r="W171" s="3" t="s">
        <v>581</v>
      </c>
      <c r="X171" s="23">
        <v>6710.28</v>
      </c>
    </row>
    <row r="172" spans="1:24" x14ac:dyDescent="0.2">
      <c r="A172" s="2">
        <v>1701168</v>
      </c>
      <c r="B172" s="6">
        <v>42766.664642361109</v>
      </c>
      <c r="C172" s="6">
        <v>42870.467834374998</v>
      </c>
      <c r="D172" s="6">
        <v>42878</v>
      </c>
      <c r="E172" s="6">
        <v>42882.721615625</v>
      </c>
      <c r="F172" s="2" t="s">
        <v>26</v>
      </c>
      <c r="G172" s="2" t="s">
        <v>26</v>
      </c>
      <c r="H172" s="2" t="s">
        <v>26</v>
      </c>
      <c r="I172" s="2" t="s">
        <v>26</v>
      </c>
      <c r="J172" s="2" t="s">
        <v>26</v>
      </c>
      <c r="K172" s="2" t="s">
        <v>8</v>
      </c>
      <c r="L172" s="2" t="s">
        <v>34</v>
      </c>
      <c r="M172" s="2" t="s">
        <v>295</v>
      </c>
      <c r="N172" s="2" t="s">
        <v>582</v>
      </c>
      <c r="O172" s="2" t="s">
        <v>41</v>
      </c>
      <c r="P172" s="5">
        <v>870363872</v>
      </c>
      <c r="R172" s="2" t="s">
        <v>583</v>
      </c>
      <c r="S172" s="2" t="s">
        <v>49</v>
      </c>
      <c r="T172" s="2" t="s">
        <v>79</v>
      </c>
      <c r="U172" s="2">
        <v>2014</v>
      </c>
      <c r="V172" s="6">
        <v>43091</v>
      </c>
      <c r="W172" s="3" t="s">
        <v>148</v>
      </c>
      <c r="X172" s="23">
        <v>10000</v>
      </c>
    </row>
    <row r="173" spans="1:24" x14ac:dyDescent="0.2">
      <c r="A173" s="2">
        <v>1701169</v>
      </c>
      <c r="B173" s="6">
        <v>42766.666749421296</v>
      </c>
      <c r="F173" s="2" t="s">
        <v>126</v>
      </c>
      <c r="G173" s="2" t="s">
        <v>126</v>
      </c>
      <c r="H173" s="2" t="s">
        <v>126</v>
      </c>
      <c r="I173" s="2" t="s">
        <v>126</v>
      </c>
      <c r="J173" s="2" t="s">
        <v>126</v>
      </c>
      <c r="K173" s="2" t="s">
        <v>8</v>
      </c>
      <c r="L173" s="2" t="s">
        <v>34</v>
      </c>
      <c r="M173" s="2" t="s">
        <v>118</v>
      </c>
      <c r="N173" s="2" t="s">
        <v>584</v>
      </c>
      <c r="O173" s="2" t="s">
        <v>181</v>
      </c>
      <c r="P173" s="5">
        <v>994054941</v>
      </c>
      <c r="R173" s="2" t="s">
        <v>585</v>
      </c>
      <c r="S173" s="2" t="s">
        <v>49</v>
      </c>
      <c r="T173" s="2" t="s">
        <v>586</v>
      </c>
      <c r="U173" s="2">
        <v>2004</v>
      </c>
      <c r="V173" s="6">
        <v>42667</v>
      </c>
      <c r="W173" s="3" t="s">
        <v>587</v>
      </c>
      <c r="X173" s="23">
        <v>0</v>
      </c>
    </row>
    <row r="174" spans="1:24" x14ac:dyDescent="0.2">
      <c r="A174" s="2">
        <v>1701170</v>
      </c>
      <c r="B174" s="6">
        <v>42766.688785648148</v>
      </c>
      <c r="C174" s="6">
        <v>42767.380491898148</v>
      </c>
      <c r="D174" s="6">
        <v>42786</v>
      </c>
      <c r="E174" s="6">
        <v>42788.739091435185</v>
      </c>
      <c r="F174" s="2" t="s">
        <v>26</v>
      </c>
      <c r="G174" s="2" t="s">
        <v>26</v>
      </c>
      <c r="H174" s="2" t="s">
        <v>93</v>
      </c>
      <c r="I174" s="2" t="s">
        <v>26</v>
      </c>
      <c r="J174" s="2" t="s">
        <v>26</v>
      </c>
      <c r="K174" s="2" t="s">
        <v>8</v>
      </c>
      <c r="L174" s="2" t="s">
        <v>73</v>
      </c>
      <c r="M174" s="2" t="s">
        <v>45</v>
      </c>
      <c r="N174" s="2" t="s">
        <v>588</v>
      </c>
      <c r="O174" s="2" t="s">
        <v>208</v>
      </c>
      <c r="P174" s="5">
        <v>837883194</v>
      </c>
      <c r="R174" s="2" t="s">
        <v>589</v>
      </c>
      <c r="S174" s="2" t="s">
        <v>49</v>
      </c>
      <c r="T174" s="2" t="s">
        <v>130</v>
      </c>
      <c r="U174" s="2">
        <v>2013</v>
      </c>
      <c r="V174" s="6">
        <v>42857</v>
      </c>
      <c r="W174" s="3" t="s">
        <v>117</v>
      </c>
      <c r="X174" s="23">
        <v>6000</v>
      </c>
    </row>
    <row r="175" spans="1:24" x14ac:dyDescent="0.2">
      <c r="A175" s="2">
        <v>1701171</v>
      </c>
      <c r="B175" s="6">
        <v>42766.694428935189</v>
      </c>
      <c r="C175" s="6">
        <v>42767.391243749997</v>
      </c>
      <c r="D175" s="6">
        <v>42786</v>
      </c>
      <c r="E175" s="6" t="s">
        <v>1511</v>
      </c>
      <c r="F175" s="2">
        <v>18.608756250003353</v>
      </c>
      <c r="G175" s="2" t="s">
        <v>11</v>
      </c>
      <c r="H175" s="2" t="s">
        <v>93</v>
      </c>
      <c r="I175" s="2" t="s">
        <v>94</v>
      </c>
      <c r="J175" s="2" t="s">
        <v>95</v>
      </c>
      <c r="K175" s="2" t="s">
        <v>8</v>
      </c>
      <c r="L175" s="2" t="s">
        <v>73</v>
      </c>
      <c r="M175" s="2" t="s">
        <v>45</v>
      </c>
      <c r="N175" s="2" t="s">
        <v>590</v>
      </c>
      <c r="O175" s="2" t="s">
        <v>591</v>
      </c>
      <c r="P175" s="5">
        <v>850997826</v>
      </c>
      <c r="R175" s="2" t="s">
        <v>592</v>
      </c>
      <c r="S175" s="2" t="s">
        <v>49</v>
      </c>
      <c r="T175" s="2" t="s">
        <v>79</v>
      </c>
      <c r="U175" s="2">
        <v>2006</v>
      </c>
      <c r="V175" s="6">
        <v>42705</v>
      </c>
      <c r="W175" s="3" t="s">
        <v>138</v>
      </c>
      <c r="X175" s="23">
        <v>0</v>
      </c>
    </row>
    <row r="176" spans="1:24" x14ac:dyDescent="0.2">
      <c r="A176" s="2">
        <v>1701172</v>
      </c>
      <c r="B176" s="6">
        <v>42766.703950115741</v>
      </c>
      <c r="C176" s="6">
        <v>42767.396418055556</v>
      </c>
      <c r="D176" s="6">
        <v>42776</v>
      </c>
      <c r="E176" s="6">
        <v>42776.66251076389</v>
      </c>
      <c r="F176" s="2">
        <v>8.6035819444441586</v>
      </c>
      <c r="G176" s="2" t="s">
        <v>11</v>
      </c>
      <c r="H176" s="2" t="s">
        <v>93</v>
      </c>
      <c r="I176" s="2" t="s">
        <v>94</v>
      </c>
      <c r="J176" s="2" t="s">
        <v>95</v>
      </c>
      <c r="K176" s="2" t="s">
        <v>8</v>
      </c>
      <c r="L176" s="2" t="s">
        <v>34</v>
      </c>
      <c r="M176" s="2" t="s">
        <v>28</v>
      </c>
      <c r="N176" s="2" t="s">
        <v>593</v>
      </c>
      <c r="O176" s="2" t="s">
        <v>114</v>
      </c>
      <c r="P176" s="5">
        <v>928294164</v>
      </c>
      <c r="R176" s="2" t="s">
        <v>594</v>
      </c>
      <c r="S176" s="2" t="s">
        <v>49</v>
      </c>
      <c r="T176" s="2" t="s">
        <v>130</v>
      </c>
      <c r="U176" s="2">
        <v>2011</v>
      </c>
      <c r="V176" s="6">
        <v>42817</v>
      </c>
      <c r="W176" s="3" t="s">
        <v>138</v>
      </c>
      <c r="X176" s="23">
        <v>9073.4699999999993</v>
      </c>
    </row>
    <row r="177" spans="1:24" x14ac:dyDescent="0.2">
      <c r="A177" s="2">
        <v>1702001</v>
      </c>
      <c r="B177" s="6">
        <v>42767.402587268516</v>
      </c>
      <c r="C177" s="6">
        <v>42767.418032060188</v>
      </c>
      <c r="D177" s="6">
        <v>42775</v>
      </c>
      <c r="E177" s="6">
        <v>42774.646795601853</v>
      </c>
      <c r="F177" s="2">
        <v>7.5819679398118751</v>
      </c>
      <c r="G177" s="2" t="s">
        <v>11</v>
      </c>
      <c r="H177" s="2" t="s">
        <v>93</v>
      </c>
      <c r="I177" s="2" t="s">
        <v>95</v>
      </c>
      <c r="J177" s="2" t="s">
        <v>95</v>
      </c>
      <c r="K177" s="2" t="s">
        <v>8</v>
      </c>
      <c r="L177" s="2" t="s">
        <v>34</v>
      </c>
      <c r="M177" s="2" t="s">
        <v>45</v>
      </c>
      <c r="N177" s="2" t="s">
        <v>595</v>
      </c>
      <c r="O177" s="2" t="s">
        <v>120</v>
      </c>
      <c r="P177" s="5">
        <v>811724884</v>
      </c>
      <c r="R177" s="2" t="s">
        <v>596</v>
      </c>
      <c r="S177" s="2" t="s">
        <v>31</v>
      </c>
      <c r="T177" s="2" t="s">
        <v>283</v>
      </c>
      <c r="U177" s="2">
        <v>2000</v>
      </c>
      <c r="V177" s="6" t="s">
        <v>72</v>
      </c>
      <c r="X177" s="23">
        <v>3448.21</v>
      </c>
    </row>
    <row r="178" spans="1:24" x14ac:dyDescent="0.2">
      <c r="A178" s="2">
        <v>1702002</v>
      </c>
      <c r="B178" s="6">
        <v>42767.404487384258</v>
      </c>
      <c r="C178" s="6">
        <v>42767.420835532408</v>
      </c>
      <c r="D178" s="6">
        <v>42775</v>
      </c>
      <c r="E178" s="6">
        <v>42774.647159259257</v>
      </c>
      <c r="F178" s="2">
        <v>7.5791644675919088</v>
      </c>
      <c r="G178" s="2" t="s">
        <v>26</v>
      </c>
      <c r="H178" s="2" t="s">
        <v>95</v>
      </c>
      <c r="I178" s="2" t="s">
        <v>26</v>
      </c>
      <c r="J178" s="2" t="s">
        <v>26</v>
      </c>
      <c r="K178" s="2" t="s">
        <v>8</v>
      </c>
      <c r="L178" s="2" t="s">
        <v>73</v>
      </c>
      <c r="M178" s="2" t="s">
        <v>28</v>
      </c>
      <c r="N178" s="2" t="s">
        <v>595</v>
      </c>
      <c r="O178" s="2" t="s">
        <v>120</v>
      </c>
      <c r="P178" s="5">
        <v>811724884</v>
      </c>
      <c r="Q178" s="5">
        <v>0</v>
      </c>
      <c r="R178" s="2" t="s">
        <v>596</v>
      </c>
      <c r="S178" s="2" t="s">
        <v>31</v>
      </c>
      <c r="T178" s="2" t="s">
        <v>283</v>
      </c>
      <c r="U178" s="2">
        <v>2000</v>
      </c>
      <c r="V178" s="6" t="s">
        <v>72</v>
      </c>
      <c r="W178" s="3">
        <v>0</v>
      </c>
      <c r="X178" s="23">
        <v>0</v>
      </c>
    </row>
    <row r="179" spans="1:24" x14ac:dyDescent="0.2">
      <c r="A179" s="2">
        <v>1702003</v>
      </c>
      <c r="B179" s="6">
        <v>42767.440732060182</v>
      </c>
      <c r="C179" s="6">
        <v>42767.450852430557</v>
      </c>
      <c r="D179" s="6">
        <v>42779</v>
      </c>
      <c r="E179" s="6">
        <v>42777.710179861111</v>
      </c>
      <c r="F179" s="2">
        <v>11.549147569443448</v>
      </c>
      <c r="G179" s="2" t="s">
        <v>11</v>
      </c>
      <c r="H179" s="2" t="s">
        <v>93</v>
      </c>
      <c r="I179" s="2" t="s">
        <v>94</v>
      </c>
      <c r="J179" s="2" t="s">
        <v>95</v>
      </c>
      <c r="K179" s="2" t="s">
        <v>8</v>
      </c>
      <c r="L179" s="2" t="s">
        <v>27</v>
      </c>
      <c r="M179" s="2" t="s">
        <v>66</v>
      </c>
      <c r="N179" s="2" t="s">
        <v>597</v>
      </c>
      <c r="O179" s="2" t="s">
        <v>598</v>
      </c>
      <c r="P179" s="5">
        <v>864102280</v>
      </c>
      <c r="R179" s="2" t="s">
        <v>599</v>
      </c>
      <c r="S179" s="2" t="s">
        <v>70</v>
      </c>
      <c r="T179" s="2" t="s">
        <v>435</v>
      </c>
      <c r="U179" s="2">
        <v>2005</v>
      </c>
      <c r="V179" s="6" t="s">
        <v>72</v>
      </c>
    </row>
    <row r="180" spans="1:24" x14ac:dyDescent="0.2">
      <c r="A180" s="2">
        <v>1702004</v>
      </c>
      <c r="B180" s="6">
        <v>42767.464563541667</v>
      </c>
      <c r="C180" s="6">
        <v>42822.440293287036</v>
      </c>
      <c r="D180" s="6">
        <v>0</v>
      </c>
      <c r="E180" s="6">
        <v>42864.716774768516</v>
      </c>
      <c r="F180" s="2" t="s">
        <v>26</v>
      </c>
      <c r="G180" s="2" t="s">
        <v>26</v>
      </c>
      <c r="H180" s="2" t="s">
        <v>93</v>
      </c>
      <c r="I180" s="2" t="s">
        <v>26</v>
      </c>
      <c r="J180" s="2" t="s">
        <v>26</v>
      </c>
      <c r="K180" s="2" t="s">
        <v>8</v>
      </c>
      <c r="L180" s="2" t="s">
        <v>27</v>
      </c>
      <c r="M180" s="2" t="s">
        <v>45</v>
      </c>
      <c r="N180" s="2" t="s">
        <v>600</v>
      </c>
      <c r="O180" s="2" t="s">
        <v>208</v>
      </c>
      <c r="P180" s="5">
        <v>942410947</v>
      </c>
      <c r="Q180" s="5">
        <v>854832030</v>
      </c>
      <c r="R180" s="2" t="s">
        <v>601</v>
      </c>
      <c r="S180" s="2" t="s">
        <v>49</v>
      </c>
      <c r="T180" s="2" t="s">
        <v>151</v>
      </c>
      <c r="U180" s="2">
        <v>2010</v>
      </c>
      <c r="V180" s="6">
        <v>42757</v>
      </c>
      <c r="W180" s="3" t="s">
        <v>602</v>
      </c>
      <c r="X180" s="23">
        <v>2065.42</v>
      </c>
    </row>
    <row r="181" spans="1:24" x14ac:dyDescent="0.2">
      <c r="A181" s="2">
        <v>1702005</v>
      </c>
      <c r="B181" s="6">
        <v>42767.493973495373</v>
      </c>
      <c r="C181" s="6">
        <v>42767.602420138886</v>
      </c>
      <c r="D181" s="6">
        <v>42777</v>
      </c>
      <c r="E181" s="6">
        <v>42787.430490740742</v>
      </c>
      <c r="F181" s="2" t="s">
        <v>26</v>
      </c>
      <c r="G181" s="2" t="s">
        <v>26</v>
      </c>
      <c r="H181" s="2" t="s">
        <v>93</v>
      </c>
      <c r="I181" s="2" t="s">
        <v>26</v>
      </c>
      <c r="J181" s="2" t="s">
        <v>26</v>
      </c>
      <c r="K181" s="2" t="s">
        <v>8</v>
      </c>
      <c r="L181" s="2" t="s">
        <v>27</v>
      </c>
      <c r="M181" s="2" t="s">
        <v>28</v>
      </c>
      <c r="N181" s="2" t="s">
        <v>603</v>
      </c>
      <c r="O181" s="2" t="s">
        <v>68</v>
      </c>
      <c r="P181" s="5">
        <v>878064772</v>
      </c>
      <c r="R181" s="2" t="s">
        <v>604</v>
      </c>
      <c r="S181" s="2" t="s">
        <v>49</v>
      </c>
      <c r="T181" s="2" t="s">
        <v>50</v>
      </c>
      <c r="U181" s="2">
        <v>2003</v>
      </c>
      <c r="X181" s="23">
        <v>8107.46</v>
      </c>
    </row>
    <row r="182" spans="1:24" x14ac:dyDescent="0.2">
      <c r="A182" s="2">
        <v>1702006</v>
      </c>
      <c r="B182" s="6">
        <v>42767.565550115738</v>
      </c>
      <c r="C182" s="6">
        <v>42767.584754745367</v>
      </c>
      <c r="D182" s="6">
        <v>42781</v>
      </c>
      <c r="E182" s="6">
        <v>42787.676646643522</v>
      </c>
      <c r="F182" s="2" t="s">
        <v>26</v>
      </c>
      <c r="G182" s="2" t="s">
        <v>26</v>
      </c>
      <c r="H182" s="2" t="s">
        <v>93</v>
      </c>
      <c r="I182" s="2" t="s">
        <v>26</v>
      </c>
      <c r="J182" s="2" t="s">
        <v>26</v>
      </c>
      <c r="K182" s="2" t="s">
        <v>8</v>
      </c>
      <c r="L182" s="2" t="s">
        <v>27</v>
      </c>
      <c r="M182" s="2" t="s">
        <v>61</v>
      </c>
      <c r="N182" s="2" t="s">
        <v>605</v>
      </c>
      <c r="O182" s="2" t="s">
        <v>120</v>
      </c>
      <c r="P182" s="5">
        <v>926872544</v>
      </c>
      <c r="R182" s="2" t="s">
        <v>2792</v>
      </c>
      <c r="S182" s="2" t="s">
        <v>49</v>
      </c>
      <c r="T182" s="2" t="s">
        <v>130</v>
      </c>
      <c r="U182" s="2">
        <v>2011</v>
      </c>
      <c r="V182" s="6" t="s">
        <v>607</v>
      </c>
      <c r="W182" s="3" t="s">
        <v>607</v>
      </c>
      <c r="X182" s="23">
        <v>4210.28</v>
      </c>
    </row>
    <row r="183" spans="1:24" x14ac:dyDescent="0.2">
      <c r="A183" s="2">
        <v>1702007</v>
      </c>
      <c r="B183" s="6">
        <v>42767.604518749999</v>
      </c>
      <c r="C183" s="6">
        <v>42787.46251435185</v>
      </c>
      <c r="E183" s="6">
        <v>42798.712152546294</v>
      </c>
      <c r="F183" s="2" t="s">
        <v>26</v>
      </c>
      <c r="G183" s="2" t="s">
        <v>26</v>
      </c>
      <c r="H183" s="2" t="s">
        <v>93</v>
      </c>
      <c r="I183" s="2" t="s">
        <v>26</v>
      </c>
      <c r="J183" s="2" t="s">
        <v>26</v>
      </c>
      <c r="K183" s="2" t="s">
        <v>8</v>
      </c>
      <c r="L183" s="2" t="s">
        <v>27</v>
      </c>
      <c r="M183" s="2" t="s">
        <v>45</v>
      </c>
      <c r="N183" s="2" t="s">
        <v>608</v>
      </c>
      <c r="O183" s="2" t="s">
        <v>208</v>
      </c>
      <c r="P183" s="5">
        <v>636410744</v>
      </c>
      <c r="R183" s="2" t="s">
        <v>609</v>
      </c>
      <c r="S183" s="2" t="s">
        <v>49</v>
      </c>
      <c r="T183" s="2" t="s">
        <v>79</v>
      </c>
      <c r="U183" s="2">
        <v>2014</v>
      </c>
      <c r="V183" s="6">
        <v>42804</v>
      </c>
      <c r="W183" s="3">
        <v>2.0000000000000001E-4</v>
      </c>
      <c r="X183" s="23">
        <v>12745</v>
      </c>
    </row>
    <row r="184" spans="1:24" x14ac:dyDescent="0.2">
      <c r="A184" s="2">
        <v>1702008</v>
      </c>
      <c r="B184" s="6">
        <v>42767.628711689817</v>
      </c>
      <c r="C184" s="6">
        <v>42807.737370717594</v>
      </c>
      <c r="D184" s="6">
        <v>42812</v>
      </c>
      <c r="E184" s="6">
        <v>42817.748613194446</v>
      </c>
      <c r="F184" s="2" t="s">
        <v>26</v>
      </c>
      <c r="G184" s="2" t="s">
        <v>26</v>
      </c>
      <c r="H184" s="2" t="s">
        <v>93</v>
      </c>
      <c r="I184" s="2" t="s">
        <v>26</v>
      </c>
      <c r="J184" s="2" t="s">
        <v>26</v>
      </c>
      <c r="K184" s="2" t="s">
        <v>8</v>
      </c>
      <c r="L184" s="2" t="s">
        <v>34</v>
      </c>
      <c r="M184" s="2" t="s">
        <v>61</v>
      </c>
      <c r="N184" s="2" t="s">
        <v>610</v>
      </c>
      <c r="O184" s="2" t="s">
        <v>186</v>
      </c>
      <c r="P184" s="5">
        <v>874859557</v>
      </c>
      <c r="R184" s="2" t="s">
        <v>611</v>
      </c>
      <c r="S184" s="2" t="s">
        <v>183</v>
      </c>
      <c r="T184" s="2" t="s">
        <v>373</v>
      </c>
      <c r="U184" s="2">
        <v>2014</v>
      </c>
      <c r="V184" s="6">
        <v>42792</v>
      </c>
      <c r="W184" s="3" t="s">
        <v>155</v>
      </c>
      <c r="X184" s="23">
        <v>6300</v>
      </c>
    </row>
    <row r="185" spans="1:24" x14ac:dyDescent="0.2">
      <c r="A185" s="2">
        <v>1702009</v>
      </c>
      <c r="B185" s="6">
        <v>42768.435431944446</v>
      </c>
      <c r="C185" s="6">
        <v>42863.652329398152</v>
      </c>
      <c r="D185" s="6">
        <v>42875</v>
      </c>
      <c r="E185" s="6">
        <v>42882.721125694443</v>
      </c>
      <c r="F185" s="2" t="s">
        <v>26</v>
      </c>
      <c r="G185" s="2" t="s">
        <v>26</v>
      </c>
      <c r="H185" s="2" t="s">
        <v>26</v>
      </c>
      <c r="I185" s="2" t="s">
        <v>26</v>
      </c>
      <c r="J185" s="2" t="s">
        <v>26</v>
      </c>
      <c r="K185" s="2" t="s">
        <v>8</v>
      </c>
      <c r="L185" s="2" t="s">
        <v>27</v>
      </c>
      <c r="M185" s="2" t="s">
        <v>66</v>
      </c>
      <c r="N185" s="2" t="s">
        <v>612</v>
      </c>
      <c r="O185" s="2" t="s">
        <v>380</v>
      </c>
      <c r="P185" s="5">
        <v>851330314</v>
      </c>
      <c r="Q185" s="5">
        <v>81363223</v>
      </c>
      <c r="R185" s="2" t="s">
        <v>613</v>
      </c>
      <c r="S185" s="2" t="s">
        <v>49</v>
      </c>
      <c r="T185" s="2" t="s">
        <v>50</v>
      </c>
      <c r="U185" s="2">
        <v>2000</v>
      </c>
      <c r="V185" s="6">
        <v>42986</v>
      </c>
      <c r="W185" s="3" t="s">
        <v>143</v>
      </c>
      <c r="X185" s="23">
        <v>8075</v>
      </c>
    </row>
    <row r="186" spans="1:24" x14ac:dyDescent="0.2">
      <c r="A186" s="2">
        <v>1702010</v>
      </c>
      <c r="B186" s="6">
        <v>42768.461246064813</v>
      </c>
      <c r="C186" s="6">
        <v>42768.486707523145</v>
      </c>
      <c r="D186" s="6">
        <v>42773</v>
      </c>
      <c r="E186" s="6">
        <v>42774.731100694444</v>
      </c>
      <c r="F186" s="2">
        <v>4.5132924768549856</v>
      </c>
      <c r="G186" s="2" t="s">
        <v>11</v>
      </c>
      <c r="H186" s="2" t="s">
        <v>93</v>
      </c>
      <c r="I186" s="2" t="s">
        <v>94</v>
      </c>
      <c r="J186" s="2" t="s">
        <v>95</v>
      </c>
      <c r="K186" s="2" t="s">
        <v>8</v>
      </c>
      <c r="L186" s="2" t="s">
        <v>27</v>
      </c>
      <c r="M186" s="2" t="s">
        <v>28</v>
      </c>
      <c r="N186" s="2" t="s">
        <v>614</v>
      </c>
      <c r="O186" s="2" t="s">
        <v>68</v>
      </c>
      <c r="P186" s="5">
        <v>876849746</v>
      </c>
      <c r="R186" s="2" t="s">
        <v>615</v>
      </c>
      <c r="S186" s="2" t="s">
        <v>49</v>
      </c>
      <c r="T186" s="2" t="s">
        <v>79</v>
      </c>
      <c r="U186" s="2">
        <v>2013</v>
      </c>
      <c r="V186" s="6">
        <v>42821</v>
      </c>
      <c r="W186" s="3" t="s">
        <v>57</v>
      </c>
      <c r="X186" s="23">
        <v>6035.51</v>
      </c>
    </row>
    <row r="187" spans="1:24" x14ac:dyDescent="0.2">
      <c r="A187" s="2">
        <v>1702011</v>
      </c>
      <c r="B187" s="6">
        <v>42768.477409259256</v>
      </c>
      <c r="C187" s="6">
        <v>42768.480558680552</v>
      </c>
      <c r="D187" s="6">
        <v>42784</v>
      </c>
      <c r="E187" s="6">
        <v>42801.434140046294</v>
      </c>
      <c r="F187" s="2" t="s">
        <v>26</v>
      </c>
      <c r="G187" s="2" t="s">
        <v>26</v>
      </c>
      <c r="H187" s="2" t="s">
        <v>93</v>
      </c>
      <c r="I187" s="2" t="s">
        <v>26</v>
      </c>
      <c r="J187" s="2" t="s">
        <v>26</v>
      </c>
      <c r="K187" s="2" t="s">
        <v>8</v>
      </c>
      <c r="L187" s="2" t="s">
        <v>73</v>
      </c>
      <c r="M187" s="2" t="s">
        <v>66</v>
      </c>
      <c r="N187" s="2" t="s">
        <v>616</v>
      </c>
      <c r="O187" s="2" t="s">
        <v>128</v>
      </c>
      <c r="P187" s="5">
        <v>827968559</v>
      </c>
      <c r="R187" s="2" t="s">
        <v>617</v>
      </c>
      <c r="S187" s="2" t="s">
        <v>49</v>
      </c>
      <c r="T187" s="2" t="s">
        <v>130</v>
      </c>
      <c r="U187" s="2">
        <v>2007</v>
      </c>
      <c r="V187" s="6" t="s">
        <v>72</v>
      </c>
      <c r="X187" s="23">
        <v>12280</v>
      </c>
    </row>
    <row r="188" spans="1:24" x14ac:dyDescent="0.2">
      <c r="A188" s="2">
        <v>1702012</v>
      </c>
      <c r="B188" s="6">
        <v>42768.49503460648</v>
      </c>
      <c r="C188" s="6">
        <v>42768.649927314815</v>
      </c>
      <c r="D188" s="6">
        <v>42791</v>
      </c>
      <c r="E188" s="6">
        <v>42795.721125231481</v>
      </c>
      <c r="F188" s="2" t="s">
        <v>26</v>
      </c>
      <c r="G188" s="2" t="s">
        <v>26</v>
      </c>
      <c r="H188" s="2" t="s">
        <v>93</v>
      </c>
      <c r="I188" s="2" t="s">
        <v>26</v>
      </c>
      <c r="J188" s="2" t="s">
        <v>26</v>
      </c>
      <c r="K188" s="2" t="s">
        <v>8</v>
      </c>
      <c r="L188" s="2" t="s">
        <v>73</v>
      </c>
      <c r="M188" s="2" t="s">
        <v>66</v>
      </c>
      <c r="N188" s="2" t="s">
        <v>618</v>
      </c>
      <c r="O188" s="2" t="s">
        <v>41</v>
      </c>
      <c r="P188" s="5">
        <v>924943311</v>
      </c>
      <c r="R188" s="2" t="s">
        <v>619</v>
      </c>
      <c r="S188" s="2" t="s">
        <v>49</v>
      </c>
      <c r="T188" s="2" t="s">
        <v>130</v>
      </c>
      <c r="U188" s="2">
        <v>2007</v>
      </c>
      <c r="V188" s="6">
        <v>42842</v>
      </c>
      <c r="W188" s="3" t="s">
        <v>99</v>
      </c>
      <c r="X188" s="23">
        <v>14080</v>
      </c>
    </row>
    <row r="189" spans="1:24" x14ac:dyDescent="0.2">
      <c r="A189" s="2">
        <v>1702013</v>
      </c>
      <c r="B189" s="6">
        <v>42768.71823958333</v>
      </c>
      <c r="C189" s="6">
        <v>42801.400415625001</v>
      </c>
      <c r="E189" s="6">
        <v>42812.576798032409</v>
      </c>
      <c r="F189" s="2" t="s">
        <v>26</v>
      </c>
      <c r="G189" s="2" t="s">
        <v>26</v>
      </c>
      <c r="H189" s="2" t="s">
        <v>93</v>
      </c>
      <c r="I189" s="2" t="s">
        <v>26</v>
      </c>
      <c r="J189" s="2" t="s">
        <v>26</v>
      </c>
      <c r="K189" s="2" t="s">
        <v>8</v>
      </c>
      <c r="L189" s="2" t="s">
        <v>34</v>
      </c>
      <c r="M189" s="2" t="s">
        <v>295</v>
      </c>
      <c r="N189" s="2" t="s">
        <v>620</v>
      </c>
      <c r="O189" s="2" t="s">
        <v>68</v>
      </c>
      <c r="P189" s="5">
        <v>946979444</v>
      </c>
      <c r="R189" s="2" t="s">
        <v>621</v>
      </c>
      <c r="S189" s="2" t="s">
        <v>49</v>
      </c>
      <c r="T189" s="2" t="s">
        <v>130</v>
      </c>
      <c r="V189" s="6" t="s">
        <v>72</v>
      </c>
      <c r="X189" s="23">
        <v>0</v>
      </c>
    </row>
    <row r="190" spans="1:24" x14ac:dyDescent="0.2">
      <c r="A190" s="2">
        <v>1702014</v>
      </c>
      <c r="B190" s="6">
        <v>42769.609283101854</v>
      </c>
      <c r="C190" s="6">
        <v>42933.582433449075</v>
      </c>
      <c r="D190" s="6">
        <v>42945</v>
      </c>
      <c r="E190" s="6">
        <v>42952</v>
      </c>
      <c r="F190" s="2" t="s">
        <v>26</v>
      </c>
      <c r="G190" s="2" t="s">
        <v>26</v>
      </c>
      <c r="H190" s="2" t="s">
        <v>26</v>
      </c>
      <c r="I190" s="2" t="s">
        <v>26</v>
      </c>
      <c r="J190" s="2" t="s">
        <v>26</v>
      </c>
      <c r="K190" s="2" t="s">
        <v>8</v>
      </c>
      <c r="L190" s="2" t="s">
        <v>27</v>
      </c>
      <c r="M190" s="2" t="s">
        <v>45</v>
      </c>
      <c r="N190" s="2" t="s">
        <v>622</v>
      </c>
      <c r="O190" s="2" t="s">
        <v>68</v>
      </c>
      <c r="P190" s="5">
        <v>928233658</v>
      </c>
      <c r="R190" s="2" t="s">
        <v>623</v>
      </c>
      <c r="S190" s="2" t="s">
        <v>49</v>
      </c>
      <c r="T190" s="2" t="s">
        <v>111</v>
      </c>
      <c r="U190" s="2">
        <v>2012</v>
      </c>
      <c r="V190" s="6">
        <v>42756</v>
      </c>
      <c r="W190" s="3" t="s">
        <v>84</v>
      </c>
      <c r="X190" s="23">
        <v>0</v>
      </c>
    </row>
    <row r="191" spans="1:24" x14ac:dyDescent="0.2">
      <c r="A191" s="2">
        <v>1702015</v>
      </c>
      <c r="B191" s="6">
        <v>42769.720720833335</v>
      </c>
      <c r="E191" s="6">
        <v>42819.4098099537</v>
      </c>
      <c r="F191" s="2" t="s">
        <v>26</v>
      </c>
      <c r="G191" s="2" t="s">
        <v>26</v>
      </c>
      <c r="H191" s="2" t="s">
        <v>126</v>
      </c>
      <c r="I191" s="2" t="s">
        <v>26</v>
      </c>
      <c r="J191" s="2" t="s">
        <v>26</v>
      </c>
      <c r="K191" s="2" t="s">
        <v>8</v>
      </c>
      <c r="L191" s="2" t="s">
        <v>27</v>
      </c>
      <c r="M191" s="2" t="s">
        <v>45</v>
      </c>
      <c r="N191" s="2" t="s">
        <v>624</v>
      </c>
      <c r="O191" s="2" t="s">
        <v>47</v>
      </c>
      <c r="P191" s="5">
        <v>879172814</v>
      </c>
      <c r="R191" s="2" t="s">
        <v>625</v>
      </c>
      <c r="S191" s="2" t="s">
        <v>31</v>
      </c>
      <c r="T191" s="2" t="s">
        <v>283</v>
      </c>
      <c r="U191" s="2">
        <v>2009</v>
      </c>
      <c r="V191" s="6">
        <v>42903</v>
      </c>
      <c r="W191" s="3" t="s">
        <v>106</v>
      </c>
      <c r="X191" s="23">
        <v>0</v>
      </c>
    </row>
    <row r="192" spans="1:24" x14ac:dyDescent="0.2">
      <c r="A192" s="2">
        <v>1702016</v>
      </c>
      <c r="B192" s="6">
        <v>42770.605686226852</v>
      </c>
      <c r="C192" s="6">
        <v>42966.616376504629</v>
      </c>
      <c r="D192" s="6">
        <v>42971</v>
      </c>
      <c r="E192" s="6">
        <v>42973</v>
      </c>
      <c r="F192" s="2" t="s">
        <v>26</v>
      </c>
      <c r="G192" s="2" t="s">
        <v>26</v>
      </c>
      <c r="H192" s="2" t="s">
        <v>26</v>
      </c>
      <c r="I192" s="2" t="s">
        <v>26</v>
      </c>
      <c r="J192" s="2" t="s">
        <v>26</v>
      </c>
      <c r="K192" s="2" t="s">
        <v>8</v>
      </c>
      <c r="L192" s="2" t="s">
        <v>34</v>
      </c>
      <c r="M192" s="2" t="s">
        <v>28</v>
      </c>
      <c r="N192" s="2" t="s">
        <v>626</v>
      </c>
      <c r="O192" s="2" t="s">
        <v>217</v>
      </c>
      <c r="P192" s="5">
        <v>992465169</v>
      </c>
      <c r="Q192" s="5">
        <v>954988657</v>
      </c>
      <c r="R192" s="2" t="s">
        <v>627</v>
      </c>
      <c r="S192" s="2" t="s">
        <v>49</v>
      </c>
      <c r="T192" s="2">
        <v>2</v>
      </c>
      <c r="U192" s="2">
        <v>2011</v>
      </c>
      <c r="V192" s="6">
        <v>43049</v>
      </c>
      <c r="W192" s="3" t="s">
        <v>361</v>
      </c>
      <c r="X192" s="23">
        <v>3500</v>
      </c>
    </row>
    <row r="193" spans="1:24" x14ac:dyDescent="0.2">
      <c r="A193" s="2">
        <v>1702017</v>
      </c>
      <c r="B193" s="6">
        <v>42770.613769097225</v>
      </c>
      <c r="C193" s="6">
        <v>42866.379359722225</v>
      </c>
      <c r="D193" s="6">
        <v>42865</v>
      </c>
      <c r="E193" s="6">
        <v>42886.573301504628</v>
      </c>
      <c r="F193" s="2" t="s">
        <v>26</v>
      </c>
      <c r="G193" s="2" t="s">
        <v>26</v>
      </c>
      <c r="H193" s="2" t="s">
        <v>26</v>
      </c>
      <c r="I193" s="2" t="s">
        <v>26</v>
      </c>
      <c r="J193" s="2" t="s">
        <v>26</v>
      </c>
      <c r="K193" s="2" t="s">
        <v>8</v>
      </c>
      <c r="L193" s="2" t="s">
        <v>27</v>
      </c>
      <c r="M193" s="2" t="s">
        <v>295</v>
      </c>
      <c r="N193" s="2" t="s">
        <v>628</v>
      </c>
      <c r="O193" s="2" t="s">
        <v>128</v>
      </c>
      <c r="P193" s="5">
        <v>898112396</v>
      </c>
      <c r="R193" s="2" t="s">
        <v>629</v>
      </c>
      <c r="S193" s="2" t="s">
        <v>49</v>
      </c>
      <c r="T193" s="2" t="s">
        <v>79</v>
      </c>
      <c r="U193" s="2">
        <v>2007</v>
      </c>
      <c r="V193" s="6">
        <v>42939</v>
      </c>
      <c r="W193" s="3" t="s">
        <v>39</v>
      </c>
      <c r="X193" s="23">
        <v>3600</v>
      </c>
    </row>
    <row r="194" spans="1:24" x14ac:dyDescent="0.2">
      <c r="A194" s="2">
        <v>1702018</v>
      </c>
      <c r="B194" s="6">
        <v>42772.578234143519</v>
      </c>
      <c r="C194" s="6">
        <v>42892.560767129631</v>
      </c>
      <c r="D194" s="6">
        <v>42913</v>
      </c>
      <c r="E194" s="6">
        <v>42935.362369444447</v>
      </c>
      <c r="F194" s="2" t="s">
        <v>26</v>
      </c>
      <c r="G194" s="2" t="s">
        <v>26</v>
      </c>
      <c r="H194" s="2" t="s">
        <v>26</v>
      </c>
      <c r="I194" s="2" t="s">
        <v>26</v>
      </c>
      <c r="J194" s="2" t="s">
        <v>26</v>
      </c>
      <c r="K194" s="2" t="s">
        <v>8</v>
      </c>
      <c r="L194" s="2" t="s">
        <v>27</v>
      </c>
      <c r="M194" s="2" t="s">
        <v>45</v>
      </c>
      <c r="N194" s="2" t="s">
        <v>630</v>
      </c>
      <c r="O194" s="2" t="s">
        <v>120</v>
      </c>
      <c r="P194" s="5">
        <v>890088788</v>
      </c>
      <c r="R194" s="2" t="s">
        <v>631</v>
      </c>
      <c r="S194" s="2" t="s">
        <v>37</v>
      </c>
      <c r="T194" s="2" t="s">
        <v>387</v>
      </c>
      <c r="U194" s="2">
        <v>2008</v>
      </c>
      <c r="V194" s="6">
        <v>42713</v>
      </c>
      <c r="W194" s="3" t="s">
        <v>632</v>
      </c>
      <c r="X194" s="23">
        <v>5900</v>
      </c>
    </row>
    <row r="195" spans="1:24" x14ac:dyDescent="0.2">
      <c r="A195" s="2">
        <v>1702019</v>
      </c>
      <c r="B195" s="6">
        <v>42772.580393634256</v>
      </c>
      <c r="C195" s="6">
        <v>42819.739731712965</v>
      </c>
      <c r="E195" s="6" t="s">
        <v>1511</v>
      </c>
      <c r="F195" s="2" t="s">
        <v>92</v>
      </c>
      <c r="G195" s="2" t="s">
        <v>11</v>
      </c>
      <c r="H195" s="2" t="s">
        <v>93</v>
      </c>
      <c r="I195" s="2" t="s">
        <v>94</v>
      </c>
      <c r="J195" s="2" t="s">
        <v>95</v>
      </c>
      <c r="K195" s="2" t="s">
        <v>8</v>
      </c>
      <c r="L195" s="2" t="s">
        <v>27</v>
      </c>
      <c r="M195" s="2" t="s">
        <v>295</v>
      </c>
      <c r="N195" s="2" t="s">
        <v>633</v>
      </c>
      <c r="O195" s="2" t="s">
        <v>186</v>
      </c>
      <c r="P195" s="5">
        <v>867748114</v>
      </c>
      <c r="R195" s="2" t="s">
        <v>634</v>
      </c>
      <c r="S195" s="2" t="s">
        <v>49</v>
      </c>
      <c r="T195" s="2" t="s">
        <v>79</v>
      </c>
      <c r="U195" s="2">
        <v>2013</v>
      </c>
      <c r="V195" s="6">
        <v>43022</v>
      </c>
      <c r="W195" s="3" t="s">
        <v>57</v>
      </c>
      <c r="X195" s="23">
        <v>4607.47</v>
      </c>
    </row>
    <row r="196" spans="1:24" x14ac:dyDescent="0.2">
      <c r="A196" s="2">
        <v>1702020</v>
      </c>
      <c r="B196" s="6">
        <v>42772.583988541664</v>
      </c>
      <c r="C196" s="6">
        <v>42801.392618634258</v>
      </c>
      <c r="E196" s="6">
        <v>42835.466118518518</v>
      </c>
      <c r="F196" s="2" t="s">
        <v>26</v>
      </c>
      <c r="G196" s="2" t="s">
        <v>26</v>
      </c>
      <c r="H196" s="2" t="s">
        <v>93</v>
      </c>
      <c r="I196" s="2" t="s">
        <v>26</v>
      </c>
      <c r="J196" s="2" t="s">
        <v>26</v>
      </c>
      <c r="K196" s="2" t="s">
        <v>8</v>
      </c>
      <c r="L196" s="2" t="s">
        <v>27</v>
      </c>
      <c r="M196" s="2" t="s">
        <v>61</v>
      </c>
      <c r="N196" s="2" t="s">
        <v>635</v>
      </c>
      <c r="O196" s="2" t="s">
        <v>47</v>
      </c>
      <c r="P196" s="5">
        <v>843872040</v>
      </c>
      <c r="R196" s="2" t="s">
        <v>636</v>
      </c>
      <c r="S196" s="2" t="s">
        <v>49</v>
      </c>
      <c r="T196" s="2" t="s">
        <v>130</v>
      </c>
      <c r="U196" s="2">
        <v>2012</v>
      </c>
      <c r="V196" s="6" t="s">
        <v>72</v>
      </c>
    </row>
    <row r="197" spans="1:24" x14ac:dyDescent="0.2">
      <c r="A197" s="2">
        <v>1702021</v>
      </c>
      <c r="B197" s="6">
        <v>42772.608256250001</v>
      </c>
      <c r="F197" s="2" t="s">
        <v>126</v>
      </c>
      <c r="G197" s="2" t="s">
        <v>126</v>
      </c>
      <c r="H197" s="2" t="s">
        <v>126</v>
      </c>
      <c r="I197" s="2" t="s">
        <v>126</v>
      </c>
      <c r="J197" s="2" t="s">
        <v>126</v>
      </c>
      <c r="K197" s="2" t="s">
        <v>8</v>
      </c>
      <c r="L197" s="2" t="s">
        <v>34</v>
      </c>
      <c r="M197" s="2" t="s">
        <v>61</v>
      </c>
      <c r="N197" s="2" t="s">
        <v>637</v>
      </c>
      <c r="O197" s="2" t="s">
        <v>41</v>
      </c>
      <c r="P197" s="5">
        <v>816580782</v>
      </c>
      <c r="R197" s="2" t="s">
        <v>638</v>
      </c>
      <c r="S197" s="2" t="s">
        <v>49</v>
      </c>
      <c r="T197" s="2" t="s">
        <v>111</v>
      </c>
      <c r="U197" s="2">
        <v>2011</v>
      </c>
      <c r="V197" s="6">
        <v>42780</v>
      </c>
      <c r="W197" s="3" t="s">
        <v>57</v>
      </c>
      <c r="X197" s="23">
        <v>3900</v>
      </c>
    </row>
    <row r="198" spans="1:24" x14ac:dyDescent="0.2">
      <c r="A198" s="2">
        <v>1702022</v>
      </c>
      <c r="B198" s="6">
        <v>42772.611950115737</v>
      </c>
      <c r="C198" s="6">
        <v>42807.735602777779</v>
      </c>
      <c r="D198" s="6">
        <v>42819</v>
      </c>
      <c r="E198" s="6">
        <v>42829.73029097222</v>
      </c>
      <c r="F198" s="2" t="s">
        <v>26</v>
      </c>
      <c r="G198" s="2" t="s">
        <v>26</v>
      </c>
      <c r="H198" s="2" t="s">
        <v>93</v>
      </c>
      <c r="I198" s="2" t="s">
        <v>26</v>
      </c>
      <c r="J198" s="2" t="s">
        <v>26</v>
      </c>
      <c r="K198" s="2" t="s">
        <v>8</v>
      </c>
      <c r="L198" s="2" t="s">
        <v>27</v>
      </c>
      <c r="M198" s="2" t="s">
        <v>28</v>
      </c>
      <c r="N198" s="2" t="s">
        <v>639</v>
      </c>
      <c r="O198" s="2" t="s">
        <v>157</v>
      </c>
      <c r="P198" s="5">
        <v>948829356</v>
      </c>
      <c r="R198" s="2" t="s">
        <v>640</v>
      </c>
      <c r="S198" s="2" t="s">
        <v>31</v>
      </c>
      <c r="T198" s="2" t="s">
        <v>116</v>
      </c>
      <c r="U198" s="2">
        <v>2012</v>
      </c>
      <c r="V198" s="6">
        <v>42796</v>
      </c>
      <c r="W198" s="3" t="s">
        <v>641</v>
      </c>
      <c r="X198" s="23">
        <v>4051.4</v>
      </c>
    </row>
    <row r="199" spans="1:24" x14ac:dyDescent="0.2">
      <c r="A199" s="2">
        <v>1702023</v>
      </c>
      <c r="B199" s="6">
        <v>42772.624219907404</v>
      </c>
      <c r="C199" s="6">
        <v>42805.418954050925</v>
      </c>
      <c r="D199" s="6">
        <v>42805</v>
      </c>
      <c r="E199" s="6">
        <v>42805.419596643522</v>
      </c>
      <c r="F199" s="2" t="s">
        <v>26</v>
      </c>
      <c r="G199" s="2" t="s">
        <v>26</v>
      </c>
      <c r="H199" s="2" t="s">
        <v>95</v>
      </c>
      <c r="I199" s="2" t="s">
        <v>26</v>
      </c>
      <c r="J199" s="2" t="s">
        <v>26</v>
      </c>
      <c r="K199" s="2" t="s">
        <v>8</v>
      </c>
      <c r="L199" s="2" t="s">
        <v>34</v>
      </c>
      <c r="M199" s="2" t="s">
        <v>45</v>
      </c>
      <c r="N199" s="2" t="s">
        <v>642</v>
      </c>
      <c r="O199" s="2" t="s">
        <v>53</v>
      </c>
      <c r="P199" s="5">
        <v>873237502</v>
      </c>
      <c r="R199" s="2" t="s">
        <v>643</v>
      </c>
      <c r="S199" s="2" t="s">
        <v>31</v>
      </c>
      <c r="T199" s="2" t="s">
        <v>382</v>
      </c>
      <c r="U199" s="2">
        <v>2005</v>
      </c>
      <c r="V199" s="6">
        <v>42785</v>
      </c>
      <c r="W199" s="3" t="s">
        <v>143</v>
      </c>
      <c r="X199" s="23">
        <v>11366.36</v>
      </c>
    </row>
    <row r="200" spans="1:24" x14ac:dyDescent="0.2">
      <c r="A200" s="2">
        <v>1702024</v>
      </c>
      <c r="B200" s="6">
        <v>42772.627199652779</v>
      </c>
      <c r="C200" s="6">
        <v>42800.674978009258</v>
      </c>
      <c r="E200" s="6">
        <v>42823.416075000001</v>
      </c>
      <c r="F200" s="2" t="s">
        <v>26</v>
      </c>
      <c r="G200" s="2" t="s">
        <v>26</v>
      </c>
      <c r="H200" s="2" t="s">
        <v>93</v>
      </c>
      <c r="I200" s="2" t="s">
        <v>26</v>
      </c>
      <c r="J200" s="2" t="s">
        <v>26</v>
      </c>
      <c r="K200" s="2" t="s">
        <v>8</v>
      </c>
      <c r="L200" s="2" t="s">
        <v>27</v>
      </c>
      <c r="M200" s="2" t="s">
        <v>61</v>
      </c>
      <c r="N200" s="2" t="s">
        <v>644</v>
      </c>
      <c r="O200" s="2" t="s">
        <v>234</v>
      </c>
      <c r="P200" s="5">
        <v>819279293</v>
      </c>
      <c r="R200" s="2" t="s">
        <v>645</v>
      </c>
      <c r="S200" s="2" t="s">
        <v>49</v>
      </c>
      <c r="T200" s="2" t="s">
        <v>111</v>
      </c>
      <c r="V200" s="6" t="s">
        <v>72</v>
      </c>
      <c r="X200" s="23">
        <v>3900</v>
      </c>
    </row>
    <row r="201" spans="1:24" x14ac:dyDescent="0.2">
      <c r="A201" s="2">
        <v>1702025</v>
      </c>
      <c r="B201" s="6">
        <v>42772.631764583333</v>
      </c>
      <c r="C201" s="6">
        <v>42787.703483680554</v>
      </c>
      <c r="E201" s="6">
        <v>42815.599762152779</v>
      </c>
      <c r="F201" s="2" t="s">
        <v>26</v>
      </c>
      <c r="G201" s="2" t="s">
        <v>26</v>
      </c>
      <c r="H201" s="2" t="s">
        <v>93</v>
      </c>
      <c r="I201" s="2" t="s">
        <v>26</v>
      </c>
      <c r="J201" s="2" t="s">
        <v>26</v>
      </c>
      <c r="K201" s="2" t="s">
        <v>8</v>
      </c>
      <c r="L201" s="2" t="s">
        <v>27</v>
      </c>
      <c r="M201" s="2" t="s">
        <v>45</v>
      </c>
      <c r="N201" s="2" t="s">
        <v>646</v>
      </c>
      <c r="O201" s="2" t="s">
        <v>114</v>
      </c>
      <c r="P201" s="5">
        <v>952453664</v>
      </c>
      <c r="R201" s="2" t="s">
        <v>647</v>
      </c>
      <c r="S201" s="2" t="s">
        <v>49</v>
      </c>
      <c r="T201" s="2" t="s">
        <v>130</v>
      </c>
      <c r="U201" s="2">
        <v>2010</v>
      </c>
      <c r="V201" s="6" t="s">
        <v>72</v>
      </c>
      <c r="X201" s="23">
        <v>2000</v>
      </c>
    </row>
    <row r="202" spans="1:24" x14ac:dyDescent="0.2">
      <c r="A202" s="2">
        <v>1702026</v>
      </c>
      <c r="B202" s="6">
        <v>42772.633526736114</v>
      </c>
      <c r="C202" s="6">
        <v>42870.706769328703</v>
      </c>
      <c r="D202" s="6">
        <v>42879</v>
      </c>
      <c r="E202" s="6">
        <v>42887.553194791668</v>
      </c>
      <c r="F202" s="2" t="s">
        <v>26</v>
      </c>
      <c r="G202" s="2" t="s">
        <v>26</v>
      </c>
      <c r="H202" s="2" t="s">
        <v>26</v>
      </c>
      <c r="I202" s="2" t="s">
        <v>26</v>
      </c>
      <c r="J202" s="2" t="s">
        <v>26</v>
      </c>
      <c r="K202" s="2" t="s">
        <v>8</v>
      </c>
      <c r="L202" s="2" t="s">
        <v>27</v>
      </c>
      <c r="M202" s="2" t="s">
        <v>295</v>
      </c>
      <c r="N202" s="2" t="s">
        <v>648</v>
      </c>
      <c r="O202" s="2" t="s">
        <v>208</v>
      </c>
      <c r="P202" s="5">
        <v>917279991</v>
      </c>
      <c r="R202" s="2" t="s">
        <v>649</v>
      </c>
      <c r="S202" s="2" t="s">
        <v>55</v>
      </c>
      <c r="T202" s="2" t="s">
        <v>56</v>
      </c>
      <c r="U202" s="2">
        <v>2012</v>
      </c>
      <c r="V202" s="6" t="s">
        <v>72</v>
      </c>
      <c r="X202" s="23">
        <v>9390</v>
      </c>
    </row>
    <row r="203" spans="1:24" x14ac:dyDescent="0.2">
      <c r="A203" s="2">
        <v>1702027</v>
      </c>
      <c r="B203" s="6">
        <v>42772.63716539352</v>
      </c>
      <c r="C203" s="6">
        <v>42772.660640509261</v>
      </c>
      <c r="D203" s="6">
        <v>42776</v>
      </c>
      <c r="E203" s="6">
        <v>42782.555748726852</v>
      </c>
      <c r="F203" s="2">
        <v>3.3393594907392981</v>
      </c>
      <c r="G203" s="2" t="s">
        <v>11</v>
      </c>
      <c r="H203" s="2" t="s">
        <v>93</v>
      </c>
      <c r="I203" s="2" t="s">
        <v>94</v>
      </c>
      <c r="J203" s="2" t="s">
        <v>95</v>
      </c>
      <c r="K203" s="2" t="s">
        <v>8</v>
      </c>
      <c r="L203" s="2" t="s">
        <v>34</v>
      </c>
      <c r="M203" s="2" t="s">
        <v>28</v>
      </c>
      <c r="N203" s="2" t="s">
        <v>650</v>
      </c>
      <c r="O203" s="2" t="s">
        <v>68</v>
      </c>
      <c r="P203" s="5">
        <v>814073255</v>
      </c>
      <c r="R203" s="2" t="s">
        <v>651</v>
      </c>
      <c r="S203" s="2" t="s">
        <v>70</v>
      </c>
      <c r="T203" s="2" t="s">
        <v>317</v>
      </c>
      <c r="U203" s="2">
        <v>2012</v>
      </c>
      <c r="V203" s="6" t="s">
        <v>72</v>
      </c>
    </row>
    <row r="204" spans="1:24" x14ac:dyDescent="0.2">
      <c r="A204" s="2">
        <v>1702028</v>
      </c>
      <c r="B204" s="6">
        <v>42772.638975231479</v>
      </c>
      <c r="C204" s="6">
        <v>42772.663824421295</v>
      </c>
      <c r="D204" s="6">
        <v>42776</v>
      </c>
      <c r="E204" s="6">
        <v>42783.475358912037</v>
      </c>
      <c r="F204" s="2">
        <v>3.3361755787045695</v>
      </c>
      <c r="G204" s="2" t="s">
        <v>11</v>
      </c>
      <c r="H204" s="2" t="s">
        <v>93</v>
      </c>
      <c r="I204" s="2" t="s">
        <v>94</v>
      </c>
      <c r="J204" s="2" t="s">
        <v>95</v>
      </c>
      <c r="K204" s="2" t="s">
        <v>8</v>
      </c>
      <c r="L204" s="2" t="s">
        <v>27</v>
      </c>
      <c r="M204" s="2" t="s">
        <v>28</v>
      </c>
      <c r="N204" s="2" t="s">
        <v>652</v>
      </c>
      <c r="O204" s="2" t="s">
        <v>59</v>
      </c>
      <c r="P204" s="5">
        <v>819110590</v>
      </c>
      <c r="R204" s="2" t="s">
        <v>653</v>
      </c>
      <c r="S204" s="2" t="s">
        <v>31</v>
      </c>
      <c r="T204" s="2" t="s">
        <v>116</v>
      </c>
      <c r="U204" s="2">
        <v>2010</v>
      </c>
      <c r="V204" s="6">
        <v>42909</v>
      </c>
      <c r="W204" s="3" t="s">
        <v>194</v>
      </c>
      <c r="X204" s="23">
        <v>1563.4</v>
      </c>
    </row>
    <row r="205" spans="1:24" x14ac:dyDescent="0.2">
      <c r="A205" s="2">
        <v>1702029</v>
      </c>
      <c r="B205" s="6">
        <v>42772.653061111108</v>
      </c>
      <c r="C205" s="6">
        <v>42772.666038773146</v>
      </c>
      <c r="D205" s="6">
        <v>42775</v>
      </c>
      <c r="E205" s="6">
        <v>42777.710839467596</v>
      </c>
      <c r="F205" s="2">
        <v>2.3339612268537167</v>
      </c>
      <c r="G205" s="2" t="s">
        <v>11</v>
      </c>
      <c r="H205" s="2" t="s">
        <v>93</v>
      </c>
      <c r="I205" s="2" t="s">
        <v>95</v>
      </c>
      <c r="J205" s="2" t="s">
        <v>95</v>
      </c>
      <c r="K205" s="2" t="s">
        <v>8</v>
      </c>
      <c r="L205" s="2" t="s">
        <v>34</v>
      </c>
      <c r="M205" s="2" t="s">
        <v>81</v>
      </c>
      <c r="N205" s="2" t="s">
        <v>654</v>
      </c>
      <c r="O205" s="2" t="s">
        <v>68</v>
      </c>
      <c r="P205" s="5">
        <v>802170804</v>
      </c>
      <c r="R205" s="2" t="s">
        <v>655</v>
      </c>
      <c r="S205" s="2" t="s">
        <v>70</v>
      </c>
      <c r="V205" s="6" t="s">
        <v>72</v>
      </c>
      <c r="X205" s="23">
        <v>3747</v>
      </c>
    </row>
    <row r="206" spans="1:24" x14ac:dyDescent="0.2">
      <c r="A206" s="2">
        <v>1702030</v>
      </c>
      <c r="B206" s="6">
        <v>42772.678594212965</v>
      </c>
      <c r="C206" s="6">
        <v>42772.701455092596</v>
      </c>
      <c r="D206" s="6">
        <v>42776</v>
      </c>
      <c r="E206" s="6">
        <v>42780.709136111109</v>
      </c>
      <c r="F206" s="2">
        <v>3.2985449074039934</v>
      </c>
      <c r="G206" s="2" t="s">
        <v>11</v>
      </c>
      <c r="H206" s="2" t="s">
        <v>93</v>
      </c>
      <c r="I206" s="2" t="s">
        <v>94</v>
      </c>
      <c r="J206" s="2" t="s">
        <v>95</v>
      </c>
      <c r="K206" s="2" t="s">
        <v>8</v>
      </c>
      <c r="L206" s="2" t="s">
        <v>34</v>
      </c>
      <c r="M206" s="2" t="s">
        <v>45</v>
      </c>
      <c r="N206" s="2" t="s">
        <v>656</v>
      </c>
      <c r="O206" s="2" t="s">
        <v>657</v>
      </c>
      <c r="P206" s="5">
        <v>866691725</v>
      </c>
      <c r="R206" s="2" t="s">
        <v>658</v>
      </c>
      <c r="S206" s="2" t="s">
        <v>183</v>
      </c>
      <c r="T206" s="2" t="s">
        <v>373</v>
      </c>
      <c r="U206" s="2">
        <v>2013</v>
      </c>
      <c r="V206" s="6">
        <v>42851</v>
      </c>
      <c r="W206" s="3" t="s">
        <v>517</v>
      </c>
      <c r="X206" s="23">
        <v>5029</v>
      </c>
    </row>
    <row r="207" spans="1:24" x14ac:dyDescent="0.2">
      <c r="A207" s="2">
        <v>1702031</v>
      </c>
      <c r="B207" s="6">
        <v>42772.698269907407</v>
      </c>
      <c r="C207" s="6">
        <v>42772.705240393516</v>
      </c>
      <c r="D207" s="6">
        <v>42781</v>
      </c>
      <c r="E207" s="6" t="s">
        <v>1511</v>
      </c>
      <c r="F207" s="2">
        <v>8.2947596064841491</v>
      </c>
      <c r="G207" s="2" t="s">
        <v>11</v>
      </c>
      <c r="H207" s="2" t="s">
        <v>93</v>
      </c>
      <c r="I207" s="2" t="s">
        <v>94</v>
      </c>
      <c r="J207" s="2" t="s">
        <v>95</v>
      </c>
      <c r="K207" s="2" t="s">
        <v>8</v>
      </c>
      <c r="L207" s="2" t="s">
        <v>34</v>
      </c>
      <c r="M207" s="2" t="s">
        <v>28</v>
      </c>
      <c r="N207" s="2" t="s">
        <v>659</v>
      </c>
      <c r="O207" s="2" t="s">
        <v>68</v>
      </c>
      <c r="P207" s="5">
        <v>923986918</v>
      </c>
      <c r="R207" s="2" t="s">
        <v>660</v>
      </c>
      <c r="S207" s="2" t="s">
        <v>37</v>
      </c>
      <c r="T207" s="2" t="s">
        <v>102</v>
      </c>
      <c r="U207" s="2">
        <v>2012</v>
      </c>
      <c r="V207" s="6">
        <v>42886</v>
      </c>
      <c r="W207" s="3" t="s">
        <v>661</v>
      </c>
    </row>
    <row r="208" spans="1:24" x14ac:dyDescent="0.2">
      <c r="A208" s="2">
        <v>1702032</v>
      </c>
      <c r="B208" s="6">
        <v>42773.733270717596</v>
      </c>
      <c r="C208" s="6">
        <v>42773.74392291667</v>
      </c>
      <c r="D208" s="6">
        <v>42777</v>
      </c>
      <c r="E208" s="6" t="s">
        <v>1511</v>
      </c>
      <c r="F208" s="2">
        <v>3.2560770833297283</v>
      </c>
      <c r="G208" s="2" t="s">
        <v>26</v>
      </c>
      <c r="H208" s="2" t="s">
        <v>95</v>
      </c>
      <c r="I208" s="2" t="s">
        <v>26</v>
      </c>
      <c r="J208" s="2" t="s">
        <v>26</v>
      </c>
      <c r="K208" s="2" t="s">
        <v>8</v>
      </c>
      <c r="L208" s="2" t="s">
        <v>27</v>
      </c>
      <c r="M208" s="2" t="s">
        <v>81</v>
      </c>
      <c r="N208" s="2" t="s">
        <v>662</v>
      </c>
      <c r="O208" s="2" t="s">
        <v>520</v>
      </c>
      <c r="P208" s="5">
        <v>614038762</v>
      </c>
      <c r="R208" s="2" t="s">
        <v>663</v>
      </c>
      <c r="S208" s="2" t="s">
        <v>49</v>
      </c>
      <c r="T208" s="2" t="s">
        <v>50</v>
      </c>
      <c r="U208" s="2">
        <v>2009</v>
      </c>
      <c r="V208" s="6">
        <v>42902</v>
      </c>
      <c r="W208" s="3" t="s">
        <v>509</v>
      </c>
      <c r="X208" s="23">
        <v>321</v>
      </c>
    </row>
    <row r="209" spans="1:24" x14ac:dyDescent="0.2">
      <c r="A209" s="2">
        <v>1702033</v>
      </c>
      <c r="B209" s="6">
        <v>42773.734846296298</v>
      </c>
      <c r="C209" s="6">
        <v>42773.74392291667</v>
      </c>
      <c r="D209" s="6">
        <v>42777</v>
      </c>
      <c r="E209" s="6" t="s">
        <v>1511</v>
      </c>
      <c r="F209" s="2">
        <v>3.2560770833297283</v>
      </c>
      <c r="G209" s="2" t="s">
        <v>95</v>
      </c>
      <c r="H209" s="2" t="s">
        <v>93</v>
      </c>
      <c r="I209" s="2" t="s">
        <v>94</v>
      </c>
      <c r="J209" s="2" t="s">
        <v>95</v>
      </c>
      <c r="K209" s="2" t="s">
        <v>8</v>
      </c>
      <c r="L209" s="2" t="s">
        <v>73</v>
      </c>
      <c r="M209" s="2" t="s">
        <v>66</v>
      </c>
      <c r="N209" s="2" t="s">
        <v>662</v>
      </c>
      <c r="O209" s="2" t="s">
        <v>520</v>
      </c>
      <c r="P209" s="5">
        <v>614038762</v>
      </c>
      <c r="Q209" s="5">
        <v>0</v>
      </c>
      <c r="R209" s="2" t="s">
        <v>663</v>
      </c>
      <c r="S209" s="2" t="s">
        <v>49</v>
      </c>
      <c r="T209" s="2" t="s">
        <v>50</v>
      </c>
      <c r="U209" s="2">
        <v>2009</v>
      </c>
      <c r="V209" s="6">
        <v>42902</v>
      </c>
      <c r="W209" s="3" t="s">
        <v>509</v>
      </c>
      <c r="X209" s="23">
        <v>6000</v>
      </c>
    </row>
    <row r="210" spans="1:24" x14ac:dyDescent="0.2">
      <c r="A210" s="2">
        <v>1702034</v>
      </c>
      <c r="B210" s="6">
        <v>42774.44185949074</v>
      </c>
      <c r="C210" s="6">
        <v>42801.410388194447</v>
      </c>
      <c r="E210" s="6">
        <v>42830.592579166667</v>
      </c>
      <c r="F210" s="2" t="s">
        <v>26</v>
      </c>
      <c r="G210" s="2" t="s">
        <v>26</v>
      </c>
      <c r="H210" s="2" t="s">
        <v>93</v>
      </c>
      <c r="I210" s="2" t="s">
        <v>26</v>
      </c>
      <c r="J210" s="2" t="s">
        <v>26</v>
      </c>
      <c r="K210" s="2" t="s">
        <v>8</v>
      </c>
      <c r="L210" s="2" t="s">
        <v>27</v>
      </c>
      <c r="M210" s="2" t="s">
        <v>45</v>
      </c>
      <c r="N210" s="2" t="s">
        <v>664</v>
      </c>
      <c r="O210" s="2" t="s">
        <v>208</v>
      </c>
      <c r="P210" s="5">
        <v>818665946</v>
      </c>
      <c r="R210" s="2" t="s">
        <v>665</v>
      </c>
      <c r="S210" s="2" t="s">
        <v>49</v>
      </c>
      <c r="T210" s="2" t="s">
        <v>111</v>
      </c>
      <c r="U210" s="2">
        <v>2008</v>
      </c>
      <c r="V210" s="6">
        <v>42975</v>
      </c>
      <c r="W210" s="3" t="s">
        <v>166</v>
      </c>
      <c r="X210" s="23">
        <v>12836.06</v>
      </c>
    </row>
    <row r="211" spans="1:24" x14ac:dyDescent="0.2">
      <c r="A211" s="2">
        <v>1702035</v>
      </c>
      <c r="B211" s="6">
        <v>42774.44415787037</v>
      </c>
      <c r="C211" s="6">
        <v>42796.395448263887</v>
      </c>
      <c r="E211" s="6">
        <v>42812.427869444444</v>
      </c>
      <c r="F211" s="2" t="s">
        <v>26</v>
      </c>
      <c r="G211" s="2" t="s">
        <v>26</v>
      </c>
      <c r="H211" s="2" t="s">
        <v>93</v>
      </c>
      <c r="I211" s="2" t="s">
        <v>26</v>
      </c>
      <c r="J211" s="2" t="s">
        <v>26</v>
      </c>
      <c r="K211" s="2" t="s">
        <v>8</v>
      </c>
      <c r="L211" s="2" t="s">
        <v>27</v>
      </c>
      <c r="M211" s="2" t="s">
        <v>28</v>
      </c>
      <c r="N211" s="2" t="s">
        <v>666</v>
      </c>
      <c r="O211" s="2" t="s">
        <v>41</v>
      </c>
      <c r="P211" s="5">
        <v>875047448</v>
      </c>
      <c r="R211" s="2" t="s">
        <v>667</v>
      </c>
      <c r="S211" s="2" t="s">
        <v>49</v>
      </c>
      <c r="T211" s="2" t="s">
        <v>79</v>
      </c>
      <c r="U211" s="2">
        <v>2012</v>
      </c>
      <c r="V211" s="6">
        <v>42835</v>
      </c>
      <c r="W211" s="3" t="s">
        <v>202</v>
      </c>
      <c r="X211" s="23">
        <v>0</v>
      </c>
    </row>
    <row r="212" spans="1:24" x14ac:dyDescent="0.2">
      <c r="A212" s="2">
        <v>1702036</v>
      </c>
      <c r="B212" s="6">
        <v>42774.446033680557</v>
      </c>
      <c r="C212" s="6">
        <v>42774.446598148148</v>
      </c>
      <c r="D212" s="6">
        <v>0</v>
      </c>
      <c r="E212" s="6">
        <v>42822.584144907407</v>
      </c>
      <c r="F212" s="2" t="s">
        <v>26</v>
      </c>
      <c r="G212" s="2" t="s">
        <v>26</v>
      </c>
      <c r="H212" s="2" t="s">
        <v>93</v>
      </c>
      <c r="I212" s="2" t="s">
        <v>26</v>
      </c>
      <c r="J212" s="2" t="s">
        <v>26</v>
      </c>
      <c r="K212" s="2" t="s">
        <v>8</v>
      </c>
      <c r="L212" s="2" t="s">
        <v>170</v>
      </c>
      <c r="M212" s="2" t="s">
        <v>118</v>
      </c>
      <c r="N212" s="2" t="s">
        <v>668</v>
      </c>
      <c r="O212" s="2" t="s">
        <v>41</v>
      </c>
      <c r="P212" s="5">
        <v>902469526</v>
      </c>
      <c r="Q212" s="5">
        <v>623232452</v>
      </c>
      <c r="R212" s="2" t="s">
        <v>669</v>
      </c>
      <c r="S212" s="2" t="s">
        <v>49</v>
      </c>
      <c r="T212" s="2" t="s">
        <v>670</v>
      </c>
      <c r="U212" s="2">
        <v>2000</v>
      </c>
      <c r="V212" s="6">
        <v>42931</v>
      </c>
      <c r="W212" s="3" t="s">
        <v>671</v>
      </c>
      <c r="X212" s="23">
        <v>12471.9</v>
      </c>
    </row>
    <row r="213" spans="1:24" x14ac:dyDescent="0.2">
      <c r="A213" s="2">
        <v>1702037</v>
      </c>
      <c r="B213" s="6">
        <v>42774.555168171297</v>
      </c>
      <c r="C213" s="6">
        <v>42774.558436458334</v>
      </c>
      <c r="D213" s="6">
        <v>42781</v>
      </c>
      <c r="E213" s="6">
        <v>42784.494228124997</v>
      </c>
      <c r="F213" s="2">
        <v>6.4415635416662553</v>
      </c>
      <c r="G213" s="2" t="s">
        <v>11</v>
      </c>
      <c r="H213" s="2" t="s">
        <v>93</v>
      </c>
      <c r="I213" s="2" t="s">
        <v>94</v>
      </c>
      <c r="J213" s="2" t="s">
        <v>95</v>
      </c>
      <c r="K213" s="2" t="s">
        <v>8</v>
      </c>
      <c r="L213" s="2" t="s">
        <v>27</v>
      </c>
      <c r="M213" s="2" t="s">
        <v>28</v>
      </c>
      <c r="N213" s="2" t="s">
        <v>672</v>
      </c>
      <c r="O213" s="2" t="s">
        <v>208</v>
      </c>
      <c r="P213" s="5">
        <v>890485714</v>
      </c>
      <c r="Q213" s="5">
        <v>879252684</v>
      </c>
      <c r="R213" s="2" t="s">
        <v>673</v>
      </c>
      <c r="S213" s="2" t="s">
        <v>49</v>
      </c>
      <c r="T213" s="2" t="s">
        <v>79</v>
      </c>
      <c r="U213" s="2">
        <v>2013</v>
      </c>
      <c r="V213" s="6">
        <v>42926</v>
      </c>
      <c r="W213" s="3" t="s">
        <v>112</v>
      </c>
      <c r="X213" s="23">
        <v>2869.12</v>
      </c>
    </row>
    <row r="214" spans="1:24" x14ac:dyDescent="0.2">
      <c r="A214" s="2">
        <v>1702038</v>
      </c>
      <c r="B214" s="6">
        <v>42775.62646284722</v>
      </c>
      <c r="E214" s="6">
        <v>42808.654084490743</v>
      </c>
      <c r="F214" s="2" t="s">
        <v>26</v>
      </c>
      <c r="G214" s="2" t="s">
        <v>26</v>
      </c>
      <c r="H214" s="2" t="s">
        <v>126</v>
      </c>
      <c r="I214" s="2" t="s">
        <v>26</v>
      </c>
      <c r="J214" s="2" t="s">
        <v>26</v>
      </c>
      <c r="K214" s="2" t="s">
        <v>8</v>
      </c>
      <c r="L214" s="2" t="s">
        <v>73</v>
      </c>
      <c r="M214" s="2" t="s">
        <v>81</v>
      </c>
      <c r="N214" s="2" t="s">
        <v>674</v>
      </c>
      <c r="O214" s="2" t="s">
        <v>120</v>
      </c>
      <c r="P214" s="5">
        <v>870442156</v>
      </c>
      <c r="R214" s="2" t="s">
        <v>675</v>
      </c>
      <c r="S214" s="2" t="s">
        <v>31</v>
      </c>
      <c r="T214" s="2" t="s">
        <v>283</v>
      </c>
      <c r="U214" s="2">
        <v>2007</v>
      </c>
      <c r="V214" s="6">
        <v>43085</v>
      </c>
      <c r="W214" s="3" t="s">
        <v>581</v>
      </c>
      <c r="X214" s="23">
        <v>4060</v>
      </c>
    </row>
    <row r="215" spans="1:24" x14ac:dyDescent="0.2">
      <c r="A215" s="2">
        <v>1702039</v>
      </c>
      <c r="B215" s="6">
        <v>42776.354999189818</v>
      </c>
      <c r="C215" s="6">
        <v>42776.359230324073</v>
      </c>
      <c r="D215" s="6">
        <v>42781</v>
      </c>
      <c r="E215" s="6">
        <v>42787.43200601852</v>
      </c>
      <c r="F215" s="2" t="s">
        <v>26</v>
      </c>
      <c r="G215" s="2" t="s">
        <v>26</v>
      </c>
      <c r="H215" s="2" t="s">
        <v>93</v>
      </c>
      <c r="I215" s="2" t="s">
        <v>26</v>
      </c>
      <c r="J215" s="2" t="s">
        <v>26</v>
      </c>
      <c r="K215" s="2" t="s">
        <v>8</v>
      </c>
      <c r="L215" s="2" t="s">
        <v>27</v>
      </c>
      <c r="M215" s="2" t="s">
        <v>28</v>
      </c>
      <c r="N215" s="2" t="s">
        <v>676</v>
      </c>
      <c r="O215" s="2" t="s">
        <v>114</v>
      </c>
      <c r="P215" s="5">
        <v>874078691</v>
      </c>
      <c r="Q215" s="5">
        <v>827360329</v>
      </c>
      <c r="R215" s="2" t="s">
        <v>677</v>
      </c>
      <c r="S215" s="2" t="s">
        <v>49</v>
      </c>
      <c r="T215" s="2" t="s">
        <v>79</v>
      </c>
      <c r="U215" s="2">
        <v>2008</v>
      </c>
      <c r="V215" s="6">
        <v>42688</v>
      </c>
      <c r="W215" s="3" t="s">
        <v>641</v>
      </c>
      <c r="X215" s="23">
        <v>13690.08</v>
      </c>
    </row>
    <row r="216" spans="1:24" x14ac:dyDescent="0.2">
      <c r="A216" s="2">
        <v>1702040</v>
      </c>
      <c r="B216" s="6">
        <v>42776.615474768521</v>
      </c>
      <c r="C216" s="6">
        <v>42776.726401504631</v>
      </c>
      <c r="D216" s="6">
        <v>42801</v>
      </c>
      <c r="E216" s="6">
        <v>42818.489398379628</v>
      </c>
      <c r="F216" s="2" t="s">
        <v>26</v>
      </c>
      <c r="G216" s="2" t="s">
        <v>26</v>
      </c>
      <c r="H216" s="2" t="s">
        <v>93</v>
      </c>
      <c r="I216" s="2" t="s">
        <v>26</v>
      </c>
      <c r="J216" s="2" t="s">
        <v>26</v>
      </c>
      <c r="K216" s="2" t="s">
        <v>8</v>
      </c>
      <c r="L216" s="2" t="s">
        <v>73</v>
      </c>
      <c r="M216" s="2" t="s">
        <v>45</v>
      </c>
      <c r="N216" s="2" t="s">
        <v>678</v>
      </c>
      <c r="O216" s="2" t="s">
        <v>239</v>
      </c>
      <c r="P216" s="5">
        <v>815746461</v>
      </c>
      <c r="R216" s="2" t="s">
        <v>679</v>
      </c>
      <c r="S216" s="2" t="s">
        <v>64</v>
      </c>
      <c r="T216" s="2" t="s">
        <v>445</v>
      </c>
      <c r="U216" s="2">
        <v>2013</v>
      </c>
      <c r="V216" s="6" t="s">
        <v>72</v>
      </c>
      <c r="X216" s="23">
        <v>3788</v>
      </c>
    </row>
    <row r="217" spans="1:24" x14ac:dyDescent="0.2">
      <c r="A217" s="2">
        <v>1702041</v>
      </c>
      <c r="B217" s="6">
        <v>42776.668206712966</v>
      </c>
      <c r="F217" s="2" t="s">
        <v>126</v>
      </c>
      <c r="G217" s="2" t="s">
        <v>126</v>
      </c>
      <c r="H217" s="2" t="s">
        <v>126</v>
      </c>
      <c r="I217" s="2" t="s">
        <v>126</v>
      </c>
      <c r="J217" s="2" t="s">
        <v>126</v>
      </c>
      <c r="K217" s="2" t="s">
        <v>8</v>
      </c>
      <c r="L217" s="2" t="s">
        <v>34</v>
      </c>
      <c r="M217" s="2" t="s">
        <v>28</v>
      </c>
      <c r="N217" s="2" t="s">
        <v>680</v>
      </c>
      <c r="O217" s="2" t="s">
        <v>114</v>
      </c>
      <c r="P217" s="5">
        <v>944252940</v>
      </c>
      <c r="R217" s="2" t="s">
        <v>681</v>
      </c>
      <c r="S217" s="2" t="s">
        <v>31</v>
      </c>
      <c r="T217" s="2" t="s">
        <v>336</v>
      </c>
      <c r="U217" s="2">
        <v>2013</v>
      </c>
      <c r="V217" s="6">
        <v>42884</v>
      </c>
      <c r="W217" s="3" t="s">
        <v>148</v>
      </c>
      <c r="X217" s="23">
        <v>7455</v>
      </c>
    </row>
    <row r="218" spans="1:24" x14ac:dyDescent="0.2">
      <c r="A218" s="2">
        <v>1702042</v>
      </c>
      <c r="B218" s="6">
        <v>42776.669514814814</v>
      </c>
      <c r="C218" s="6">
        <v>42896.425005092591</v>
      </c>
      <c r="D218" s="6">
        <v>42896</v>
      </c>
      <c r="E218" s="6">
        <v>42896.746905439817</v>
      </c>
      <c r="F218" s="2" t="s">
        <v>26</v>
      </c>
      <c r="G218" s="2" t="s">
        <v>26</v>
      </c>
      <c r="H218" s="2" t="s">
        <v>26</v>
      </c>
      <c r="I218" s="2" t="s">
        <v>26</v>
      </c>
      <c r="J218" s="2" t="s">
        <v>26</v>
      </c>
      <c r="K218" s="2" t="s">
        <v>8</v>
      </c>
      <c r="L218" s="2" t="s">
        <v>34</v>
      </c>
      <c r="M218" s="2" t="s">
        <v>295</v>
      </c>
      <c r="N218" s="2" t="s">
        <v>682</v>
      </c>
      <c r="O218" s="2" t="s">
        <v>208</v>
      </c>
      <c r="P218" s="5">
        <v>814538605</v>
      </c>
      <c r="Q218" s="5">
        <v>814975516</v>
      </c>
      <c r="R218" s="2" t="s">
        <v>683</v>
      </c>
      <c r="S218" s="2" t="s">
        <v>49</v>
      </c>
      <c r="T218" s="2" t="s">
        <v>50</v>
      </c>
      <c r="U218" s="2">
        <v>2010</v>
      </c>
      <c r="V218" s="6">
        <v>42902</v>
      </c>
      <c r="W218" s="3" t="s">
        <v>509</v>
      </c>
      <c r="X218" s="23">
        <v>8000</v>
      </c>
    </row>
    <row r="219" spans="1:24" x14ac:dyDescent="0.2">
      <c r="A219" s="2">
        <v>1702043</v>
      </c>
      <c r="B219" s="6">
        <v>42776.712571180557</v>
      </c>
      <c r="C219" s="6">
        <v>42776.730804513893</v>
      </c>
      <c r="D219" s="6">
        <v>42786</v>
      </c>
      <c r="E219" s="6">
        <v>42789.747508912034</v>
      </c>
      <c r="F219" s="2" t="s">
        <v>26</v>
      </c>
      <c r="G219" s="2" t="s">
        <v>26</v>
      </c>
      <c r="H219" s="2" t="s">
        <v>93</v>
      </c>
      <c r="I219" s="2" t="s">
        <v>26</v>
      </c>
      <c r="J219" s="2" t="s">
        <v>26</v>
      </c>
      <c r="K219" s="2" t="s">
        <v>8</v>
      </c>
      <c r="L219" s="2" t="s">
        <v>27</v>
      </c>
      <c r="M219" s="2" t="s">
        <v>45</v>
      </c>
      <c r="N219" s="2" t="s">
        <v>684</v>
      </c>
      <c r="O219" s="2" t="s">
        <v>68</v>
      </c>
      <c r="P219" s="5">
        <v>818211653</v>
      </c>
      <c r="R219" s="2" t="s">
        <v>685</v>
      </c>
      <c r="S219" s="2" t="s">
        <v>31</v>
      </c>
      <c r="T219" s="2" t="s">
        <v>382</v>
      </c>
      <c r="U219" s="2">
        <v>2011</v>
      </c>
      <c r="V219" s="6">
        <v>42749</v>
      </c>
      <c r="W219" s="3" t="s">
        <v>65</v>
      </c>
      <c r="X219" s="23">
        <v>0</v>
      </c>
    </row>
    <row r="220" spans="1:24" x14ac:dyDescent="0.2">
      <c r="A220" s="2">
        <v>1702044</v>
      </c>
      <c r="B220" s="6">
        <v>42777.471313194445</v>
      </c>
      <c r="C220" s="6">
        <v>42807.719357407404</v>
      </c>
      <c r="D220" s="6">
        <v>42812</v>
      </c>
      <c r="E220" s="6">
        <v>42819.410426967595</v>
      </c>
      <c r="F220" s="2" t="s">
        <v>26</v>
      </c>
      <c r="G220" s="2" t="s">
        <v>26</v>
      </c>
      <c r="H220" s="2" t="s">
        <v>93</v>
      </c>
      <c r="I220" s="2" t="s">
        <v>26</v>
      </c>
      <c r="J220" s="2" t="s">
        <v>26</v>
      </c>
      <c r="K220" s="2" t="s">
        <v>8</v>
      </c>
      <c r="L220" s="2" t="s">
        <v>34</v>
      </c>
      <c r="M220" s="2" t="s">
        <v>45</v>
      </c>
      <c r="N220" s="2" t="s">
        <v>686</v>
      </c>
      <c r="O220" s="2" t="s">
        <v>687</v>
      </c>
      <c r="P220" s="5">
        <v>916989489</v>
      </c>
      <c r="R220" s="2" t="s">
        <v>688</v>
      </c>
      <c r="S220" s="2" t="s">
        <v>49</v>
      </c>
      <c r="T220" s="2" t="s">
        <v>79</v>
      </c>
      <c r="U220" s="2">
        <v>2011</v>
      </c>
      <c r="V220" s="6">
        <v>43119</v>
      </c>
      <c r="W220" s="3" t="s">
        <v>155</v>
      </c>
      <c r="X220" s="23">
        <v>70937.899999999994</v>
      </c>
    </row>
    <row r="221" spans="1:24" x14ac:dyDescent="0.2">
      <c r="A221" s="2">
        <v>1702045</v>
      </c>
      <c r="B221" s="6">
        <v>42777.473528703704</v>
      </c>
      <c r="F221" s="2" t="s">
        <v>126</v>
      </c>
      <c r="G221" s="2" t="s">
        <v>126</v>
      </c>
      <c r="H221" s="2" t="s">
        <v>126</v>
      </c>
      <c r="I221" s="2" t="s">
        <v>126</v>
      </c>
      <c r="J221" s="2" t="s">
        <v>126</v>
      </c>
      <c r="K221" s="2" t="s">
        <v>8</v>
      </c>
      <c r="L221" s="2" t="s">
        <v>27</v>
      </c>
      <c r="M221" s="2" t="s">
        <v>118</v>
      </c>
      <c r="N221" s="2" t="s">
        <v>689</v>
      </c>
      <c r="O221" s="2" t="s">
        <v>690</v>
      </c>
      <c r="P221" s="5">
        <v>896789369</v>
      </c>
      <c r="R221" s="2" t="s">
        <v>691</v>
      </c>
      <c r="S221" s="2" t="s">
        <v>70</v>
      </c>
      <c r="T221" s="2" t="s">
        <v>692</v>
      </c>
      <c r="V221" s="6" t="s">
        <v>72</v>
      </c>
    </row>
    <row r="222" spans="1:24" x14ac:dyDescent="0.2">
      <c r="A222" s="2">
        <v>1702046</v>
      </c>
      <c r="B222" s="6">
        <v>42777.713236689815</v>
      </c>
      <c r="C222" s="6">
        <v>42791.683651736108</v>
      </c>
      <c r="E222" s="6">
        <v>42798.73851354167</v>
      </c>
      <c r="F222" s="2" t="s">
        <v>26</v>
      </c>
      <c r="G222" s="2" t="s">
        <v>26</v>
      </c>
      <c r="H222" s="2" t="s">
        <v>93</v>
      </c>
      <c r="I222" s="2" t="s">
        <v>26</v>
      </c>
      <c r="J222" s="2" t="s">
        <v>26</v>
      </c>
      <c r="K222" s="2" t="s">
        <v>8</v>
      </c>
      <c r="L222" s="2" t="s">
        <v>27</v>
      </c>
      <c r="M222" s="2" t="s">
        <v>28</v>
      </c>
      <c r="N222" s="2" t="s">
        <v>693</v>
      </c>
      <c r="O222" s="2" t="s">
        <v>128</v>
      </c>
      <c r="P222" s="5">
        <v>971855881</v>
      </c>
      <c r="R222" s="2" t="s">
        <v>694</v>
      </c>
      <c r="S222" s="2" t="s">
        <v>64</v>
      </c>
      <c r="T222" s="2">
        <v>2</v>
      </c>
      <c r="U222" s="2">
        <v>2010</v>
      </c>
      <c r="V222" s="6">
        <v>42986</v>
      </c>
      <c r="W222" s="3" t="s">
        <v>361</v>
      </c>
      <c r="X222" s="23">
        <v>4738.32</v>
      </c>
    </row>
    <row r="223" spans="1:24" x14ac:dyDescent="0.2">
      <c r="A223" s="2">
        <v>1702047</v>
      </c>
      <c r="B223" s="6">
        <v>42777.715141550929</v>
      </c>
      <c r="C223" s="6">
        <v>42828.405811111108</v>
      </c>
      <c r="D223" s="6">
        <v>42835</v>
      </c>
      <c r="E223" s="6">
        <v>42843.385969560186</v>
      </c>
      <c r="F223" s="2" t="s">
        <v>26</v>
      </c>
      <c r="G223" s="2" t="s">
        <v>26</v>
      </c>
      <c r="H223" s="2" t="s">
        <v>93</v>
      </c>
      <c r="I223" s="2" t="s">
        <v>26</v>
      </c>
      <c r="J223" s="2" t="s">
        <v>26</v>
      </c>
      <c r="K223" s="2" t="s">
        <v>8</v>
      </c>
      <c r="L223" s="2" t="s">
        <v>27</v>
      </c>
      <c r="M223" s="2" t="s">
        <v>28</v>
      </c>
      <c r="N223" s="2" t="s">
        <v>695</v>
      </c>
      <c r="O223" s="2" t="s">
        <v>186</v>
      </c>
      <c r="P223" s="5">
        <v>942926162</v>
      </c>
      <c r="R223" s="2" t="s">
        <v>696</v>
      </c>
      <c r="S223" s="2" t="s">
        <v>55</v>
      </c>
      <c r="T223" s="2" t="s">
        <v>697</v>
      </c>
      <c r="U223" s="2">
        <v>2013</v>
      </c>
      <c r="V223" s="6" t="s">
        <v>72</v>
      </c>
      <c r="X223" s="23">
        <v>6000</v>
      </c>
    </row>
    <row r="224" spans="1:24" x14ac:dyDescent="0.2">
      <c r="A224" s="2">
        <v>1702048</v>
      </c>
      <c r="B224" s="6">
        <v>42779.482835532406</v>
      </c>
      <c r="C224" s="6">
        <v>42798.642113773145</v>
      </c>
      <c r="E224" s="6">
        <v>42812.422049421293</v>
      </c>
      <c r="F224" s="2" t="s">
        <v>26</v>
      </c>
      <c r="G224" s="2" t="s">
        <v>26</v>
      </c>
      <c r="H224" s="2" t="s">
        <v>93</v>
      </c>
      <c r="I224" s="2" t="s">
        <v>26</v>
      </c>
      <c r="J224" s="2" t="s">
        <v>26</v>
      </c>
      <c r="K224" s="2" t="s">
        <v>8</v>
      </c>
      <c r="L224" s="2" t="s">
        <v>27</v>
      </c>
      <c r="M224" s="2" t="s">
        <v>28</v>
      </c>
      <c r="N224" s="2" t="s">
        <v>698</v>
      </c>
      <c r="O224" s="2" t="s">
        <v>346</v>
      </c>
      <c r="P224" s="5">
        <v>900315120</v>
      </c>
      <c r="R224" s="2" t="s">
        <v>699</v>
      </c>
      <c r="S224" s="2" t="s">
        <v>31</v>
      </c>
      <c r="T224" s="2" t="s">
        <v>116</v>
      </c>
      <c r="U224" s="2">
        <v>2008</v>
      </c>
      <c r="V224" s="6">
        <v>42902</v>
      </c>
      <c r="W224" s="3" t="s">
        <v>219</v>
      </c>
      <c r="X224" s="23">
        <v>5600</v>
      </c>
    </row>
    <row r="225" spans="1:24" x14ac:dyDescent="0.2">
      <c r="A225" s="2">
        <v>1702049</v>
      </c>
      <c r="B225" s="6">
        <v>42779.490360300922</v>
      </c>
      <c r="C225" s="6">
        <v>42779.59664895833</v>
      </c>
      <c r="D225" s="6">
        <v>42784</v>
      </c>
      <c r="E225" s="6">
        <v>42791.4743787037</v>
      </c>
      <c r="F225" s="2" t="s">
        <v>26</v>
      </c>
      <c r="G225" s="2" t="s">
        <v>26</v>
      </c>
      <c r="H225" s="2" t="s">
        <v>93</v>
      </c>
      <c r="I225" s="2" t="s">
        <v>26</v>
      </c>
      <c r="J225" s="2" t="s">
        <v>26</v>
      </c>
      <c r="K225" s="2" t="s">
        <v>8</v>
      </c>
      <c r="L225" s="2" t="s">
        <v>27</v>
      </c>
      <c r="M225" s="2" t="s">
        <v>28</v>
      </c>
      <c r="N225" s="2" t="s">
        <v>700</v>
      </c>
      <c r="O225" s="2" t="s">
        <v>114</v>
      </c>
      <c r="P225" s="5">
        <v>890605959</v>
      </c>
      <c r="R225" s="2" t="s">
        <v>701</v>
      </c>
      <c r="S225" s="2" t="s">
        <v>49</v>
      </c>
      <c r="T225" s="2" t="s">
        <v>130</v>
      </c>
      <c r="U225" s="2">
        <v>2004</v>
      </c>
      <c r="V225" s="6">
        <v>42846</v>
      </c>
      <c r="W225" s="3" t="s">
        <v>143</v>
      </c>
      <c r="X225" s="23">
        <v>9449.9</v>
      </c>
    </row>
    <row r="226" spans="1:24" x14ac:dyDescent="0.2">
      <c r="A226" s="2">
        <v>1702050</v>
      </c>
      <c r="B226" s="6">
        <v>42779.491411342591</v>
      </c>
      <c r="C226" s="6">
        <v>42779.574116087962</v>
      </c>
      <c r="D226" s="6">
        <v>42783</v>
      </c>
      <c r="E226" s="6" t="s">
        <v>1511</v>
      </c>
      <c r="F226" s="2">
        <v>3.4258839120375342</v>
      </c>
      <c r="G226" s="2" t="s">
        <v>11</v>
      </c>
      <c r="H226" s="2" t="s">
        <v>93</v>
      </c>
      <c r="I226" s="2" t="s">
        <v>94</v>
      </c>
      <c r="J226" s="2" t="s">
        <v>95</v>
      </c>
      <c r="K226" s="2" t="s">
        <v>269</v>
      </c>
      <c r="L226" s="2" t="s">
        <v>27</v>
      </c>
      <c r="M226" s="2" t="s">
        <v>126</v>
      </c>
      <c r="N226" s="2" t="s">
        <v>702</v>
      </c>
      <c r="O226" s="2" t="s">
        <v>68</v>
      </c>
      <c r="P226" s="5">
        <v>823229784</v>
      </c>
      <c r="R226" s="2" t="s">
        <v>703</v>
      </c>
      <c r="S226" s="2" t="s">
        <v>31</v>
      </c>
      <c r="T226" s="2" t="s">
        <v>283</v>
      </c>
      <c r="X226" s="23">
        <v>5000</v>
      </c>
    </row>
    <row r="227" spans="1:24" x14ac:dyDescent="0.2">
      <c r="A227" s="2">
        <v>1702051</v>
      </c>
      <c r="B227" s="6">
        <v>42779.556534490737</v>
      </c>
      <c r="C227" s="6">
        <v>42779.578882870373</v>
      </c>
      <c r="D227" s="6">
        <v>42781</v>
      </c>
      <c r="E227" s="6">
        <v>42781.734838888886</v>
      </c>
      <c r="F227" s="2">
        <v>1.4211171296265093</v>
      </c>
      <c r="G227" s="2" t="s">
        <v>11</v>
      </c>
      <c r="H227" s="2" t="s">
        <v>93</v>
      </c>
      <c r="I227" s="2" t="s">
        <v>94</v>
      </c>
      <c r="J227" s="2" t="s">
        <v>95</v>
      </c>
      <c r="K227" s="2" t="s">
        <v>8</v>
      </c>
      <c r="L227" s="2" t="s">
        <v>34</v>
      </c>
      <c r="M227" s="2" t="s">
        <v>66</v>
      </c>
      <c r="N227" s="2" t="s">
        <v>704</v>
      </c>
      <c r="O227" s="2" t="s">
        <v>68</v>
      </c>
      <c r="P227" s="5">
        <v>945611943</v>
      </c>
      <c r="R227" s="2" t="s">
        <v>705</v>
      </c>
      <c r="S227" s="2" t="s">
        <v>70</v>
      </c>
      <c r="T227" s="2" t="s">
        <v>71</v>
      </c>
      <c r="U227" s="2">
        <v>2007</v>
      </c>
      <c r="V227" s="6">
        <v>43030</v>
      </c>
      <c r="W227" s="3" t="s">
        <v>143</v>
      </c>
      <c r="X227" s="23">
        <v>2800</v>
      </c>
    </row>
    <row r="228" spans="1:24" x14ac:dyDescent="0.2">
      <c r="A228" s="2">
        <v>1702052</v>
      </c>
      <c r="B228" s="6">
        <v>42779.666408796293</v>
      </c>
      <c r="C228" s="6">
        <v>42815.557311921293</v>
      </c>
      <c r="D228" s="6">
        <v>42833</v>
      </c>
      <c r="E228" s="6">
        <v>42860.455010185186</v>
      </c>
      <c r="F228" s="2" t="s">
        <v>26</v>
      </c>
      <c r="G228" s="2" t="s">
        <v>26</v>
      </c>
      <c r="H228" s="2" t="s">
        <v>93</v>
      </c>
      <c r="I228" s="2" t="s">
        <v>26</v>
      </c>
      <c r="J228" s="2" t="s">
        <v>26</v>
      </c>
      <c r="K228" s="2" t="s">
        <v>8</v>
      </c>
      <c r="L228" s="2" t="s">
        <v>27</v>
      </c>
      <c r="M228" s="2" t="s">
        <v>28</v>
      </c>
      <c r="N228" s="2" t="s">
        <v>706</v>
      </c>
      <c r="O228" s="2" t="s">
        <v>120</v>
      </c>
      <c r="P228" s="5">
        <v>814092549</v>
      </c>
      <c r="R228" s="2" t="s">
        <v>707</v>
      </c>
      <c r="S228" s="2" t="s">
        <v>31</v>
      </c>
      <c r="T228" s="2" t="s">
        <v>116</v>
      </c>
      <c r="U228" s="2">
        <v>2012</v>
      </c>
      <c r="V228" s="6">
        <v>42941</v>
      </c>
      <c r="W228" s="3" t="s">
        <v>57</v>
      </c>
      <c r="X228" s="23">
        <v>8000</v>
      </c>
    </row>
    <row r="229" spans="1:24" x14ac:dyDescent="0.2">
      <c r="A229" s="2">
        <v>1702053</v>
      </c>
      <c r="B229" s="6">
        <v>42779.711907870369</v>
      </c>
      <c r="C229" s="6">
        <v>42779.716000925924</v>
      </c>
      <c r="D229" s="6">
        <v>42786</v>
      </c>
      <c r="E229" s="6" t="s">
        <v>1511</v>
      </c>
      <c r="F229" s="2">
        <v>6.2839990740758367</v>
      </c>
      <c r="G229" s="2" t="s">
        <v>11</v>
      </c>
      <c r="H229" s="2" t="s">
        <v>93</v>
      </c>
      <c r="I229" s="2" t="s">
        <v>94</v>
      </c>
      <c r="J229" s="2" t="s">
        <v>708</v>
      </c>
      <c r="K229" s="2" t="s">
        <v>709</v>
      </c>
      <c r="L229" s="2" t="s">
        <v>27</v>
      </c>
      <c r="M229" s="2" t="s">
        <v>126</v>
      </c>
      <c r="N229" s="2" t="s">
        <v>710</v>
      </c>
      <c r="O229" s="2" t="s">
        <v>41</v>
      </c>
      <c r="P229" s="5">
        <v>884959663</v>
      </c>
      <c r="R229" s="2" t="s">
        <v>711</v>
      </c>
      <c r="S229" s="2" t="s">
        <v>49</v>
      </c>
      <c r="T229" s="2" t="s">
        <v>111</v>
      </c>
      <c r="X229" s="23">
        <v>5660</v>
      </c>
    </row>
    <row r="230" spans="1:24" x14ac:dyDescent="0.2">
      <c r="A230" s="2">
        <v>1702054</v>
      </c>
      <c r="B230" s="6">
        <v>42780.603093055557</v>
      </c>
      <c r="C230" s="6">
        <v>42825.592272222224</v>
      </c>
      <c r="D230" s="6">
        <v>42835</v>
      </c>
      <c r="E230" s="6">
        <v>42843.395244675929</v>
      </c>
      <c r="F230" s="2" t="s">
        <v>26</v>
      </c>
      <c r="G230" s="2" t="s">
        <v>26</v>
      </c>
      <c r="H230" s="2" t="s">
        <v>93</v>
      </c>
      <c r="I230" s="2" t="s">
        <v>26</v>
      </c>
      <c r="J230" s="2" t="s">
        <v>26</v>
      </c>
      <c r="K230" s="2" t="s">
        <v>8</v>
      </c>
      <c r="L230" s="2" t="s">
        <v>27</v>
      </c>
      <c r="M230" s="2" t="s">
        <v>295</v>
      </c>
      <c r="N230" s="2" t="s">
        <v>712</v>
      </c>
      <c r="O230" s="2" t="s">
        <v>59</v>
      </c>
      <c r="P230" s="5">
        <v>906075575</v>
      </c>
      <c r="R230" s="2" t="s">
        <v>713</v>
      </c>
      <c r="S230" s="2" t="s">
        <v>49</v>
      </c>
      <c r="T230" s="2" t="s">
        <v>130</v>
      </c>
      <c r="U230" s="2">
        <v>2011</v>
      </c>
      <c r="V230" s="6">
        <v>42852</v>
      </c>
      <c r="W230" s="3" t="s">
        <v>57</v>
      </c>
      <c r="X230" s="23">
        <v>25000</v>
      </c>
    </row>
    <row r="231" spans="1:24" x14ac:dyDescent="0.2">
      <c r="A231" s="2">
        <v>1702055</v>
      </c>
      <c r="B231" s="6">
        <v>42780.61305266204</v>
      </c>
      <c r="C231" s="6">
        <v>42780.628701504633</v>
      </c>
      <c r="D231" s="6">
        <v>0</v>
      </c>
      <c r="E231" s="6" t="s">
        <v>1511</v>
      </c>
      <c r="F231" s="2">
        <v>-42780.628701504633</v>
      </c>
      <c r="G231" s="2" t="s">
        <v>95</v>
      </c>
      <c r="H231" s="2" t="s">
        <v>93</v>
      </c>
      <c r="I231" s="2" t="s">
        <v>94</v>
      </c>
      <c r="J231" s="2" t="s">
        <v>95</v>
      </c>
      <c r="K231" s="2" t="s">
        <v>8</v>
      </c>
      <c r="L231" s="2" t="s">
        <v>170</v>
      </c>
      <c r="M231" s="2" t="s">
        <v>295</v>
      </c>
      <c r="N231" s="2" t="s">
        <v>714</v>
      </c>
      <c r="P231" s="5">
        <v>909850620</v>
      </c>
      <c r="R231" s="2" t="s">
        <v>715</v>
      </c>
      <c r="S231" s="2" t="s">
        <v>133</v>
      </c>
      <c r="T231" s="2" t="s">
        <v>134</v>
      </c>
      <c r="U231" s="2">
        <v>2005</v>
      </c>
      <c r="V231" s="6">
        <v>43105</v>
      </c>
      <c r="W231" s="3" t="s">
        <v>143</v>
      </c>
      <c r="X231" s="23">
        <v>3495.32</v>
      </c>
    </row>
    <row r="232" spans="1:24" x14ac:dyDescent="0.2">
      <c r="A232" s="2">
        <v>1702056</v>
      </c>
      <c r="B232" s="6">
        <v>42781.48661122685</v>
      </c>
      <c r="C232" s="6">
        <v>42929.611399074071</v>
      </c>
      <c r="D232" s="6">
        <v>42930</v>
      </c>
      <c r="E232" s="6" t="s">
        <v>1511</v>
      </c>
      <c r="F232" s="2">
        <v>0.38860092592949513</v>
      </c>
      <c r="G232" s="2" t="s">
        <v>11</v>
      </c>
      <c r="H232" s="2" t="s">
        <v>93</v>
      </c>
      <c r="I232" s="2" t="s">
        <v>95</v>
      </c>
      <c r="J232" s="2" t="s">
        <v>95</v>
      </c>
      <c r="K232" s="2" t="s">
        <v>8</v>
      </c>
      <c r="L232" s="2" t="s">
        <v>34</v>
      </c>
      <c r="M232" s="2" t="s">
        <v>28</v>
      </c>
      <c r="N232" s="2" t="s">
        <v>716</v>
      </c>
      <c r="O232" s="2" t="s">
        <v>47</v>
      </c>
      <c r="P232" s="5">
        <v>617173807</v>
      </c>
      <c r="R232" s="2" t="s">
        <v>717</v>
      </c>
      <c r="S232" s="2" t="s">
        <v>133</v>
      </c>
      <c r="T232" s="2" t="s">
        <v>134</v>
      </c>
      <c r="U232" s="2">
        <v>2016</v>
      </c>
      <c r="V232" s="6" t="s">
        <v>72</v>
      </c>
      <c r="X232" s="23">
        <v>3500</v>
      </c>
    </row>
    <row r="233" spans="1:24" x14ac:dyDescent="0.2">
      <c r="A233" s="2">
        <v>1702057</v>
      </c>
      <c r="B233" s="6">
        <v>42781.64793564815</v>
      </c>
      <c r="C233" s="6">
        <v>42808.663007175928</v>
      </c>
      <c r="D233" s="6">
        <v>42825</v>
      </c>
      <c r="E233" s="6">
        <v>42850.689475578707</v>
      </c>
      <c r="F233" s="2" t="s">
        <v>26</v>
      </c>
      <c r="G233" s="2" t="s">
        <v>26</v>
      </c>
      <c r="H233" s="2" t="s">
        <v>93</v>
      </c>
      <c r="I233" s="2" t="s">
        <v>26</v>
      </c>
      <c r="J233" s="2" t="s">
        <v>26</v>
      </c>
      <c r="K233" s="2" t="s">
        <v>8</v>
      </c>
      <c r="L233" s="2" t="s">
        <v>73</v>
      </c>
      <c r="M233" s="2" t="s">
        <v>81</v>
      </c>
      <c r="N233" s="2" t="s">
        <v>718</v>
      </c>
      <c r="O233" s="2" t="s">
        <v>41</v>
      </c>
      <c r="P233" s="5">
        <v>804077619</v>
      </c>
      <c r="R233" s="2" t="s">
        <v>719</v>
      </c>
      <c r="S233" s="2" t="s">
        <v>37</v>
      </c>
      <c r="T233" s="2" t="s">
        <v>102</v>
      </c>
      <c r="U233" s="2">
        <v>2010</v>
      </c>
      <c r="V233" s="6" t="s">
        <v>72</v>
      </c>
    </row>
    <row r="234" spans="1:24" x14ac:dyDescent="0.2">
      <c r="A234" s="2">
        <v>1702058</v>
      </c>
      <c r="B234" s="6">
        <v>42781.665844675925</v>
      </c>
      <c r="C234" s="6">
        <v>42781.678773611115</v>
      </c>
      <c r="D234" s="6">
        <v>42795</v>
      </c>
      <c r="E234" s="6">
        <v>42796.470569444442</v>
      </c>
      <c r="F234" s="2" t="s">
        <v>26</v>
      </c>
      <c r="G234" s="2" t="s">
        <v>26</v>
      </c>
      <c r="H234" s="2" t="s">
        <v>93</v>
      </c>
      <c r="I234" s="2" t="s">
        <v>26</v>
      </c>
      <c r="J234" s="2" t="s">
        <v>26</v>
      </c>
      <c r="K234" s="2" t="s">
        <v>8</v>
      </c>
      <c r="L234" s="2" t="s">
        <v>27</v>
      </c>
      <c r="M234" s="2" t="s">
        <v>45</v>
      </c>
      <c r="N234" s="2" t="s">
        <v>720</v>
      </c>
      <c r="O234" s="2" t="s">
        <v>120</v>
      </c>
      <c r="P234" s="5">
        <v>616388481</v>
      </c>
      <c r="Q234" s="5">
        <v>614411688</v>
      </c>
      <c r="R234" s="2" t="s">
        <v>721</v>
      </c>
      <c r="S234" s="2" t="s">
        <v>31</v>
      </c>
      <c r="T234" s="2" t="s">
        <v>283</v>
      </c>
      <c r="U234" s="2">
        <v>2012</v>
      </c>
      <c r="V234" s="6">
        <v>42770</v>
      </c>
      <c r="W234" s="3" t="s">
        <v>266</v>
      </c>
      <c r="X234" s="23">
        <v>4607.49</v>
      </c>
    </row>
    <row r="235" spans="1:24" x14ac:dyDescent="0.2">
      <c r="A235" s="2">
        <v>1702059</v>
      </c>
      <c r="B235" s="6">
        <v>42781.668884837964</v>
      </c>
      <c r="C235" s="6">
        <v>42781.669767708336</v>
      </c>
      <c r="D235" s="6">
        <v>42781</v>
      </c>
      <c r="E235" s="6">
        <v>42781.670009259258</v>
      </c>
      <c r="F235" s="2">
        <v>-0.66976770833571209</v>
      </c>
      <c r="G235" s="2" t="s">
        <v>11</v>
      </c>
      <c r="H235" s="2" t="s">
        <v>93</v>
      </c>
      <c r="I235" s="2" t="s">
        <v>95</v>
      </c>
      <c r="J235" s="2" t="s">
        <v>95</v>
      </c>
      <c r="K235" s="2" t="s">
        <v>8</v>
      </c>
      <c r="L235" s="2" t="s">
        <v>34</v>
      </c>
      <c r="M235" s="2" t="s">
        <v>66</v>
      </c>
      <c r="N235" s="2" t="s">
        <v>722</v>
      </c>
      <c r="O235" s="2" t="s">
        <v>68</v>
      </c>
      <c r="P235" s="5">
        <v>815789796</v>
      </c>
      <c r="R235" s="2" t="s">
        <v>723</v>
      </c>
      <c r="S235" s="2" t="s">
        <v>49</v>
      </c>
      <c r="T235" s="2" t="s">
        <v>79</v>
      </c>
      <c r="U235" s="2">
        <v>2011</v>
      </c>
      <c r="V235" s="6">
        <v>42694</v>
      </c>
      <c r="W235" s="3" t="s">
        <v>84</v>
      </c>
      <c r="X235" s="23">
        <v>2000</v>
      </c>
    </row>
    <row r="236" spans="1:24" x14ac:dyDescent="0.2">
      <c r="A236" s="2">
        <v>1702060</v>
      </c>
      <c r="B236" s="6">
        <v>42781.671904976851</v>
      </c>
      <c r="C236" s="6">
        <v>42781.695316435187</v>
      </c>
      <c r="D236" s="6">
        <v>42794</v>
      </c>
      <c r="E236" s="6">
        <v>42796.729648958331</v>
      </c>
      <c r="F236" s="2" t="s">
        <v>26</v>
      </c>
      <c r="G236" s="2" t="s">
        <v>26</v>
      </c>
      <c r="H236" s="2" t="s">
        <v>93</v>
      </c>
      <c r="I236" s="2" t="s">
        <v>26</v>
      </c>
      <c r="J236" s="2" t="s">
        <v>26</v>
      </c>
      <c r="K236" s="2" t="s">
        <v>8</v>
      </c>
      <c r="L236" s="2" t="s">
        <v>27</v>
      </c>
      <c r="M236" s="2" t="s">
        <v>118</v>
      </c>
      <c r="N236" s="2" t="s">
        <v>724</v>
      </c>
      <c r="O236" s="2" t="s">
        <v>114</v>
      </c>
      <c r="P236" s="5">
        <v>909898415</v>
      </c>
      <c r="Q236" s="5">
        <v>818509863</v>
      </c>
      <c r="R236" s="2" t="s">
        <v>725</v>
      </c>
      <c r="S236" s="2" t="s">
        <v>55</v>
      </c>
      <c r="T236" s="2" t="s">
        <v>76</v>
      </c>
      <c r="U236" s="2">
        <v>2011</v>
      </c>
      <c r="V236" s="6">
        <v>42976</v>
      </c>
      <c r="W236" s="3" t="s">
        <v>57</v>
      </c>
      <c r="X236" s="23">
        <v>25000</v>
      </c>
    </row>
    <row r="237" spans="1:24" x14ac:dyDescent="0.2">
      <c r="A237" s="2">
        <v>1702061</v>
      </c>
      <c r="B237" s="6">
        <v>42781.701214814813</v>
      </c>
      <c r="C237" s="6">
        <v>42781.701567476855</v>
      </c>
      <c r="D237" s="6">
        <v>0</v>
      </c>
      <c r="E237" s="6">
        <v>42801.693375694442</v>
      </c>
      <c r="F237" s="2" t="s">
        <v>26</v>
      </c>
      <c r="G237" s="2" t="s">
        <v>26</v>
      </c>
      <c r="H237" s="2" t="s">
        <v>93</v>
      </c>
      <c r="I237" s="2" t="s">
        <v>26</v>
      </c>
      <c r="J237" s="2" t="s">
        <v>26</v>
      </c>
      <c r="K237" s="2" t="s">
        <v>8</v>
      </c>
      <c r="L237" s="2" t="s">
        <v>170</v>
      </c>
      <c r="M237" s="2" t="s">
        <v>28</v>
      </c>
      <c r="N237" s="2" t="s">
        <v>726</v>
      </c>
      <c r="O237" s="2" t="s">
        <v>239</v>
      </c>
      <c r="P237" s="5">
        <v>853061926</v>
      </c>
      <c r="Q237" s="5">
        <v>896162465</v>
      </c>
      <c r="R237" s="2" t="s">
        <v>727</v>
      </c>
      <c r="S237" s="2" t="s">
        <v>728</v>
      </c>
      <c r="T237" s="2" t="s">
        <v>79</v>
      </c>
      <c r="U237" s="2">
        <v>2015</v>
      </c>
      <c r="V237" s="6" t="s">
        <v>72</v>
      </c>
      <c r="X237" s="23">
        <v>1747.66</v>
      </c>
    </row>
    <row r="238" spans="1:24" x14ac:dyDescent="0.2">
      <c r="A238" s="2">
        <v>1702062</v>
      </c>
      <c r="B238" s="6">
        <v>42781.70311574074</v>
      </c>
      <c r="C238" s="6">
        <v>42791.48026261574</v>
      </c>
      <c r="E238" s="6">
        <v>42816.753332060187</v>
      </c>
      <c r="F238" s="2" t="s">
        <v>26</v>
      </c>
      <c r="G238" s="2" t="s">
        <v>26</v>
      </c>
      <c r="H238" s="2" t="s">
        <v>93</v>
      </c>
      <c r="I238" s="2" t="s">
        <v>26</v>
      </c>
      <c r="J238" s="2" t="s">
        <v>26</v>
      </c>
      <c r="K238" s="2" t="s">
        <v>8</v>
      </c>
      <c r="L238" s="2" t="s">
        <v>73</v>
      </c>
      <c r="M238" s="2" t="s">
        <v>118</v>
      </c>
      <c r="N238" s="2" t="s">
        <v>729</v>
      </c>
      <c r="O238" s="2" t="s">
        <v>208</v>
      </c>
      <c r="P238" s="5">
        <v>929492079</v>
      </c>
      <c r="R238" s="2" t="s">
        <v>730</v>
      </c>
      <c r="S238" s="2" t="s">
        <v>55</v>
      </c>
      <c r="T238" s="2" t="s">
        <v>56</v>
      </c>
      <c r="U238" s="2">
        <v>2013</v>
      </c>
      <c r="V238" s="6">
        <v>42792</v>
      </c>
      <c r="W238" s="3" t="s">
        <v>57</v>
      </c>
      <c r="X238" s="23">
        <v>0</v>
      </c>
    </row>
    <row r="239" spans="1:24" x14ac:dyDescent="0.2">
      <c r="A239" s="2">
        <v>1702063</v>
      </c>
      <c r="B239" s="6">
        <v>42782.697653703704</v>
      </c>
      <c r="C239" s="6">
        <v>42879.559927314818</v>
      </c>
      <c r="D239" s="6">
        <v>42857</v>
      </c>
      <c r="E239" s="6">
        <v>42894.701382870371</v>
      </c>
      <c r="F239" s="2" t="s">
        <v>26</v>
      </c>
      <c r="G239" s="2" t="s">
        <v>26</v>
      </c>
      <c r="H239" s="2" t="s">
        <v>26</v>
      </c>
      <c r="I239" s="2" t="s">
        <v>26</v>
      </c>
      <c r="J239" s="2" t="s">
        <v>26</v>
      </c>
      <c r="K239" s="2" t="s">
        <v>8</v>
      </c>
      <c r="L239" s="2" t="s">
        <v>27</v>
      </c>
      <c r="M239" s="2" t="s">
        <v>61</v>
      </c>
      <c r="N239" s="2" t="s">
        <v>731</v>
      </c>
      <c r="O239" s="2" t="s">
        <v>128</v>
      </c>
      <c r="P239" s="5">
        <v>897726304</v>
      </c>
      <c r="R239" s="2" t="s">
        <v>732</v>
      </c>
      <c r="S239" s="2" t="s">
        <v>49</v>
      </c>
      <c r="T239" s="2" t="s">
        <v>130</v>
      </c>
      <c r="U239" s="2">
        <v>2011</v>
      </c>
      <c r="V239" s="6">
        <v>42869</v>
      </c>
      <c r="W239" s="3" t="s">
        <v>39</v>
      </c>
      <c r="X239" s="23">
        <v>7625</v>
      </c>
    </row>
    <row r="240" spans="1:24" x14ac:dyDescent="0.2">
      <c r="A240" s="2">
        <v>1702064</v>
      </c>
      <c r="B240" s="6">
        <v>42783.483190277781</v>
      </c>
      <c r="F240" s="2" t="s">
        <v>126</v>
      </c>
      <c r="G240" s="2" t="s">
        <v>126</v>
      </c>
      <c r="H240" s="2" t="s">
        <v>126</v>
      </c>
      <c r="I240" s="2" t="s">
        <v>126</v>
      </c>
      <c r="J240" s="2" t="s">
        <v>126</v>
      </c>
      <c r="K240" s="2" t="s">
        <v>8</v>
      </c>
      <c r="L240" s="2" t="s">
        <v>27</v>
      </c>
      <c r="M240" s="2" t="s">
        <v>28</v>
      </c>
      <c r="N240" s="2" t="s">
        <v>733</v>
      </c>
      <c r="O240" s="2" t="s">
        <v>186</v>
      </c>
      <c r="P240" s="5">
        <v>853344163</v>
      </c>
      <c r="R240" s="2" t="s">
        <v>734</v>
      </c>
      <c r="S240" s="2" t="s">
        <v>49</v>
      </c>
      <c r="T240" s="2" t="s">
        <v>735</v>
      </c>
      <c r="U240" s="2">
        <v>2008</v>
      </c>
      <c r="V240" s="6" t="s">
        <v>72</v>
      </c>
    </row>
    <row r="241" spans="1:24" x14ac:dyDescent="0.2">
      <c r="A241" s="2">
        <v>1702065</v>
      </c>
      <c r="B241" s="6">
        <v>42783.615987731479</v>
      </c>
      <c r="C241" s="6">
        <v>42905.620644097224</v>
      </c>
      <c r="D241" s="6">
        <v>42914</v>
      </c>
      <c r="E241" s="6">
        <v>42915.430207754631</v>
      </c>
      <c r="F241" s="2" t="s">
        <v>26</v>
      </c>
      <c r="G241" s="2" t="s">
        <v>26</v>
      </c>
      <c r="H241" s="2" t="s">
        <v>26</v>
      </c>
      <c r="I241" s="2" t="s">
        <v>26</v>
      </c>
      <c r="J241" s="2" t="s">
        <v>26</v>
      </c>
      <c r="K241" s="2" t="s">
        <v>8</v>
      </c>
      <c r="L241" s="2" t="s">
        <v>27</v>
      </c>
      <c r="M241" s="2" t="s">
        <v>66</v>
      </c>
      <c r="N241" s="2" t="s">
        <v>736</v>
      </c>
      <c r="O241" s="2" t="s">
        <v>407</v>
      </c>
      <c r="P241" s="5">
        <v>632598792</v>
      </c>
      <c r="R241" s="2" t="s">
        <v>737</v>
      </c>
      <c r="S241" s="2" t="s">
        <v>49</v>
      </c>
      <c r="T241" s="2" t="s">
        <v>130</v>
      </c>
      <c r="U241" s="2">
        <v>2011</v>
      </c>
      <c r="V241" s="6">
        <v>42830</v>
      </c>
      <c r="W241" s="3" t="s">
        <v>166</v>
      </c>
      <c r="X241" s="23">
        <v>14406.54</v>
      </c>
    </row>
    <row r="242" spans="1:24" x14ac:dyDescent="0.2">
      <c r="A242" s="2">
        <v>1702066</v>
      </c>
      <c r="B242" s="6">
        <v>42783.624527430555</v>
      </c>
      <c r="C242" s="6">
        <v>42783.639841898148</v>
      </c>
      <c r="E242" s="6">
        <v>42798.738129398145</v>
      </c>
      <c r="F242" s="2" t="s">
        <v>26</v>
      </c>
      <c r="G242" s="2" t="s">
        <v>26</v>
      </c>
      <c r="H242" s="2" t="s">
        <v>93</v>
      </c>
      <c r="I242" s="2" t="s">
        <v>26</v>
      </c>
      <c r="J242" s="2" t="s">
        <v>26</v>
      </c>
      <c r="K242" s="2" t="s">
        <v>8</v>
      </c>
      <c r="L242" s="2" t="s">
        <v>27</v>
      </c>
      <c r="M242" s="2" t="s">
        <v>28</v>
      </c>
      <c r="N242" s="2" t="s">
        <v>738</v>
      </c>
      <c r="O242" s="2" t="s">
        <v>217</v>
      </c>
      <c r="P242" s="5">
        <v>841545995</v>
      </c>
      <c r="Q242" s="5">
        <v>815554842</v>
      </c>
      <c r="R242" s="2" t="s">
        <v>739</v>
      </c>
      <c r="S242" s="2" t="s">
        <v>49</v>
      </c>
      <c r="T242" s="2" t="s">
        <v>79</v>
      </c>
      <c r="U242" s="2">
        <v>2007</v>
      </c>
      <c r="V242" s="6">
        <v>42600</v>
      </c>
      <c r="W242" s="3" t="s">
        <v>396</v>
      </c>
      <c r="X242" s="23">
        <v>0</v>
      </c>
    </row>
    <row r="243" spans="1:24" x14ac:dyDescent="0.2">
      <c r="A243" s="2">
        <v>1702067</v>
      </c>
      <c r="B243" s="6">
        <v>42783.630952430554</v>
      </c>
      <c r="C243" s="6">
        <v>42863.717680324073</v>
      </c>
      <c r="D243" s="6">
        <v>42873</v>
      </c>
      <c r="E243" s="6">
        <v>42875.594932638887</v>
      </c>
      <c r="F243" s="2" t="s">
        <v>26</v>
      </c>
      <c r="G243" s="2" t="s">
        <v>26</v>
      </c>
      <c r="H243" s="2" t="s">
        <v>26</v>
      </c>
      <c r="I243" s="2" t="s">
        <v>26</v>
      </c>
      <c r="J243" s="2" t="s">
        <v>26</v>
      </c>
      <c r="K243" s="2" t="s">
        <v>8</v>
      </c>
      <c r="L243" s="2" t="s">
        <v>27</v>
      </c>
      <c r="M243" s="2" t="s">
        <v>28</v>
      </c>
      <c r="N243" s="2" t="s">
        <v>740</v>
      </c>
      <c r="O243" s="2" t="s">
        <v>41</v>
      </c>
      <c r="P243" s="5">
        <v>898197795</v>
      </c>
      <c r="R243" s="2" t="s">
        <v>741</v>
      </c>
      <c r="S243" s="2" t="s">
        <v>70</v>
      </c>
      <c r="T243" s="2" t="s">
        <v>193</v>
      </c>
      <c r="U243" s="2">
        <v>2014</v>
      </c>
      <c r="V243" s="6">
        <v>43034</v>
      </c>
      <c r="W243" s="3" t="s">
        <v>39</v>
      </c>
      <c r="X243" s="23">
        <v>5400</v>
      </c>
    </row>
    <row r="244" spans="1:24" x14ac:dyDescent="0.2">
      <c r="A244" s="2">
        <v>1702068</v>
      </c>
      <c r="B244" s="6">
        <v>42783.679084606483</v>
      </c>
      <c r="C244" s="6">
        <v>42783.680503935182</v>
      </c>
      <c r="E244" s="6">
        <v>42787.430985763887</v>
      </c>
      <c r="F244" s="2" t="s">
        <v>26</v>
      </c>
      <c r="G244" s="2" t="s">
        <v>26</v>
      </c>
      <c r="H244" s="2" t="s">
        <v>95</v>
      </c>
      <c r="I244" s="2" t="s">
        <v>26</v>
      </c>
      <c r="J244" s="2" t="s">
        <v>26</v>
      </c>
      <c r="K244" s="2" t="s">
        <v>8</v>
      </c>
      <c r="L244" s="2" t="s">
        <v>34</v>
      </c>
      <c r="M244" s="2" t="s">
        <v>28</v>
      </c>
      <c r="N244" s="2" t="s">
        <v>742</v>
      </c>
      <c r="O244" s="2" t="s">
        <v>114</v>
      </c>
      <c r="P244" s="5">
        <v>817162655</v>
      </c>
      <c r="R244" s="2" t="s">
        <v>743</v>
      </c>
      <c r="S244" s="2" t="s">
        <v>55</v>
      </c>
      <c r="T244" s="2" t="s">
        <v>56</v>
      </c>
      <c r="U244" s="2">
        <v>2010</v>
      </c>
      <c r="V244" s="6">
        <v>42598</v>
      </c>
      <c r="W244" s="3" t="s">
        <v>39</v>
      </c>
    </row>
    <row r="245" spans="1:24" x14ac:dyDescent="0.2">
      <c r="A245" s="2">
        <v>1702069</v>
      </c>
      <c r="B245" s="6">
        <v>42784.619501273148</v>
      </c>
      <c r="C245" s="6">
        <v>42844.393566203704</v>
      </c>
      <c r="D245" s="6">
        <v>42854</v>
      </c>
      <c r="E245" s="6">
        <v>42854.746764120369</v>
      </c>
      <c r="F245" s="2" t="s">
        <v>26</v>
      </c>
      <c r="G245" s="2" t="s">
        <v>26</v>
      </c>
      <c r="H245" s="2" t="s">
        <v>93</v>
      </c>
      <c r="I245" s="2" t="s">
        <v>26</v>
      </c>
      <c r="J245" s="2" t="s">
        <v>26</v>
      </c>
      <c r="K245" s="2" t="s">
        <v>8</v>
      </c>
      <c r="L245" s="2" t="s">
        <v>27</v>
      </c>
      <c r="M245" s="2" t="s">
        <v>28</v>
      </c>
      <c r="N245" s="2" t="s">
        <v>744</v>
      </c>
      <c r="O245" s="2" t="s">
        <v>68</v>
      </c>
      <c r="P245" s="5">
        <v>851885402</v>
      </c>
      <c r="R245" s="2" t="s">
        <v>745</v>
      </c>
      <c r="S245" s="2" t="s">
        <v>31</v>
      </c>
      <c r="T245" s="2" t="s">
        <v>336</v>
      </c>
      <c r="U245" s="2">
        <v>2012</v>
      </c>
      <c r="V245" s="6">
        <v>42925</v>
      </c>
      <c r="W245" s="3" t="s">
        <v>266</v>
      </c>
    </row>
    <row r="246" spans="1:24" x14ac:dyDescent="0.2">
      <c r="A246" s="2">
        <v>1702070</v>
      </c>
      <c r="B246" s="6">
        <v>42784.621952777779</v>
      </c>
      <c r="C246" s="6">
        <v>42784.630443981485</v>
      </c>
      <c r="E246" s="6" t="s">
        <v>1511</v>
      </c>
      <c r="F246" s="2" t="s">
        <v>92</v>
      </c>
      <c r="G246" s="2" t="s">
        <v>11</v>
      </c>
      <c r="H246" s="2" t="s">
        <v>93</v>
      </c>
      <c r="I246" s="2" t="s">
        <v>95</v>
      </c>
      <c r="J246" s="2" t="s">
        <v>95</v>
      </c>
      <c r="K246" s="2" t="s">
        <v>8</v>
      </c>
      <c r="L246" s="2" t="s">
        <v>73</v>
      </c>
      <c r="M246" s="2" t="s">
        <v>45</v>
      </c>
      <c r="N246" s="2" t="s">
        <v>746</v>
      </c>
      <c r="O246" s="2" t="s">
        <v>747</v>
      </c>
      <c r="P246" s="5">
        <v>865300514</v>
      </c>
      <c r="R246" s="2" t="s">
        <v>748</v>
      </c>
      <c r="S246" s="2" t="s">
        <v>49</v>
      </c>
      <c r="T246" s="2" t="s">
        <v>130</v>
      </c>
      <c r="U246" s="2">
        <v>2008</v>
      </c>
      <c r="V246" s="6">
        <v>42751</v>
      </c>
      <c r="W246" s="3" t="s">
        <v>106</v>
      </c>
      <c r="X246" s="23">
        <v>0</v>
      </c>
    </row>
    <row r="247" spans="1:24" x14ac:dyDescent="0.2">
      <c r="A247" s="2">
        <v>1702071</v>
      </c>
      <c r="B247" s="6">
        <v>42784.625786342593</v>
      </c>
      <c r="C247" s="6">
        <v>42790.364615046296</v>
      </c>
      <c r="E247" s="6">
        <v>42817.681776157406</v>
      </c>
      <c r="F247" s="2" t="s">
        <v>26</v>
      </c>
      <c r="G247" s="2" t="s">
        <v>26</v>
      </c>
      <c r="H247" s="2" t="s">
        <v>93</v>
      </c>
      <c r="I247" s="2" t="s">
        <v>26</v>
      </c>
      <c r="J247" s="2" t="s">
        <v>26</v>
      </c>
      <c r="K247" s="2" t="s">
        <v>8</v>
      </c>
      <c r="L247" s="2" t="s">
        <v>73</v>
      </c>
      <c r="M247" s="2" t="s">
        <v>28</v>
      </c>
      <c r="N247" s="2" t="s">
        <v>749</v>
      </c>
      <c r="O247" s="2" t="s">
        <v>107</v>
      </c>
      <c r="P247" s="5">
        <v>639606526</v>
      </c>
      <c r="R247" s="2" t="s">
        <v>750</v>
      </c>
      <c r="S247" s="2" t="s">
        <v>37</v>
      </c>
      <c r="T247" s="2" t="s">
        <v>102</v>
      </c>
      <c r="U247" s="2">
        <v>2012</v>
      </c>
      <c r="V247" s="6">
        <v>42854</v>
      </c>
      <c r="W247" s="3" t="s">
        <v>112</v>
      </c>
      <c r="X247" s="23">
        <v>6200</v>
      </c>
    </row>
    <row r="248" spans="1:24" x14ac:dyDescent="0.2">
      <c r="A248" s="2">
        <v>1702072</v>
      </c>
      <c r="B248" s="6">
        <v>42784.728724189816</v>
      </c>
      <c r="C248" s="6">
        <v>42784.731225000003</v>
      </c>
      <c r="E248" s="6">
        <v>42787.433735416664</v>
      </c>
      <c r="F248" s="2" t="s">
        <v>26</v>
      </c>
      <c r="G248" s="2" t="s">
        <v>26</v>
      </c>
      <c r="H248" s="2" t="s">
        <v>95</v>
      </c>
      <c r="I248" s="2" t="s">
        <v>26</v>
      </c>
      <c r="J248" s="2" t="s">
        <v>26</v>
      </c>
      <c r="K248" s="2" t="s">
        <v>8</v>
      </c>
      <c r="L248" s="2" t="s">
        <v>34</v>
      </c>
      <c r="M248" s="2" t="s">
        <v>28</v>
      </c>
      <c r="N248" s="2" t="s">
        <v>680</v>
      </c>
      <c r="O248" s="2" t="s">
        <v>114</v>
      </c>
      <c r="P248" s="5">
        <v>944252940</v>
      </c>
      <c r="R248" s="2" t="s">
        <v>681</v>
      </c>
      <c r="S248" s="2" t="s">
        <v>31</v>
      </c>
      <c r="T248" s="2" t="s">
        <v>336</v>
      </c>
      <c r="U248" s="2">
        <v>2013</v>
      </c>
      <c r="V248" s="6">
        <v>42884</v>
      </c>
      <c r="W248" s="3" t="s">
        <v>148</v>
      </c>
      <c r="X248" s="23">
        <v>0</v>
      </c>
    </row>
    <row r="249" spans="1:24" x14ac:dyDescent="0.2">
      <c r="A249" s="2">
        <v>1702073</v>
      </c>
      <c r="B249" s="6">
        <v>42787.427203240739</v>
      </c>
      <c r="C249" s="6">
        <v>42844.681155671293</v>
      </c>
      <c r="D249" s="6">
        <v>42857</v>
      </c>
      <c r="E249" s="6">
        <v>42860.463200694445</v>
      </c>
      <c r="F249" s="2" t="s">
        <v>26</v>
      </c>
      <c r="G249" s="2" t="s">
        <v>26</v>
      </c>
      <c r="H249" s="2" t="s">
        <v>93</v>
      </c>
      <c r="I249" s="2" t="s">
        <v>26</v>
      </c>
      <c r="J249" s="2" t="s">
        <v>26</v>
      </c>
      <c r="K249" s="2" t="s">
        <v>8</v>
      </c>
      <c r="L249" s="2" t="s">
        <v>34</v>
      </c>
      <c r="M249" s="2" t="s">
        <v>45</v>
      </c>
      <c r="N249" s="2" t="s">
        <v>751</v>
      </c>
      <c r="O249" s="2" t="s">
        <v>68</v>
      </c>
      <c r="P249" s="5">
        <v>898229896</v>
      </c>
      <c r="R249" s="2" t="s">
        <v>752</v>
      </c>
      <c r="S249" s="2" t="s">
        <v>49</v>
      </c>
      <c r="T249" s="2" t="s">
        <v>178</v>
      </c>
      <c r="U249" s="2">
        <v>2004</v>
      </c>
      <c r="V249" s="6">
        <v>42800</v>
      </c>
      <c r="W249" s="3" t="s">
        <v>143</v>
      </c>
      <c r="X249" s="23">
        <v>3177.57</v>
      </c>
    </row>
    <row r="250" spans="1:24" x14ac:dyDescent="0.2">
      <c r="A250" s="2">
        <v>1702074</v>
      </c>
      <c r="B250" s="6">
        <v>42787.429055092594</v>
      </c>
      <c r="C250" s="6">
        <v>42800.658414699072</v>
      </c>
      <c r="E250" s="6">
        <v>42809.674438425929</v>
      </c>
      <c r="F250" s="2" t="s">
        <v>26</v>
      </c>
      <c r="G250" s="2" t="s">
        <v>26</v>
      </c>
      <c r="H250" s="2" t="s">
        <v>93</v>
      </c>
      <c r="I250" s="2" t="s">
        <v>26</v>
      </c>
      <c r="J250" s="2" t="s">
        <v>26</v>
      </c>
      <c r="K250" s="2" t="s">
        <v>8</v>
      </c>
      <c r="L250" s="2" t="s">
        <v>34</v>
      </c>
      <c r="M250" s="2" t="s">
        <v>28</v>
      </c>
      <c r="N250" s="2" t="s">
        <v>753</v>
      </c>
      <c r="O250" s="2" t="s">
        <v>114</v>
      </c>
      <c r="P250" s="5">
        <v>868199479</v>
      </c>
      <c r="R250" s="2" t="s">
        <v>754</v>
      </c>
      <c r="S250" s="2" t="s">
        <v>49</v>
      </c>
      <c r="T250" s="2" t="s">
        <v>79</v>
      </c>
      <c r="U250" s="2">
        <v>2014</v>
      </c>
      <c r="V250" s="6">
        <v>43066</v>
      </c>
      <c r="W250" s="3" t="s">
        <v>266</v>
      </c>
      <c r="X250" s="23">
        <v>6136.06</v>
      </c>
    </row>
    <row r="251" spans="1:24" x14ac:dyDescent="0.2">
      <c r="A251" s="2">
        <v>1702075</v>
      </c>
      <c r="B251" s="6">
        <v>42787.468593055557</v>
      </c>
      <c r="C251" s="6">
        <v>42787.474078935185</v>
      </c>
      <c r="E251" s="6">
        <v>42791.75548900463</v>
      </c>
      <c r="F251" s="2" t="s">
        <v>26</v>
      </c>
      <c r="G251" s="2" t="s">
        <v>26</v>
      </c>
      <c r="H251" s="2" t="s">
        <v>93</v>
      </c>
      <c r="I251" s="2" t="s">
        <v>26</v>
      </c>
      <c r="J251" s="2" t="s">
        <v>26</v>
      </c>
      <c r="K251" s="2" t="s">
        <v>8</v>
      </c>
      <c r="L251" s="2" t="s">
        <v>27</v>
      </c>
      <c r="M251" s="2" t="s">
        <v>45</v>
      </c>
      <c r="N251" s="2" t="s">
        <v>755</v>
      </c>
      <c r="O251" s="2" t="s">
        <v>41</v>
      </c>
      <c r="P251" s="5">
        <v>843339536</v>
      </c>
      <c r="R251" s="2" t="s">
        <v>756</v>
      </c>
      <c r="S251" s="2" t="s">
        <v>55</v>
      </c>
      <c r="T251" s="2" t="s">
        <v>76</v>
      </c>
      <c r="U251" s="2">
        <v>2013</v>
      </c>
      <c r="V251" s="6">
        <v>42874</v>
      </c>
      <c r="W251" s="3" t="s">
        <v>112</v>
      </c>
      <c r="X251" s="23">
        <v>33800</v>
      </c>
    </row>
    <row r="252" spans="1:24" x14ac:dyDescent="0.2">
      <c r="A252" s="2">
        <v>1702076</v>
      </c>
      <c r="B252" s="6">
        <v>42787.477166898148</v>
      </c>
      <c r="C252" s="6">
        <v>42787.481051041665</v>
      </c>
      <c r="E252" s="6">
        <v>42797.613233564814</v>
      </c>
      <c r="F252" s="2" t="s">
        <v>26</v>
      </c>
      <c r="G252" s="2" t="s">
        <v>26</v>
      </c>
      <c r="H252" s="2" t="s">
        <v>93</v>
      </c>
      <c r="I252" s="2" t="s">
        <v>26</v>
      </c>
      <c r="J252" s="2" t="s">
        <v>26</v>
      </c>
      <c r="K252" s="2" t="s">
        <v>8</v>
      </c>
      <c r="L252" s="2" t="s">
        <v>27</v>
      </c>
      <c r="M252" s="2" t="s">
        <v>28</v>
      </c>
      <c r="N252" s="2" t="s">
        <v>757</v>
      </c>
      <c r="O252" s="2" t="s">
        <v>114</v>
      </c>
      <c r="P252" s="5">
        <v>814511466</v>
      </c>
      <c r="R252" s="2" t="s">
        <v>758</v>
      </c>
      <c r="S252" s="2" t="s">
        <v>49</v>
      </c>
      <c r="T252" s="2" t="s">
        <v>130</v>
      </c>
      <c r="U252" s="2">
        <v>2005</v>
      </c>
      <c r="V252" s="6">
        <v>42803</v>
      </c>
      <c r="W252" s="3" t="s">
        <v>44</v>
      </c>
      <c r="X252" s="23">
        <v>0</v>
      </c>
    </row>
    <row r="253" spans="1:24" x14ac:dyDescent="0.2">
      <c r="A253" s="2">
        <v>1702077</v>
      </c>
      <c r="B253" s="6">
        <v>42787.48614108796</v>
      </c>
      <c r="C253" s="6">
        <v>42787.48722638889</v>
      </c>
      <c r="E253" s="6">
        <v>42794.746044328705</v>
      </c>
      <c r="F253" s="2" t="s">
        <v>26</v>
      </c>
      <c r="G253" s="2" t="s">
        <v>26</v>
      </c>
      <c r="H253" s="2" t="s">
        <v>93</v>
      </c>
      <c r="I253" s="2" t="s">
        <v>26</v>
      </c>
      <c r="J253" s="2" t="s">
        <v>26</v>
      </c>
      <c r="K253" s="2" t="s">
        <v>8</v>
      </c>
      <c r="L253" s="2" t="s">
        <v>34</v>
      </c>
      <c r="M253" s="2" t="s">
        <v>66</v>
      </c>
      <c r="N253" s="2" t="s">
        <v>759</v>
      </c>
      <c r="O253" s="2" t="s">
        <v>407</v>
      </c>
      <c r="P253" s="5">
        <v>818089320</v>
      </c>
      <c r="Q253" s="5">
        <v>897700360</v>
      </c>
      <c r="R253" s="2" t="s">
        <v>760</v>
      </c>
      <c r="S253" s="2" t="s">
        <v>49</v>
      </c>
      <c r="T253" s="2" t="s">
        <v>111</v>
      </c>
      <c r="U253" s="2">
        <v>2003</v>
      </c>
      <c r="V253" s="6">
        <v>42908</v>
      </c>
      <c r="W253" s="3" t="s">
        <v>573</v>
      </c>
      <c r="X253" s="23">
        <v>0</v>
      </c>
    </row>
    <row r="254" spans="1:24" x14ac:dyDescent="0.2">
      <c r="A254" s="2">
        <v>1702078</v>
      </c>
      <c r="B254" s="6">
        <v>42787.49360833333</v>
      </c>
      <c r="C254" s="6">
        <v>42787.497733912038</v>
      </c>
      <c r="E254" s="6">
        <v>42800.641208796296</v>
      </c>
      <c r="F254" s="2" t="s">
        <v>26</v>
      </c>
      <c r="G254" s="2" t="s">
        <v>26</v>
      </c>
      <c r="H254" s="2" t="s">
        <v>93</v>
      </c>
      <c r="I254" s="2" t="s">
        <v>26</v>
      </c>
      <c r="J254" s="2" t="s">
        <v>26</v>
      </c>
      <c r="K254" s="2" t="s">
        <v>8</v>
      </c>
      <c r="L254" s="2" t="s">
        <v>34</v>
      </c>
      <c r="M254" s="2" t="s">
        <v>45</v>
      </c>
      <c r="N254" s="2" t="s">
        <v>761</v>
      </c>
      <c r="O254" s="2" t="s">
        <v>762</v>
      </c>
      <c r="P254" s="5">
        <v>882891974</v>
      </c>
      <c r="R254" s="2" t="s">
        <v>763</v>
      </c>
      <c r="S254" s="2" t="s">
        <v>243</v>
      </c>
      <c r="T254" s="2" t="s">
        <v>244</v>
      </c>
      <c r="U254" s="2">
        <v>2005</v>
      </c>
      <c r="V254" s="6" t="s">
        <v>72</v>
      </c>
      <c r="X254" s="23">
        <v>2065.42</v>
      </c>
    </row>
    <row r="255" spans="1:24" x14ac:dyDescent="0.2">
      <c r="A255" s="2">
        <v>1702079</v>
      </c>
      <c r="B255" s="6">
        <v>42787.679016550923</v>
      </c>
      <c r="C255" s="6">
        <v>42787.679550462963</v>
      </c>
      <c r="E255" s="6">
        <v>42852.720597685184</v>
      </c>
      <c r="F255" s="2" t="s">
        <v>26</v>
      </c>
      <c r="G255" s="2" t="s">
        <v>26</v>
      </c>
      <c r="H255" s="2" t="s">
        <v>93</v>
      </c>
      <c r="I255" s="2" t="s">
        <v>26</v>
      </c>
      <c r="J255" s="2" t="s">
        <v>26</v>
      </c>
      <c r="K255" s="2" t="s">
        <v>8</v>
      </c>
      <c r="L255" s="2" t="s">
        <v>170</v>
      </c>
      <c r="M255" s="2" t="s">
        <v>28</v>
      </c>
      <c r="N255" s="2" t="s">
        <v>764</v>
      </c>
      <c r="O255" s="2" t="s">
        <v>68</v>
      </c>
      <c r="P255" s="5">
        <v>814822132</v>
      </c>
      <c r="Q255" s="5">
        <v>851569010</v>
      </c>
      <c r="R255" s="2" t="s">
        <v>765</v>
      </c>
      <c r="S255" s="2" t="s">
        <v>31</v>
      </c>
      <c r="T255" s="2" t="s">
        <v>116</v>
      </c>
      <c r="U255" s="2">
        <v>2012</v>
      </c>
      <c r="V255" s="6">
        <v>42803</v>
      </c>
      <c r="W255" s="3" t="s">
        <v>247</v>
      </c>
      <c r="X255" s="23">
        <v>8242</v>
      </c>
    </row>
    <row r="256" spans="1:24" x14ac:dyDescent="0.2">
      <c r="A256" s="2">
        <v>1702080</v>
      </c>
      <c r="B256" s="6">
        <v>42787.683038425923</v>
      </c>
      <c r="C256" s="6">
        <v>42787.686531597225</v>
      </c>
      <c r="E256" s="6">
        <v>42796.631508564817</v>
      </c>
      <c r="F256" s="2" t="s">
        <v>26</v>
      </c>
      <c r="G256" s="2" t="s">
        <v>26</v>
      </c>
      <c r="H256" s="2" t="s">
        <v>93</v>
      </c>
      <c r="I256" s="2" t="s">
        <v>26</v>
      </c>
      <c r="J256" s="2" t="s">
        <v>26</v>
      </c>
      <c r="K256" s="2" t="s">
        <v>8</v>
      </c>
      <c r="L256" s="2" t="s">
        <v>34</v>
      </c>
      <c r="M256" s="2" t="s">
        <v>378</v>
      </c>
      <c r="N256" s="2" t="s">
        <v>766</v>
      </c>
      <c r="O256" s="2" t="s">
        <v>41</v>
      </c>
      <c r="P256" s="5">
        <v>859191979</v>
      </c>
      <c r="R256" s="2" t="s">
        <v>767</v>
      </c>
      <c r="S256" s="2" t="s">
        <v>70</v>
      </c>
      <c r="T256" s="2" t="s">
        <v>317</v>
      </c>
      <c r="U256" s="2">
        <v>2008</v>
      </c>
      <c r="V256" s="6">
        <v>42721</v>
      </c>
      <c r="W256" s="3" t="s">
        <v>768</v>
      </c>
      <c r="X256" s="23">
        <v>0</v>
      </c>
    </row>
    <row r="257" spans="1:24" x14ac:dyDescent="0.2">
      <c r="A257" s="2">
        <v>1702081</v>
      </c>
      <c r="B257" s="6">
        <v>42787.692652893522</v>
      </c>
      <c r="C257" s="6">
        <v>42787.694798263889</v>
      </c>
      <c r="E257" s="6">
        <v>42795.58600891204</v>
      </c>
      <c r="F257" s="2" t="s">
        <v>26</v>
      </c>
      <c r="G257" s="2" t="s">
        <v>26</v>
      </c>
      <c r="H257" s="2" t="s">
        <v>93</v>
      </c>
      <c r="I257" s="2" t="s">
        <v>26</v>
      </c>
      <c r="J257" s="2" t="s">
        <v>26</v>
      </c>
      <c r="K257" s="2" t="s">
        <v>8</v>
      </c>
      <c r="L257" s="2" t="s">
        <v>34</v>
      </c>
      <c r="M257" s="2" t="s">
        <v>295</v>
      </c>
      <c r="N257" s="2" t="s">
        <v>769</v>
      </c>
      <c r="P257" s="5">
        <v>947986061</v>
      </c>
      <c r="R257" s="2" t="s">
        <v>770</v>
      </c>
      <c r="S257" s="2" t="s">
        <v>49</v>
      </c>
      <c r="T257" s="2" t="s">
        <v>79</v>
      </c>
      <c r="U257" s="2">
        <v>2014</v>
      </c>
      <c r="V257" s="6">
        <v>42876</v>
      </c>
      <c r="W257" s="3" t="s">
        <v>509</v>
      </c>
      <c r="X257" s="23">
        <v>10000</v>
      </c>
    </row>
    <row r="258" spans="1:24" x14ac:dyDescent="0.2">
      <c r="A258" s="2">
        <v>1702082</v>
      </c>
      <c r="B258" s="6">
        <v>42787.712452083331</v>
      </c>
      <c r="C258" s="6">
        <v>42843.729657407406</v>
      </c>
      <c r="D258" s="6">
        <v>42863</v>
      </c>
      <c r="E258" s="6">
        <v>42874.386541782405</v>
      </c>
      <c r="F258" s="2" t="s">
        <v>26</v>
      </c>
      <c r="G258" s="2" t="s">
        <v>26</v>
      </c>
      <c r="H258" s="2" t="s">
        <v>26</v>
      </c>
      <c r="I258" s="2" t="s">
        <v>26</v>
      </c>
      <c r="J258" s="2" t="s">
        <v>26</v>
      </c>
      <c r="K258" s="2" t="s">
        <v>8</v>
      </c>
      <c r="L258" s="2" t="s">
        <v>73</v>
      </c>
      <c r="M258" s="2" t="s">
        <v>45</v>
      </c>
      <c r="N258" s="2" t="s">
        <v>771</v>
      </c>
      <c r="O258" s="2" t="s">
        <v>120</v>
      </c>
      <c r="P258" s="5">
        <v>915758564</v>
      </c>
      <c r="Q258" s="5">
        <v>816679233</v>
      </c>
      <c r="R258" s="2" t="s">
        <v>772</v>
      </c>
      <c r="S258" s="2" t="s">
        <v>49</v>
      </c>
      <c r="T258" s="2" t="s">
        <v>50</v>
      </c>
      <c r="U258" s="2">
        <v>2007</v>
      </c>
      <c r="V258" s="6" t="s">
        <v>72</v>
      </c>
      <c r="X258" s="23">
        <v>180000</v>
      </c>
    </row>
    <row r="259" spans="1:24" x14ac:dyDescent="0.2">
      <c r="A259" s="2">
        <v>1702083</v>
      </c>
      <c r="B259" s="6">
        <v>42787.716531365739</v>
      </c>
      <c r="C259" s="6">
        <v>42888.551544444446</v>
      </c>
      <c r="D259" s="6">
        <v>42896</v>
      </c>
      <c r="E259" s="6">
        <v>42901.727435185188</v>
      </c>
      <c r="F259" s="2" t="s">
        <v>26</v>
      </c>
      <c r="G259" s="2" t="s">
        <v>26</v>
      </c>
      <c r="H259" s="2" t="s">
        <v>26</v>
      </c>
      <c r="I259" s="2" t="s">
        <v>26</v>
      </c>
      <c r="J259" s="2" t="s">
        <v>26</v>
      </c>
      <c r="K259" s="2" t="s">
        <v>8</v>
      </c>
      <c r="L259" s="2" t="s">
        <v>34</v>
      </c>
      <c r="M259" s="2" t="s">
        <v>28</v>
      </c>
      <c r="N259" s="2" t="s">
        <v>773</v>
      </c>
      <c r="O259" s="2" t="s">
        <v>128</v>
      </c>
      <c r="P259" s="5">
        <v>807746977</v>
      </c>
      <c r="R259" s="2" t="s">
        <v>774</v>
      </c>
      <c r="S259" s="2" t="s">
        <v>37</v>
      </c>
      <c r="T259" s="2" t="s">
        <v>354</v>
      </c>
      <c r="U259" s="2">
        <v>1997</v>
      </c>
      <c r="V259" s="6">
        <v>42968</v>
      </c>
      <c r="W259" s="3" t="s">
        <v>775</v>
      </c>
      <c r="X259" s="23">
        <v>27400</v>
      </c>
    </row>
    <row r="260" spans="1:24" x14ac:dyDescent="0.2">
      <c r="A260" s="2">
        <v>1702084</v>
      </c>
      <c r="B260" s="6">
        <v>42787.72087222222</v>
      </c>
      <c r="C260" s="6">
        <v>42847.404764699073</v>
      </c>
      <c r="D260" s="6">
        <v>42870</v>
      </c>
      <c r="E260" s="6" t="s">
        <v>1511</v>
      </c>
      <c r="F260" s="2">
        <v>22.595235300927015</v>
      </c>
      <c r="G260" s="2" t="s">
        <v>11</v>
      </c>
      <c r="H260" s="2" t="s">
        <v>93</v>
      </c>
      <c r="I260" s="2" t="s">
        <v>95</v>
      </c>
      <c r="J260" s="2" t="s">
        <v>95</v>
      </c>
      <c r="K260" s="2" t="s">
        <v>8</v>
      </c>
      <c r="L260" s="2" t="s">
        <v>73</v>
      </c>
      <c r="M260" s="2" t="s">
        <v>45</v>
      </c>
      <c r="N260" s="2" t="s">
        <v>776</v>
      </c>
      <c r="O260" s="2" t="s">
        <v>68</v>
      </c>
      <c r="P260" s="5">
        <v>894949490</v>
      </c>
      <c r="R260" s="2" t="s">
        <v>777</v>
      </c>
      <c r="S260" s="2" t="s">
        <v>55</v>
      </c>
      <c r="T260" s="2" t="s">
        <v>76</v>
      </c>
      <c r="U260" s="2">
        <v>2011</v>
      </c>
      <c r="V260" s="6">
        <v>42836</v>
      </c>
      <c r="W260" s="3" t="s">
        <v>57</v>
      </c>
      <c r="X260" s="23">
        <v>2000</v>
      </c>
    </row>
    <row r="261" spans="1:24" x14ac:dyDescent="0.2">
      <c r="A261" s="2">
        <v>1702085</v>
      </c>
      <c r="B261" s="6">
        <v>42787.731835763887</v>
      </c>
      <c r="C261" s="6">
        <v>42787.735163657409</v>
      </c>
      <c r="E261" s="6">
        <v>42796.450885416663</v>
      </c>
      <c r="F261" s="2" t="s">
        <v>26</v>
      </c>
      <c r="G261" s="2" t="s">
        <v>26</v>
      </c>
      <c r="H261" s="2" t="s">
        <v>93</v>
      </c>
      <c r="I261" s="2" t="s">
        <v>26</v>
      </c>
      <c r="J261" s="2" t="s">
        <v>26</v>
      </c>
      <c r="K261" s="2" t="s">
        <v>8</v>
      </c>
      <c r="L261" s="2" t="s">
        <v>27</v>
      </c>
      <c r="M261" s="2" t="s">
        <v>28</v>
      </c>
      <c r="N261" s="2" t="s">
        <v>778</v>
      </c>
      <c r="O261" s="2" t="s">
        <v>68</v>
      </c>
      <c r="P261" s="5">
        <v>954895622</v>
      </c>
      <c r="R261" s="2" t="s">
        <v>779</v>
      </c>
      <c r="S261" s="2" t="s">
        <v>64</v>
      </c>
      <c r="T261" s="2">
        <v>2</v>
      </c>
      <c r="U261" s="2">
        <v>2012</v>
      </c>
      <c r="V261" s="6">
        <v>42748</v>
      </c>
      <c r="W261" s="3" t="s">
        <v>99</v>
      </c>
      <c r="X261" s="23">
        <v>4210.28</v>
      </c>
    </row>
    <row r="262" spans="1:24" x14ac:dyDescent="0.2">
      <c r="A262" s="2">
        <v>1702086</v>
      </c>
      <c r="B262" s="6">
        <v>42788.408366319447</v>
      </c>
      <c r="C262" s="6">
        <v>42788.410081018519</v>
      </c>
      <c r="E262" s="6">
        <v>42790.433183449073</v>
      </c>
      <c r="F262" s="2" t="s">
        <v>26</v>
      </c>
      <c r="G262" s="2" t="s">
        <v>26</v>
      </c>
      <c r="H262" s="2" t="s">
        <v>95</v>
      </c>
      <c r="I262" s="2" t="s">
        <v>26</v>
      </c>
      <c r="J262" s="2" t="s">
        <v>26</v>
      </c>
      <c r="K262" s="2" t="s">
        <v>269</v>
      </c>
      <c r="L262" s="2" t="s">
        <v>34</v>
      </c>
      <c r="M262" s="2" t="s">
        <v>126</v>
      </c>
      <c r="N262" s="2" t="s">
        <v>780</v>
      </c>
      <c r="P262" s="5">
        <v>890691444</v>
      </c>
      <c r="R262" s="2" t="s">
        <v>781</v>
      </c>
      <c r="S262" s="2" t="s">
        <v>49</v>
      </c>
      <c r="T262" s="2" t="s">
        <v>151</v>
      </c>
      <c r="X262" s="23">
        <v>7800</v>
      </c>
    </row>
    <row r="263" spans="1:24" x14ac:dyDescent="0.2">
      <c r="A263" s="2">
        <v>1702087</v>
      </c>
      <c r="B263" s="6">
        <v>42788.731793981482</v>
      </c>
      <c r="C263" s="6">
        <v>42816.656074537037</v>
      </c>
      <c r="D263" s="6">
        <v>42825</v>
      </c>
      <c r="E263" s="6">
        <v>42832.359896412039</v>
      </c>
      <c r="F263" s="2" t="s">
        <v>26</v>
      </c>
      <c r="G263" s="2" t="s">
        <v>26</v>
      </c>
      <c r="H263" s="2" t="s">
        <v>93</v>
      </c>
      <c r="I263" s="2" t="s">
        <v>26</v>
      </c>
      <c r="J263" s="2" t="s">
        <v>26</v>
      </c>
      <c r="K263" s="2" t="s">
        <v>8</v>
      </c>
      <c r="L263" s="2" t="s">
        <v>27</v>
      </c>
      <c r="M263" s="2" t="s">
        <v>61</v>
      </c>
      <c r="N263" s="2" t="s">
        <v>782</v>
      </c>
      <c r="O263" s="2" t="s">
        <v>128</v>
      </c>
      <c r="P263" s="5">
        <v>859423670</v>
      </c>
      <c r="R263" s="2" t="s">
        <v>783</v>
      </c>
      <c r="S263" s="2" t="s">
        <v>49</v>
      </c>
      <c r="T263" s="2" t="s">
        <v>130</v>
      </c>
      <c r="V263" s="6" t="s">
        <v>72</v>
      </c>
      <c r="X263" s="23">
        <v>19085</v>
      </c>
    </row>
    <row r="264" spans="1:24" x14ac:dyDescent="0.2">
      <c r="A264" s="2">
        <v>1702088</v>
      </c>
      <c r="B264" s="6">
        <v>42788.735971527778</v>
      </c>
      <c r="E264" s="6">
        <v>42868.674687615741</v>
      </c>
      <c r="F264" s="2" t="s">
        <v>26</v>
      </c>
      <c r="G264" s="2" t="s">
        <v>26</v>
      </c>
      <c r="H264" s="2" t="s">
        <v>26</v>
      </c>
      <c r="I264" s="2" t="s">
        <v>26</v>
      </c>
      <c r="J264" s="2" t="s">
        <v>26</v>
      </c>
      <c r="K264" s="2" t="s">
        <v>8</v>
      </c>
      <c r="L264" s="2" t="s">
        <v>27</v>
      </c>
      <c r="M264" s="2" t="s">
        <v>28</v>
      </c>
      <c r="N264" s="2" t="s">
        <v>366</v>
      </c>
      <c r="O264" s="2" t="s">
        <v>53</v>
      </c>
      <c r="P264" s="5">
        <v>643200734</v>
      </c>
      <c r="R264" s="2" t="s">
        <v>367</v>
      </c>
      <c r="S264" s="2" t="s">
        <v>49</v>
      </c>
      <c r="T264" s="2" t="s">
        <v>205</v>
      </c>
      <c r="U264" s="2">
        <v>2014</v>
      </c>
      <c r="V264" s="6">
        <v>42812</v>
      </c>
      <c r="W264" s="3" t="s">
        <v>99</v>
      </c>
      <c r="X264" s="23">
        <v>4500</v>
      </c>
    </row>
    <row r="265" spans="1:24" x14ac:dyDescent="0.2">
      <c r="A265" s="2">
        <v>1702089</v>
      </c>
      <c r="B265" s="6">
        <v>42788.738551041664</v>
      </c>
      <c r="F265" s="2" t="s">
        <v>126</v>
      </c>
      <c r="G265" s="2" t="s">
        <v>126</v>
      </c>
      <c r="H265" s="2" t="s">
        <v>126</v>
      </c>
      <c r="I265" s="2" t="s">
        <v>126</v>
      </c>
      <c r="J265" s="2" t="s">
        <v>126</v>
      </c>
      <c r="K265" s="2" t="s">
        <v>8</v>
      </c>
      <c r="L265" s="2" t="s">
        <v>27</v>
      </c>
      <c r="M265" s="2" t="s">
        <v>45</v>
      </c>
      <c r="N265" s="2" t="s">
        <v>784</v>
      </c>
      <c r="O265" s="2" t="s">
        <v>47</v>
      </c>
      <c r="P265" s="5">
        <v>891090696</v>
      </c>
      <c r="R265" s="2" t="s">
        <v>785</v>
      </c>
      <c r="S265" s="2" t="s">
        <v>55</v>
      </c>
      <c r="T265" s="2" t="s">
        <v>56</v>
      </c>
      <c r="U265" s="2">
        <v>2010</v>
      </c>
      <c r="V265" s="6">
        <v>42819</v>
      </c>
      <c r="W265" s="3" t="s">
        <v>229</v>
      </c>
      <c r="X265" s="23">
        <v>0</v>
      </c>
    </row>
    <row r="266" spans="1:24" x14ac:dyDescent="0.2">
      <c r="A266" s="2">
        <v>1702090</v>
      </c>
      <c r="B266" s="6">
        <v>42789.454981134259</v>
      </c>
      <c r="C266" s="6">
        <v>42789.457178819444</v>
      </c>
      <c r="E266" s="6">
        <v>42796.625746296297</v>
      </c>
      <c r="F266" s="2" t="s">
        <v>26</v>
      </c>
      <c r="G266" s="2" t="s">
        <v>26</v>
      </c>
      <c r="H266" s="2" t="s">
        <v>93</v>
      </c>
      <c r="I266" s="2" t="s">
        <v>26</v>
      </c>
      <c r="J266" s="2" t="s">
        <v>26</v>
      </c>
      <c r="K266" s="2" t="s">
        <v>8</v>
      </c>
      <c r="L266" s="2" t="s">
        <v>34</v>
      </c>
      <c r="M266" s="2" t="s">
        <v>28</v>
      </c>
      <c r="N266" s="2" t="s">
        <v>786</v>
      </c>
      <c r="O266" s="2" t="s">
        <v>114</v>
      </c>
      <c r="P266" s="5">
        <v>875563966</v>
      </c>
      <c r="R266" s="2" t="s">
        <v>787</v>
      </c>
      <c r="S266" s="2" t="s">
        <v>31</v>
      </c>
      <c r="T266" s="2" t="s">
        <v>116</v>
      </c>
      <c r="U266" s="2">
        <v>2013</v>
      </c>
      <c r="V266" s="6">
        <v>42914</v>
      </c>
      <c r="W266" s="3" t="s">
        <v>117</v>
      </c>
      <c r="X266" s="23">
        <v>11757</v>
      </c>
    </row>
    <row r="267" spans="1:24" x14ac:dyDescent="0.2">
      <c r="A267" s="2">
        <v>1702091</v>
      </c>
      <c r="B267" s="6">
        <v>42789.562289004629</v>
      </c>
      <c r="C267" s="6">
        <v>42933.505492129632</v>
      </c>
      <c r="D267" s="6">
        <v>42938</v>
      </c>
      <c r="E267" s="6">
        <v>42939.959411574077</v>
      </c>
      <c r="F267" s="2" t="s">
        <v>26</v>
      </c>
      <c r="G267" s="2" t="s">
        <v>26</v>
      </c>
      <c r="H267" s="2" t="s">
        <v>26</v>
      </c>
      <c r="I267" s="2" t="s">
        <v>26</v>
      </c>
      <c r="J267" s="2" t="s">
        <v>26</v>
      </c>
      <c r="K267" s="2" t="s">
        <v>8</v>
      </c>
      <c r="L267" s="2" t="s">
        <v>34</v>
      </c>
      <c r="M267" s="2" t="s">
        <v>28</v>
      </c>
      <c r="N267" s="2" t="s">
        <v>788</v>
      </c>
      <c r="O267" s="2" t="s">
        <v>68</v>
      </c>
      <c r="P267" s="5">
        <v>879105915</v>
      </c>
      <c r="R267" s="2" t="s">
        <v>789</v>
      </c>
      <c r="S267" s="2" t="s">
        <v>31</v>
      </c>
      <c r="T267" s="2" t="s">
        <v>283</v>
      </c>
      <c r="U267" s="2">
        <v>2012</v>
      </c>
      <c r="V267" s="6">
        <v>43077</v>
      </c>
      <c r="W267" s="3" t="s">
        <v>247</v>
      </c>
    </row>
    <row r="268" spans="1:24" x14ac:dyDescent="0.2">
      <c r="A268" s="2">
        <v>1702092</v>
      </c>
      <c r="B268" s="6">
        <v>42789.566910532405</v>
      </c>
      <c r="C268" s="6">
        <v>42847.411677083335</v>
      </c>
      <c r="D268" s="6">
        <v>42853</v>
      </c>
      <c r="E268" s="6">
        <v>42852.511673263885</v>
      </c>
      <c r="F268" s="2" t="s">
        <v>26</v>
      </c>
      <c r="G268" s="2" t="s">
        <v>26</v>
      </c>
      <c r="H268" s="2" t="s">
        <v>93</v>
      </c>
      <c r="I268" s="2" t="s">
        <v>26</v>
      </c>
      <c r="J268" s="2" t="s">
        <v>26</v>
      </c>
      <c r="K268" s="2" t="s">
        <v>8</v>
      </c>
      <c r="L268" s="2" t="s">
        <v>34</v>
      </c>
      <c r="M268" s="2" t="s">
        <v>45</v>
      </c>
      <c r="N268" s="2" t="s">
        <v>790</v>
      </c>
      <c r="O268" s="2" t="s">
        <v>68</v>
      </c>
      <c r="P268" s="5">
        <v>891576725</v>
      </c>
      <c r="R268" s="2" t="s">
        <v>791</v>
      </c>
      <c r="S268" s="2" t="s">
        <v>49</v>
      </c>
      <c r="T268" s="2" t="s">
        <v>79</v>
      </c>
      <c r="U268" s="2">
        <v>2008</v>
      </c>
      <c r="V268" s="6">
        <v>42825</v>
      </c>
      <c r="W268" s="3" t="s">
        <v>135</v>
      </c>
      <c r="X268" s="23">
        <v>10180.4</v>
      </c>
    </row>
    <row r="269" spans="1:24" x14ac:dyDescent="0.2">
      <c r="A269" s="2">
        <v>1702093</v>
      </c>
      <c r="B269" s="6">
        <v>42789.646163657409</v>
      </c>
      <c r="C269" s="6">
        <v>42801.433205324072</v>
      </c>
      <c r="E269" s="6">
        <v>42805.486196990743</v>
      </c>
      <c r="F269" s="2" t="s">
        <v>26</v>
      </c>
      <c r="G269" s="2" t="s">
        <v>26</v>
      </c>
      <c r="H269" s="2" t="s">
        <v>93</v>
      </c>
      <c r="I269" s="2" t="s">
        <v>26</v>
      </c>
      <c r="J269" s="2" t="s">
        <v>26</v>
      </c>
      <c r="K269" s="2" t="s">
        <v>8</v>
      </c>
      <c r="L269" s="2" t="s">
        <v>34</v>
      </c>
      <c r="M269" s="2" t="s">
        <v>28</v>
      </c>
      <c r="N269" s="2" t="s">
        <v>792</v>
      </c>
      <c r="O269" s="2" t="s">
        <v>208</v>
      </c>
      <c r="P269" s="5">
        <v>952629263</v>
      </c>
      <c r="R269" s="2" t="s">
        <v>793</v>
      </c>
      <c r="S269" s="2" t="s">
        <v>55</v>
      </c>
      <c r="T269" s="2" t="s">
        <v>165</v>
      </c>
      <c r="U269" s="2">
        <v>2014</v>
      </c>
      <c r="V269" s="6">
        <v>43081</v>
      </c>
      <c r="W269" s="3" t="s">
        <v>194</v>
      </c>
      <c r="X269" s="23">
        <v>26264.68</v>
      </c>
    </row>
    <row r="270" spans="1:24" x14ac:dyDescent="0.2">
      <c r="A270" s="2">
        <v>1702094</v>
      </c>
      <c r="B270" s="6">
        <v>42790.402299305555</v>
      </c>
      <c r="C270" s="6">
        <v>42790.405666550927</v>
      </c>
      <c r="E270" s="6">
        <v>42866.382716898152</v>
      </c>
      <c r="F270" s="2" t="s">
        <v>26</v>
      </c>
      <c r="G270" s="2" t="s">
        <v>26</v>
      </c>
      <c r="H270" s="2" t="s">
        <v>26</v>
      </c>
      <c r="I270" s="2" t="s">
        <v>26</v>
      </c>
      <c r="J270" s="2" t="s">
        <v>26</v>
      </c>
      <c r="K270" s="2" t="s">
        <v>8</v>
      </c>
      <c r="L270" s="2" t="s">
        <v>27</v>
      </c>
      <c r="M270" s="2" t="s">
        <v>66</v>
      </c>
      <c r="N270" s="2" t="s">
        <v>794</v>
      </c>
      <c r="O270" s="2" t="s">
        <v>795</v>
      </c>
      <c r="P270" s="5">
        <v>818908396</v>
      </c>
      <c r="R270" s="2" t="s">
        <v>796</v>
      </c>
      <c r="S270" s="2" t="s">
        <v>55</v>
      </c>
      <c r="T270" s="2" t="s">
        <v>56</v>
      </c>
      <c r="U270" s="2">
        <v>2012</v>
      </c>
      <c r="V270" s="6">
        <v>42884</v>
      </c>
      <c r="W270" s="3" t="s">
        <v>396</v>
      </c>
    </row>
    <row r="271" spans="1:24" x14ac:dyDescent="0.2">
      <c r="A271" s="2">
        <v>1702095</v>
      </c>
      <c r="B271" s="6">
        <v>42790.568383333331</v>
      </c>
      <c r="C271" s="6">
        <v>42844.373581250002</v>
      </c>
      <c r="D271" s="6">
        <v>42854</v>
      </c>
      <c r="E271" s="6">
        <v>42860.463593171298</v>
      </c>
      <c r="F271" s="2" t="s">
        <v>26</v>
      </c>
      <c r="G271" s="2" t="s">
        <v>26</v>
      </c>
      <c r="H271" s="2" t="s">
        <v>93</v>
      </c>
      <c r="I271" s="2" t="s">
        <v>26</v>
      </c>
      <c r="J271" s="2" t="s">
        <v>26</v>
      </c>
      <c r="K271" s="2" t="s">
        <v>8</v>
      </c>
      <c r="L271" s="2" t="s">
        <v>27</v>
      </c>
      <c r="M271" s="2" t="s">
        <v>295</v>
      </c>
      <c r="N271" s="2" t="s">
        <v>797</v>
      </c>
      <c r="O271" s="2" t="s">
        <v>407</v>
      </c>
      <c r="P271" s="5">
        <v>968767661</v>
      </c>
      <c r="R271" s="2" t="s">
        <v>798</v>
      </c>
      <c r="S271" s="2" t="s">
        <v>133</v>
      </c>
      <c r="T271" s="2" t="s">
        <v>799</v>
      </c>
      <c r="V271" s="6" t="s">
        <v>72</v>
      </c>
    </row>
    <row r="272" spans="1:24" x14ac:dyDescent="0.2">
      <c r="A272" s="2">
        <v>1702096</v>
      </c>
      <c r="B272" s="6">
        <v>42791.48631990741</v>
      </c>
      <c r="C272" s="6">
        <v>42943.726604166666</v>
      </c>
      <c r="D272" s="6">
        <v>42955</v>
      </c>
      <c r="E272" s="6" t="s">
        <v>1511</v>
      </c>
      <c r="F272" s="2">
        <v>11.27339583333378</v>
      </c>
      <c r="G272" s="2" t="s">
        <v>11</v>
      </c>
      <c r="H272" s="2" t="s">
        <v>93</v>
      </c>
      <c r="I272" s="2" t="s">
        <v>1620</v>
      </c>
      <c r="J272" s="2" t="s">
        <v>95</v>
      </c>
      <c r="K272" s="2" t="s">
        <v>8</v>
      </c>
      <c r="L272" s="2" t="s">
        <v>27</v>
      </c>
      <c r="M272" s="2" t="s">
        <v>295</v>
      </c>
      <c r="N272" s="2" t="s">
        <v>800</v>
      </c>
      <c r="O272" s="2" t="s">
        <v>41</v>
      </c>
      <c r="P272" s="5">
        <v>614455516</v>
      </c>
      <c r="R272" s="2" t="s">
        <v>801</v>
      </c>
      <c r="S272" s="2" t="s">
        <v>49</v>
      </c>
      <c r="T272" s="2" t="s">
        <v>214</v>
      </c>
      <c r="V272" s="6" t="s">
        <v>72</v>
      </c>
      <c r="X272" s="23">
        <v>4247.66</v>
      </c>
    </row>
    <row r="273" spans="1:24" x14ac:dyDescent="0.2">
      <c r="A273" s="2">
        <v>1702097</v>
      </c>
      <c r="B273" s="6">
        <v>42791.495604745367</v>
      </c>
      <c r="C273" s="6">
        <v>42814.590509027781</v>
      </c>
      <c r="D273" s="6">
        <v>0</v>
      </c>
      <c r="E273" s="6">
        <v>42835.733544560186</v>
      </c>
      <c r="F273" s="2" t="s">
        <v>26</v>
      </c>
      <c r="G273" s="2" t="s">
        <v>26</v>
      </c>
      <c r="H273" s="2" t="s">
        <v>93</v>
      </c>
      <c r="I273" s="2" t="s">
        <v>26</v>
      </c>
      <c r="J273" s="2" t="s">
        <v>26</v>
      </c>
      <c r="K273" s="2" t="s">
        <v>8</v>
      </c>
      <c r="L273" s="2" t="s">
        <v>34</v>
      </c>
      <c r="M273" s="2" t="s">
        <v>81</v>
      </c>
      <c r="N273" s="2" t="s">
        <v>802</v>
      </c>
      <c r="O273" s="2" t="s">
        <v>120</v>
      </c>
      <c r="P273" s="5">
        <v>858204747</v>
      </c>
      <c r="R273" s="2" t="s">
        <v>803</v>
      </c>
      <c r="S273" s="2" t="s">
        <v>55</v>
      </c>
      <c r="T273" s="2" t="s">
        <v>165</v>
      </c>
      <c r="U273" s="2">
        <v>2012</v>
      </c>
      <c r="V273" s="6">
        <v>42927</v>
      </c>
      <c r="W273" s="3" t="s">
        <v>194</v>
      </c>
    </row>
    <row r="274" spans="1:24" x14ac:dyDescent="0.2">
      <c r="A274" s="2">
        <v>1702098</v>
      </c>
      <c r="B274" s="6">
        <v>42791.674571643518</v>
      </c>
      <c r="F274" s="2" t="s">
        <v>126</v>
      </c>
      <c r="G274" s="2" t="s">
        <v>126</v>
      </c>
      <c r="H274" s="2" t="s">
        <v>126</v>
      </c>
      <c r="I274" s="2" t="s">
        <v>126</v>
      </c>
      <c r="J274" s="2" t="s">
        <v>126</v>
      </c>
      <c r="K274" s="2" t="s">
        <v>8</v>
      </c>
      <c r="L274" s="2" t="s">
        <v>27</v>
      </c>
      <c r="M274" s="2" t="s">
        <v>295</v>
      </c>
      <c r="N274" s="2" t="s">
        <v>804</v>
      </c>
      <c r="O274" s="2" t="s">
        <v>120</v>
      </c>
      <c r="P274" s="5">
        <v>863826919</v>
      </c>
      <c r="R274" s="2" t="s">
        <v>805</v>
      </c>
      <c r="S274" s="2" t="s">
        <v>55</v>
      </c>
      <c r="T274" s="2" t="s">
        <v>142</v>
      </c>
      <c r="U274" s="2">
        <v>2013</v>
      </c>
      <c r="V274" s="6">
        <v>42793</v>
      </c>
      <c r="W274" s="3" t="s">
        <v>135</v>
      </c>
      <c r="X274" s="23">
        <v>0</v>
      </c>
    </row>
    <row r="275" spans="1:24" x14ac:dyDescent="0.2">
      <c r="A275" s="2">
        <v>1702099</v>
      </c>
      <c r="B275" s="6">
        <v>42794.378464699075</v>
      </c>
      <c r="C275" s="6">
        <v>42849.426515624997</v>
      </c>
      <c r="D275" s="6">
        <v>42857</v>
      </c>
      <c r="E275" s="6">
        <v>42860.456079861113</v>
      </c>
      <c r="F275" s="2" t="s">
        <v>26</v>
      </c>
      <c r="G275" s="2" t="s">
        <v>26</v>
      </c>
      <c r="H275" s="2" t="s">
        <v>93</v>
      </c>
      <c r="I275" s="2" t="s">
        <v>26</v>
      </c>
      <c r="J275" s="2" t="s">
        <v>26</v>
      </c>
      <c r="K275" s="2" t="s">
        <v>8</v>
      </c>
      <c r="L275" s="2" t="s">
        <v>34</v>
      </c>
      <c r="M275" s="2" t="s">
        <v>45</v>
      </c>
      <c r="N275" s="2" t="s">
        <v>806</v>
      </c>
      <c r="O275" s="2" t="s">
        <v>68</v>
      </c>
      <c r="P275" s="5">
        <v>890661784</v>
      </c>
      <c r="R275" s="2" t="s">
        <v>807</v>
      </c>
      <c r="S275" s="2" t="s">
        <v>31</v>
      </c>
      <c r="T275" s="2" t="s">
        <v>283</v>
      </c>
      <c r="U275" s="2">
        <v>2009</v>
      </c>
      <c r="V275" s="6">
        <v>42929</v>
      </c>
      <c r="W275" s="3" t="s">
        <v>138</v>
      </c>
      <c r="X275" s="23">
        <v>2640</v>
      </c>
    </row>
    <row r="276" spans="1:24" x14ac:dyDescent="0.2">
      <c r="A276" s="2">
        <v>1702100</v>
      </c>
      <c r="B276" s="6">
        <v>42794.381178587966</v>
      </c>
      <c r="C276" s="6">
        <v>42857</v>
      </c>
      <c r="D276" s="6">
        <v>42882</v>
      </c>
      <c r="E276" s="6">
        <v>42896.740502546294</v>
      </c>
      <c r="F276" s="2" t="s">
        <v>26</v>
      </c>
      <c r="G276" s="2" t="s">
        <v>26</v>
      </c>
      <c r="H276" s="2" t="s">
        <v>26</v>
      </c>
      <c r="I276" s="2" t="s">
        <v>26</v>
      </c>
      <c r="J276" s="2" t="s">
        <v>26</v>
      </c>
      <c r="K276" s="2" t="s">
        <v>8</v>
      </c>
      <c r="L276" s="2" t="s">
        <v>73</v>
      </c>
      <c r="M276" s="2" t="s">
        <v>66</v>
      </c>
      <c r="N276" s="2" t="s">
        <v>808</v>
      </c>
      <c r="O276" s="2" t="s">
        <v>120</v>
      </c>
      <c r="P276" s="5">
        <v>814257805</v>
      </c>
      <c r="Q276" s="5">
        <v>873323312</v>
      </c>
      <c r="R276" s="2" t="s">
        <v>809</v>
      </c>
      <c r="S276" s="2" t="s">
        <v>49</v>
      </c>
      <c r="T276" s="2" t="s">
        <v>130</v>
      </c>
      <c r="U276" s="2">
        <v>2009</v>
      </c>
      <c r="V276" s="6">
        <v>43069</v>
      </c>
      <c r="W276" s="3" t="s">
        <v>39</v>
      </c>
      <c r="X276" s="23">
        <v>12042</v>
      </c>
    </row>
    <row r="277" spans="1:24" x14ac:dyDescent="0.2">
      <c r="A277" s="2">
        <v>1702101</v>
      </c>
      <c r="B277" s="6">
        <v>42794.713700925924</v>
      </c>
      <c r="F277" s="2" t="s">
        <v>126</v>
      </c>
      <c r="G277" s="2" t="s">
        <v>126</v>
      </c>
      <c r="H277" s="2" t="s">
        <v>126</v>
      </c>
      <c r="I277" s="2" t="s">
        <v>126</v>
      </c>
      <c r="J277" s="2" t="s">
        <v>126</v>
      </c>
      <c r="K277" s="2" t="s">
        <v>8</v>
      </c>
      <c r="L277" s="2" t="s">
        <v>170</v>
      </c>
      <c r="M277" s="2" t="s">
        <v>61</v>
      </c>
      <c r="N277" s="2" t="s">
        <v>810</v>
      </c>
      <c r="O277" s="2" t="s">
        <v>254</v>
      </c>
      <c r="P277" s="5">
        <v>818360111</v>
      </c>
      <c r="Q277" s="5">
        <v>616516885</v>
      </c>
      <c r="R277" s="2" t="s">
        <v>811</v>
      </c>
      <c r="S277" s="2" t="s">
        <v>70</v>
      </c>
      <c r="T277" s="2" t="s">
        <v>812</v>
      </c>
      <c r="U277" s="2">
        <v>2009</v>
      </c>
      <c r="V277" s="6">
        <v>42958</v>
      </c>
      <c r="W277" s="3" t="s">
        <v>39</v>
      </c>
      <c r="X277" s="23">
        <v>27790</v>
      </c>
    </row>
    <row r="278" spans="1:24" x14ac:dyDescent="0.2">
      <c r="A278" s="2">
        <v>1703001</v>
      </c>
      <c r="B278" s="6">
        <v>42795.45845810185</v>
      </c>
      <c r="C278" s="6">
        <v>42795.459638078704</v>
      </c>
      <c r="E278" s="6" t="s">
        <v>1511</v>
      </c>
      <c r="F278" s="2" t="s">
        <v>92</v>
      </c>
      <c r="G278" s="2" t="s">
        <v>11</v>
      </c>
      <c r="H278" s="2" t="s">
        <v>93</v>
      </c>
      <c r="I278" s="2" t="s">
        <v>95</v>
      </c>
      <c r="J278" s="2" t="s">
        <v>95</v>
      </c>
      <c r="K278" s="2" t="s">
        <v>269</v>
      </c>
      <c r="L278" s="2" t="s">
        <v>27</v>
      </c>
      <c r="M278" s="2" t="s">
        <v>126</v>
      </c>
      <c r="N278" s="2" t="s">
        <v>813</v>
      </c>
      <c r="P278" s="5">
        <v>636687016</v>
      </c>
      <c r="R278" s="2" t="s">
        <v>814</v>
      </c>
      <c r="S278" s="2" t="s">
        <v>49</v>
      </c>
      <c r="T278" s="2" t="s">
        <v>130</v>
      </c>
    </row>
    <row r="279" spans="1:24" x14ac:dyDescent="0.2">
      <c r="A279" s="2">
        <v>1703002</v>
      </c>
      <c r="B279" s="6">
        <v>42795.551379976852</v>
      </c>
      <c r="F279" s="2" t="s">
        <v>126</v>
      </c>
      <c r="G279" s="2" t="s">
        <v>126</v>
      </c>
      <c r="H279" s="2" t="s">
        <v>126</v>
      </c>
      <c r="I279" s="2" t="s">
        <v>126</v>
      </c>
      <c r="J279" s="2" t="s">
        <v>126</v>
      </c>
      <c r="K279" s="2" t="s">
        <v>8</v>
      </c>
      <c r="L279" s="2" t="s">
        <v>27</v>
      </c>
      <c r="M279" s="2" t="s">
        <v>45</v>
      </c>
      <c r="N279" s="2" t="s">
        <v>815</v>
      </c>
      <c r="P279" s="5">
        <v>953834409</v>
      </c>
      <c r="R279" s="2" t="s">
        <v>816</v>
      </c>
      <c r="S279" s="2" t="s">
        <v>49</v>
      </c>
      <c r="T279" s="2" t="s">
        <v>130</v>
      </c>
      <c r="U279" s="2">
        <v>2005</v>
      </c>
      <c r="V279" s="6">
        <v>42733</v>
      </c>
      <c r="W279" s="3">
        <v>0</v>
      </c>
    </row>
    <row r="280" spans="1:24" x14ac:dyDescent="0.2">
      <c r="A280" s="2">
        <v>1703003</v>
      </c>
      <c r="B280" s="6">
        <v>42795.555885069443</v>
      </c>
      <c r="C280" s="6">
        <v>42795.566620949074</v>
      </c>
      <c r="E280" s="6">
        <v>42805.582328009259</v>
      </c>
      <c r="F280" s="2" t="s">
        <v>26</v>
      </c>
      <c r="G280" s="2" t="s">
        <v>26</v>
      </c>
      <c r="H280" s="2" t="s">
        <v>93</v>
      </c>
      <c r="I280" s="2" t="s">
        <v>26</v>
      </c>
      <c r="J280" s="2" t="s">
        <v>26</v>
      </c>
      <c r="K280" s="2" t="s">
        <v>8</v>
      </c>
      <c r="L280" s="2" t="s">
        <v>27</v>
      </c>
      <c r="M280" s="2" t="s">
        <v>817</v>
      </c>
      <c r="N280" s="2" t="s">
        <v>818</v>
      </c>
      <c r="O280" s="2" t="s">
        <v>47</v>
      </c>
      <c r="P280" s="5">
        <v>23870794</v>
      </c>
      <c r="Q280" s="5">
        <v>892197978</v>
      </c>
      <c r="R280" s="2" t="s">
        <v>819</v>
      </c>
      <c r="S280" s="2" t="s">
        <v>49</v>
      </c>
      <c r="T280" s="2" t="s">
        <v>178</v>
      </c>
      <c r="U280" s="2">
        <v>2001</v>
      </c>
      <c r="V280" s="6">
        <v>42740</v>
      </c>
      <c r="W280" s="3">
        <v>1</v>
      </c>
      <c r="X280" s="23">
        <v>22250</v>
      </c>
    </row>
    <row r="281" spans="1:24" x14ac:dyDescent="0.2">
      <c r="A281" s="2">
        <v>1703004</v>
      </c>
      <c r="B281" s="6">
        <v>42795.570809259261</v>
      </c>
      <c r="C281" s="6">
        <v>42795.57415335648</v>
      </c>
      <c r="E281" s="6">
        <v>42802.728845717589</v>
      </c>
      <c r="F281" s="2" t="s">
        <v>26</v>
      </c>
      <c r="G281" s="2" t="s">
        <v>26</v>
      </c>
      <c r="H281" s="2" t="s">
        <v>93</v>
      </c>
      <c r="I281" s="2" t="s">
        <v>26</v>
      </c>
      <c r="J281" s="2" t="s">
        <v>26</v>
      </c>
      <c r="K281" s="2" t="s">
        <v>8</v>
      </c>
      <c r="L281" s="2" t="s">
        <v>27</v>
      </c>
      <c r="M281" s="2" t="s">
        <v>28</v>
      </c>
      <c r="N281" s="2" t="s">
        <v>820</v>
      </c>
      <c r="O281" s="2" t="s">
        <v>68</v>
      </c>
      <c r="P281" s="5">
        <v>97764324</v>
      </c>
      <c r="R281" s="2" t="s">
        <v>821</v>
      </c>
      <c r="S281" s="2" t="s">
        <v>419</v>
      </c>
      <c r="T281" s="2" t="s">
        <v>822</v>
      </c>
      <c r="U281" s="2">
        <v>2009</v>
      </c>
      <c r="V281" s="6">
        <v>42825</v>
      </c>
      <c r="W281" s="3" t="s">
        <v>823</v>
      </c>
      <c r="X281" s="23">
        <v>24273.15</v>
      </c>
    </row>
    <row r="282" spans="1:24" x14ac:dyDescent="0.2">
      <c r="A282" s="2">
        <v>1703005</v>
      </c>
      <c r="B282" s="6">
        <v>42795.665076273151</v>
      </c>
      <c r="C282" s="6">
        <v>42800.640419560186</v>
      </c>
      <c r="E282" s="6">
        <v>42826.666419560184</v>
      </c>
      <c r="F282" s="2" t="s">
        <v>26</v>
      </c>
      <c r="G282" s="2" t="s">
        <v>26</v>
      </c>
      <c r="H282" s="2" t="s">
        <v>93</v>
      </c>
      <c r="I282" s="2" t="s">
        <v>26</v>
      </c>
      <c r="J282" s="2" t="s">
        <v>26</v>
      </c>
      <c r="K282" s="2" t="s">
        <v>8</v>
      </c>
      <c r="L282" s="2" t="s">
        <v>27</v>
      </c>
      <c r="M282" s="2" t="s">
        <v>45</v>
      </c>
      <c r="N282" s="2" t="s">
        <v>824</v>
      </c>
      <c r="O282" s="2" t="s">
        <v>47</v>
      </c>
      <c r="P282" s="5">
        <v>902708797</v>
      </c>
      <c r="R282" s="2" t="s">
        <v>825</v>
      </c>
      <c r="S282" s="2" t="s">
        <v>55</v>
      </c>
      <c r="T282" s="2" t="s">
        <v>76</v>
      </c>
      <c r="U282" s="2">
        <v>2009</v>
      </c>
      <c r="V282" s="6">
        <v>42832</v>
      </c>
      <c r="W282" s="3" t="s">
        <v>232</v>
      </c>
      <c r="X282" s="23">
        <v>6957.94</v>
      </c>
    </row>
    <row r="283" spans="1:24" x14ac:dyDescent="0.2">
      <c r="A283" s="2">
        <v>1703006</v>
      </c>
      <c r="B283" s="6">
        <v>42795.667435995369</v>
      </c>
      <c r="C283" s="6">
        <v>42877.636422685187</v>
      </c>
      <c r="D283" s="6">
        <v>42886</v>
      </c>
      <c r="E283" s="6">
        <v>42899.721212268516</v>
      </c>
      <c r="F283" s="2" t="s">
        <v>26</v>
      </c>
      <c r="G283" s="2" t="s">
        <v>26</v>
      </c>
      <c r="H283" s="2" t="s">
        <v>26</v>
      </c>
      <c r="I283" s="2" t="s">
        <v>26</v>
      </c>
      <c r="J283" s="2" t="s">
        <v>26</v>
      </c>
      <c r="K283" s="2" t="s">
        <v>8</v>
      </c>
      <c r="L283" s="2" t="s">
        <v>34</v>
      </c>
      <c r="M283" s="2" t="s">
        <v>118</v>
      </c>
      <c r="N283" s="2" t="s">
        <v>826</v>
      </c>
      <c r="O283" s="2" t="s">
        <v>41</v>
      </c>
      <c r="P283" s="5">
        <v>993247636</v>
      </c>
      <c r="R283" s="2" t="s">
        <v>827</v>
      </c>
      <c r="S283" s="2" t="s">
        <v>55</v>
      </c>
      <c r="T283" s="2" t="s">
        <v>76</v>
      </c>
      <c r="U283" s="2">
        <v>2008</v>
      </c>
      <c r="V283" s="6">
        <v>42925</v>
      </c>
      <c r="W283" s="3" t="s">
        <v>39</v>
      </c>
    </row>
    <row r="284" spans="1:24" x14ac:dyDescent="0.2">
      <c r="A284" s="2">
        <v>1703007</v>
      </c>
      <c r="B284" s="6">
        <v>42796.636752199076</v>
      </c>
      <c r="C284" s="6">
        <v>42796.661518287037</v>
      </c>
      <c r="E284" s="6" t="s">
        <v>1511</v>
      </c>
      <c r="F284" s="2" t="s">
        <v>92</v>
      </c>
      <c r="G284" s="2" t="s">
        <v>11</v>
      </c>
      <c r="H284" s="2" t="s">
        <v>93</v>
      </c>
      <c r="I284" s="2" t="s">
        <v>94</v>
      </c>
      <c r="J284" s="2" t="s">
        <v>95</v>
      </c>
      <c r="K284" s="2" t="s">
        <v>8</v>
      </c>
      <c r="L284" s="2" t="s">
        <v>73</v>
      </c>
      <c r="M284" s="2" t="s">
        <v>45</v>
      </c>
      <c r="N284" s="2" t="s">
        <v>828</v>
      </c>
      <c r="O284" s="2" t="s">
        <v>128</v>
      </c>
      <c r="P284" s="5">
        <v>860217447</v>
      </c>
      <c r="R284" s="2" t="s">
        <v>829</v>
      </c>
      <c r="S284" s="2" t="s">
        <v>37</v>
      </c>
      <c r="T284" s="2" t="s">
        <v>102</v>
      </c>
      <c r="U284" s="2">
        <v>2010</v>
      </c>
      <c r="V284" s="6">
        <v>42740</v>
      </c>
      <c r="W284" s="3" t="s">
        <v>106</v>
      </c>
      <c r="X284" s="23">
        <v>0</v>
      </c>
    </row>
    <row r="285" spans="1:24" x14ac:dyDescent="0.2">
      <c r="A285" s="2">
        <v>1703008</v>
      </c>
      <c r="B285" s="6">
        <v>42797.558693634259</v>
      </c>
      <c r="C285" s="6">
        <v>42822.446395949075</v>
      </c>
      <c r="D285" s="6">
        <v>42832</v>
      </c>
      <c r="E285" s="6">
        <v>42844.41663240741</v>
      </c>
      <c r="F285" s="2" t="s">
        <v>26</v>
      </c>
      <c r="G285" s="2" t="s">
        <v>26</v>
      </c>
      <c r="H285" s="2" t="s">
        <v>93</v>
      </c>
      <c r="I285" s="2" t="s">
        <v>26</v>
      </c>
      <c r="J285" s="2" t="s">
        <v>26</v>
      </c>
      <c r="K285" s="2" t="s">
        <v>8</v>
      </c>
      <c r="L285" s="2" t="s">
        <v>27</v>
      </c>
      <c r="M285" s="2" t="s">
        <v>45</v>
      </c>
      <c r="N285" s="2" t="s">
        <v>830</v>
      </c>
      <c r="O285" s="2" t="s">
        <v>128</v>
      </c>
      <c r="P285" s="5">
        <v>816850257</v>
      </c>
      <c r="R285" s="2" t="s">
        <v>831</v>
      </c>
      <c r="S285" s="2" t="s">
        <v>49</v>
      </c>
      <c r="T285" s="2" t="s">
        <v>79</v>
      </c>
      <c r="U285" s="2">
        <v>2009</v>
      </c>
      <c r="V285" s="6">
        <v>42807</v>
      </c>
      <c r="W285" s="3" t="s">
        <v>250</v>
      </c>
      <c r="X285" s="23">
        <v>1985.98</v>
      </c>
    </row>
    <row r="286" spans="1:24" x14ac:dyDescent="0.2">
      <c r="A286" s="2">
        <v>1703009</v>
      </c>
      <c r="B286" s="6">
        <v>42797.578809375002</v>
      </c>
      <c r="F286" s="2" t="s">
        <v>126</v>
      </c>
      <c r="G286" s="2" t="s">
        <v>126</v>
      </c>
      <c r="H286" s="2" t="s">
        <v>126</v>
      </c>
      <c r="I286" s="2" t="s">
        <v>126</v>
      </c>
      <c r="J286" s="2" t="s">
        <v>126</v>
      </c>
      <c r="K286" s="2" t="s">
        <v>8</v>
      </c>
      <c r="L286" s="2" t="s">
        <v>34</v>
      </c>
      <c r="M286" s="2" t="s">
        <v>28</v>
      </c>
      <c r="N286" s="2" t="s">
        <v>832</v>
      </c>
      <c r="O286" s="2" t="s">
        <v>41</v>
      </c>
      <c r="P286" s="5">
        <v>949521265</v>
      </c>
      <c r="R286" s="2" t="s">
        <v>833</v>
      </c>
      <c r="S286" s="2" t="s">
        <v>31</v>
      </c>
      <c r="T286" s="2" t="s">
        <v>834</v>
      </c>
      <c r="U286" s="2">
        <v>2012</v>
      </c>
      <c r="V286" s="6">
        <v>42767</v>
      </c>
      <c r="W286" s="3" t="s">
        <v>266</v>
      </c>
      <c r="X286" s="23">
        <v>4800</v>
      </c>
    </row>
    <row r="287" spans="1:24" x14ac:dyDescent="0.2">
      <c r="A287" s="2">
        <v>1703010</v>
      </c>
      <c r="B287" s="6">
        <v>42798.64771597222</v>
      </c>
      <c r="E287" s="6">
        <v>42847.388227199073</v>
      </c>
      <c r="F287" s="2" t="s">
        <v>26</v>
      </c>
      <c r="G287" s="2" t="s">
        <v>26</v>
      </c>
      <c r="H287" s="2" t="s">
        <v>126</v>
      </c>
      <c r="I287" s="2" t="s">
        <v>26</v>
      </c>
      <c r="J287" s="2" t="s">
        <v>26</v>
      </c>
      <c r="K287" s="2" t="s">
        <v>8</v>
      </c>
      <c r="L287" s="2" t="s">
        <v>51</v>
      </c>
      <c r="M287" s="2" t="s">
        <v>295</v>
      </c>
      <c r="N287" s="2" t="s">
        <v>835</v>
      </c>
      <c r="O287" s="2" t="s">
        <v>208</v>
      </c>
      <c r="P287" s="5">
        <v>856869172</v>
      </c>
      <c r="R287" s="2" t="s">
        <v>836</v>
      </c>
      <c r="S287" s="2" t="s">
        <v>37</v>
      </c>
      <c r="T287" s="2" t="s">
        <v>102</v>
      </c>
      <c r="U287" s="2">
        <v>2012</v>
      </c>
      <c r="V287" s="6">
        <v>42875</v>
      </c>
      <c r="W287" s="3" t="s">
        <v>112</v>
      </c>
      <c r="X287" s="23">
        <v>5600</v>
      </c>
    </row>
    <row r="288" spans="1:24" x14ac:dyDescent="0.2">
      <c r="A288" s="2">
        <v>1703011</v>
      </c>
      <c r="B288" s="6">
        <v>42798.653752430553</v>
      </c>
      <c r="F288" s="2" t="s">
        <v>126</v>
      </c>
      <c r="G288" s="2" t="s">
        <v>126</v>
      </c>
      <c r="H288" s="2" t="s">
        <v>126</v>
      </c>
      <c r="I288" s="2" t="s">
        <v>126</v>
      </c>
      <c r="J288" s="2" t="s">
        <v>126</v>
      </c>
      <c r="K288" s="2" t="s">
        <v>8</v>
      </c>
      <c r="L288" s="2" t="s">
        <v>170</v>
      </c>
      <c r="M288" s="2" t="s">
        <v>66</v>
      </c>
      <c r="N288" s="2" t="s">
        <v>837</v>
      </c>
      <c r="O288" s="2" t="s">
        <v>838</v>
      </c>
      <c r="P288" s="5">
        <v>813744548</v>
      </c>
      <c r="R288" s="2" t="s">
        <v>839</v>
      </c>
      <c r="S288" s="2" t="s">
        <v>31</v>
      </c>
      <c r="T288" s="2" t="s">
        <v>382</v>
      </c>
      <c r="U288" s="2">
        <v>2014</v>
      </c>
      <c r="V288" s="6">
        <v>42800</v>
      </c>
      <c r="W288" s="3" t="s">
        <v>840</v>
      </c>
    </row>
    <row r="289" spans="1:24" x14ac:dyDescent="0.2">
      <c r="A289" s="2">
        <v>1703012</v>
      </c>
      <c r="B289" s="6">
        <v>42798.655398379633</v>
      </c>
      <c r="C289" s="6">
        <v>42822.625343518521</v>
      </c>
      <c r="D289" s="6">
        <v>42831</v>
      </c>
      <c r="E289" s="6" t="s">
        <v>1511</v>
      </c>
      <c r="F289" s="2">
        <v>8.3746564814791782</v>
      </c>
      <c r="G289" s="2" t="s">
        <v>11</v>
      </c>
      <c r="H289" s="2" t="s">
        <v>93</v>
      </c>
      <c r="I289" s="2" t="s">
        <v>94</v>
      </c>
      <c r="J289" s="2" t="s">
        <v>95</v>
      </c>
      <c r="K289" s="2" t="s">
        <v>8</v>
      </c>
      <c r="L289" s="2" t="s">
        <v>34</v>
      </c>
      <c r="M289" s="2" t="s">
        <v>88</v>
      </c>
      <c r="N289" s="2" t="s">
        <v>841</v>
      </c>
      <c r="O289" s="2" t="s">
        <v>47</v>
      </c>
      <c r="P289" s="5">
        <v>898896586</v>
      </c>
      <c r="R289" s="2" t="s">
        <v>842</v>
      </c>
      <c r="S289" s="2" t="s">
        <v>49</v>
      </c>
      <c r="T289" s="2" t="s">
        <v>843</v>
      </c>
      <c r="U289" s="2">
        <v>2011</v>
      </c>
      <c r="V289" s="6">
        <v>42897</v>
      </c>
      <c r="W289" s="3" t="s">
        <v>143</v>
      </c>
      <c r="X289" s="23">
        <v>14700</v>
      </c>
    </row>
    <row r="290" spans="1:24" x14ac:dyDescent="0.2">
      <c r="A290" s="2">
        <v>1703013</v>
      </c>
      <c r="B290" s="6">
        <v>42798.656901273149</v>
      </c>
      <c r="C290" s="6">
        <v>42798.740195486112</v>
      </c>
      <c r="E290" s="6">
        <v>42844.721866435182</v>
      </c>
      <c r="F290" s="2" t="s">
        <v>26</v>
      </c>
      <c r="G290" s="2" t="s">
        <v>26</v>
      </c>
      <c r="H290" s="2" t="s">
        <v>93</v>
      </c>
      <c r="I290" s="2" t="s">
        <v>26</v>
      </c>
      <c r="J290" s="2" t="s">
        <v>26</v>
      </c>
      <c r="K290" s="2" t="s">
        <v>8</v>
      </c>
      <c r="L290" s="2" t="s">
        <v>73</v>
      </c>
      <c r="M290" s="2" t="s">
        <v>28</v>
      </c>
      <c r="N290" s="2" t="s">
        <v>844</v>
      </c>
      <c r="O290" s="2" t="s">
        <v>128</v>
      </c>
      <c r="P290" s="5">
        <v>959165445</v>
      </c>
      <c r="R290" s="2" t="s">
        <v>845</v>
      </c>
      <c r="S290" s="2" t="s">
        <v>183</v>
      </c>
      <c r="T290" s="2" t="s">
        <v>373</v>
      </c>
      <c r="U290" s="2">
        <v>2015</v>
      </c>
      <c r="V290" s="6">
        <v>43037</v>
      </c>
      <c r="W290" s="3" t="s">
        <v>117</v>
      </c>
      <c r="X290" s="23">
        <v>32100</v>
      </c>
    </row>
    <row r="291" spans="1:24" x14ac:dyDescent="0.2">
      <c r="A291" s="2">
        <v>1703014</v>
      </c>
      <c r="B291" s="6">
        <v>42798.658327199075</v>
      </c>
      <c r="C291" s="6">
        <v>42871.667292361111</v>
      </c>
      <c r="D291" s="6">
        <v>42882</v>
      </c>
      <c r="E291" s="6">
        <v>42888.395079050926</v>
      </c>
      <c r="F291" s="2" t="s">
        <v>26</v>
      </c>
      <c r="G291" s="2" t="s">
        <v>26</v>
      </c>
      <c r="H291" s="2" t="s">
        <v>26</v>
      </c>
      <c r="I291" s="2" t="s">
        <v>26</v>
      </c>
      <c r="J291" s="2" t="s">
        <v>26</v>
      </c>
      <c r="K291" s="2" t="s">
        <v>8</v>
      </c>
      <c r="L291" s="2" t="s">
        <v>27</v>
      </c>
      <c r="M291" s="2" t="s">
        <v>81</v>
      </c>
      <c r="N291" s="2" t="s">
        <v>846</v>
      </c>
      <c r="O291" s="2" t="s">
        <v>41</v>
      </c>
      <c r="P291" s="5">
        <v>892081407</v>
      </c>
      <c r="Q291" s="5">
        <v>866137372</v>
      </c>
      <c r="R291" s="2" t="s">
        <v>847</v>
      </c>
      <c r="S291" s="2" t="s">
        <v>49</v>
      </c>
      <c r="T291" s="2" t="s">
        <v>111</v>
      </c>
      <c r="U291" s="2">
        <v>2009</v>
      </c>
      <c r="V291" s="6" t="s">
        <v>72</v>
      </c>
      <c r="X291" s="23">
        <v>0</v>
      </c>
    </row>
    <row r="292" spans="1:24" x14ac:dyDescent="0.2">
      <c r="A292" s="2">
        <v>1703015</v>
      </c>
      <c r="B292" s="6">
        <v>42798.744664467595</v>
      </c>
      <c r="C292" s="6">
        <v>42798.74832939815</v>
      </c>
      <c r="E292" s="6" t="s">
        <v>1511</v>
      </c>
      <c r="F292" s="2" t="s">
        <v>92</v>
      </c>
      <c r="G292" s="2" t="s">
        <v>11</v>
      </c>
      <c r="H292" s="2" t="s">
        <v>93</v>
      </c>
      <c r="I292" s="2" t="s">
        <v>94</v>
      </c>
      <c r="J292" s="2" t="s">
        <v>95</v>
      </c>
      <c r="K292" s="2" t="s">
        <v>8</v>
      </c>
      <c r="L292" s="2" t="s">
        <v>27</v>
      </c>
      <c r="M292" s="2" t="s">
        <v>45</v>
      </c>
      <c r="N292" s="2" t="s">
        <v>848</v>
      </c>
      <c r="O292" s="2" t="s">
        <v>849</v>
      </c>
      <c r="P292" s="5">
        <v>840104057</v>
      </c>
      <c r="R292" s="2" t="s">
        <v>850</v>
      </c>
      <c r="S292" s="2" t="s">
        <v>49</v>
      </c>
      <c r="T292" s="2" t="s">
        <v>111</v>
      </c>
      <c r="U292" s="2">
        <v>2005</v>
      </c>
      <c r="V292" s="6">
        <v>42742</v>
      </c>
      <c r="W292" s="3" t="s">
        <v>138</v>
      </c>
      <c r="X292" s="23">
        <v>4089.5</v>
      </c>
    </row>
    <row r="293" spans="1:24" x14ac:dyDescent="0.2">
      <c r="A293" s="2">
        <v>1703016</v>
      </c>
      <c r="B293" s="6">
        <v>42800</v>
      </c>
      <c r="C293" s="6">
        <v>42822.471945138888</v>
      </c>
      <c r="E293" s="6">
        <v>42833.732403703703</v>
      </c>
      <c r="F293" s="2" t="s">
        <v>26</v>
      </c>
      <c r="G293" s="2" t="s">
        <v>26</v>
      </c>
      <c r="H293" s="2" t="s">
        <v>93</v>
      </c>
      <c r="I293" s="2" t="s">
        <v>26</v>
      </c>
      <c r="J293" s="2" t="s">
        <v>26</v>
      </c>
      <c r="K293" s="2" t="s">
        <v>8</v>
      </c>
      <c r="L293" s="2" t="s">
        <v>34</v>
      </c>
      <c r="M293" s="2" t="s">
        <v>28</v>
      </c>
      <c r="N293" s="2" t="s">
        <v>744</v>
      </c>
      <c r="O293" s="2" t="s">
        <v>68</v>
      </c>
      <c r="P293" s="5">
        <v>851885402</v>
      </c>
      <c r="R293" s="2" t="s">
        <v>745</v>
      </c>
      <c r="S293" s="2" t="s">
        <v>31</v>
      </c>
      <c r="T293" s="2" t="s">
        <v>834</v>
      </c>
      <c r="U293" s="2">
        <v>2012</v>
      </c>
      <c r="V293" s="6">
        <v>42925</v>
      </c>
      <c r="W293" s="3" t="s">
        <v>266</v>
      </c>
      <c r="X293" s="23">
        <v>10000</v>
      </c>
    </row>
    <row r="294" spans="1:24" x14ac:dyDescent="0.2">
      <c r="A294" s="2">
        <v>1703017</v>
      </c>
      <c r="B294" s="6">
        <v>42800.633785532409</v>
      </c>
      <c r="C294" s="6">
        <v>42857</v>
      </c>
      <c r="D294" s="6">
        <v>42872</v>
      </c>
      <c r="E294" s="6">
        <v>42872.711485995373</v>
      </c>
      <c r="F294" s="2" t="s">
        <v>26</v>
      </c>
      <c r="G294" s="2" t="s">
        <v>26</v>
      </c>
      <c r="H294" s="2" t="s">
        <v>26</v>
      </c>
      <c r="I294" s="2" t="s">
        <v>26</v>
      </c>
      <c r="J294" s="2" t="s">
        <v>26</v>
      </c>
      <c r="K294" s="2" t="s">
        <v>8</v>
      </c>
      <c r="L294" s="2" t="s">
        <v>27</v>
      </c>
      <c r="M294" s="2" t="s">
        <v>28</v>
      </c>
      <c r="N294" s="2" t="s">
        <v>851</v>
      </c>
      <c r="O294" s="2" t="s">
        <v>120</v>
      </c>
      <c r="P294" s="5">
        <v>892089224</v>
      </c>
      <c r="R294" s="2" t="s">
        <v>852</v>
      </c>
      <c r="S294" s="2" t="s">
        <v>243</v>
      </c>
      <c r="T294" s="2" t="s">
        <v>456</v>
      </c>
      <c r="U294" s="2">
        <v>2013</v>
      </c>
      <c r="V294" s="6" t="s">
        <v>72</v>
      </c>
      <c r="X294" s="23">
        <v>9435</v>
      </c>
    </row>
    <row r="295" spans="1:24" x14ac:dyDescent="0.2">
      <c r="A295" s="2">
        <v>1703018</v>
      </c>
      <c r="B295" s="6">
        <v>42800.645278356482</v>
      </c>
      <c r="C295" s="6">
        <v>42800.647334143519</v>
      </c>
      <c r="E295" s="6" t="s">
        <v>126</v>
      </c>
      <c r="F295" s="2" t="s">
        <v>92</v>
      </c>
      <c r="G295" s="2" t="s">
        <v>11</v>
      </c>
      <c r="H295" s="2" t="s">
        <v>853</v>
      </c>
      <c r="I295" s="2" t="s">
        <v>95</v>
      </c>
      <c r="J295" s="2" t="s">
        <v>95</v>
      </c>
      <c r="K295" s="2" t="s">
        <v>8</v>
      </c>
      <c r="L295" s="2" t="s">
        <v>34</v>
      </c>
      <c r="M295" s="2" t="s">
        <v>45</v>
      </c>
      <c r="N295" s="2" t="s">
        <v>503</v>
      </c>
      <c r="O295" s="2" t="s">
        <v>407</v>
      </c>
      <c r="P295" s="5">
        <v>890770627</v>
      </c>
      <c r="R295" s="2" t="s">
        <v>504</v>
      </c>
      <c r="S295" s="2" t="s">
        <v>55</v>
      </c>
      <c r="T295" s="2" t="s">
        <v>56</v>
      </c>
      <c r="U295" s="2">
        <v>2012</v>
      </c>
      <c r="V295" s="6">
        <v>42956</v>
      </c>
      <c r="W295" s="3" t="s">
        <v>250</v>
      </c>
      <c r="X295" s="23">
        <v>7650</v>
      </c>
    </row>
    <row r="296" spans="1:24" x14ac:dyDescent="0.2">
      <c r="A296" s="2">
        <v>1703019</v>
      </c>
      <c r="B296" s="6">
        <v>42800.684393981479</v>
      </c>
      <c r="C296" s="6">
        <v>42800.688380902779</v>
      </c>
      <c r="E296" s="6">
        <v>42825.746145138888</v>
      </c>
      <c r="F296" s="2" t="s">
        <v>26</v>
      </c>
      <c r="G296" s="2" t="s">
        <v>26</v>
      </c>
      <c r="H296" s="2" t="s">
        <v>93</v>
      </c>
      <c r="I296" s="2" t="s">
        <v>26</v>
      </c>
      <c r="J296" s="2" t="s">
        <v>26</v>
      </c>
      <c r="K296" s="2" t="s">
        <v>8</v>
      </c>
      <c r="L296" s="2" t="s">
        <v>27</v>
      </c>
      <c r="M296" s="2" t="s">
        <v>66</v>
      </c>
      <c r="N296" s="2" t="s">
        <v>854</v>
      </c>
      <c r="O296" s="2" t="s">
        <v>855</v>
      </c>
      <c r="P296" s="5">
        <v>956862907</v>
      </c>
      <c r="R296" s="2" t="s">
        <v>856</v>
      </c>
      <c r="S296" s="2" t="s">
        <v>55</v>
      </c>
      <c r="T296" s="2" t="s">
        <v>76</v>
      </c>
      <c r="U296" s="2">
        <v>2007</v>
      </c>
      <c r="V296" s="6">
        <v>42616</v>
      </c>
      <c r="W296" s="3" t="s">
        <v>65</v>
      </c>
      <c r="X296" s="23">
        <v>25066</v>
      </c>
    </row>
    <row r="297" spans="1:24" x14ac:dyDescent="0.2">
      <c r="A297" s="2">
        <v>1703020</v>
      </c>
      <c r="B297" s="6">
        <v>42801.421526157406</v>
      </c>
      <c r="C297" s="6">
        <v>42801.423616898152</v>
      </c>
      <c r="E297" s="6" t="s">
        <v>1511</v>
      </c>
      <c r="F297" s="2" t="s">
        <v>92</v>
      </c>
      <c r="G297" s="2" t="s">
        <v>11</v>
      </c>
      <c r="H297" s="2" t="s">
        <v>93</v>
      </c>
      <c r="I297" s="2" t="s">
        <v>94</v>
      </c>
      <c r="J297" s="2" t="s">
        <v>95</v>
      </c>
      <c r="K297" s="2" t="s">
        <v>8</v>
      </c>
      <c r="L297" s="2" t="s">
        <v>27</v>
      </c>
      <c r="M297" s="2" t="s">
        <v>28</v>
      </c>
      <c r="N297" s="2" t="s">
        <v>857</v>
      </c>
      <c r="O297" s="2" t="s">
        <v>208</v>
      </c>
      <c r="P297" s="5">
        <v>924574445</v>
      </c>
      <c r="R297" s="2" t="s">
        <v>858</v>
      </c>
      <c r="S297" s="2" t="s">
        <v>55</v>
      </c>
      <c r="T297" s="2" t="s">
        <v>142</v>
      </c>
      <c r="U297" s="2">
        <v>2013</v>
      </c>
      <c r="V297" s="6">
        <v>43022</v>
      </c>
      <c r="W297" s="3" t="s">
        <v>117</v>
      </c>
      <c r="X297" s="23">
        <v>15624</v>
      </c>
    </row>
    <row r="298" spans="1:24" x14ac:dyDescent="0.2">
      <c r="A298" s="2">
        <v>1703021</v>
      </c>
      <c r="B298" s="6">
        <v>42801.42669270833</v>
      </c>
      <c r="C298" s="6">
        <v>42801.427485300926</v>
      </c>
      <c r="E298" s="6">
        <v>42870.722948148148</v>
      </c>
      <c r="F298" s="2" t="s">
        <v>26</v>
      </c>
      <c r="G298" s="2" t="s">
        <v>26</v>
      </c>
      <c r="H298" s="2" t="s">
        <v>26</v>
      </c>
      <c r="I298" s="2" t="s">
        <v>26</v>
      </c>
      <c r="J298" s="2" t="s">
        <v>26</v>
      </c>
      <c r="K298" s="2" t="s">
        <v>8</v>
      </c>
      <c r="L298" s="2" t="s">
        <v>51</v>
      </c>
      <c r="M298" s="2" t="s">
        <v>45</v>
      </c>
      <c r="N298" s="2" t="s">
        <v>859</v>
      </c>
      <c r="O298" s="2" t="s">
        <v>860</v>
      </c>
      <c r="P298" s="5">
        <v>989456526</v>
      </c>
      <c r="R298" s="2" t="s">
        <v>861</v>
      </c>
      <c r="S298" s="2" t="s">
        <v>133</v>
      </c>
      <c r="T298" s="2" t="s">
        <v>578</v>
      </c>
      <c r="U298" s="2">
        <v>2011</v>
      </c>
      <c r="V298" s="6" t="s">
        <v>72</v>
      </c>
      <c r="X298" s="23">
        <v>4051.4</v>
      </c>
    </row>
    <row r="299" spans="1:24" x14ac:dyDescent="0.2">
      <c r="A299" s="2">
        <v>1703022</v>
      </c>
      <c r="B299" s="6">
        <v>42801.460489467594</v>
      </c>
      <c r="F299" s="2" t="s">
        <v>126</v>
      </c>
      <c r="G299" s="2" t="s">
        <v>126</v>
      </c>
      <c r="H299" s="2" t="s">
        <v>126</v>
      </c>
      <c r="I299" s="2" t="s">
        <v>126</v>
      </c>
      <c r="J299" s="2" t="s">
        <v>126</v>
      </c>
      <c r="K299" s="2" t="s">
        <v>8</v>
      </c>
      <c r="L299" s="2" t="s">
        <v>27</v>
      </c>
      <c r="M299" s="2" t="s">
        <v>28</v>
      </c>
      <c r="N299" s="2" t="s">
        <v>862</v>
      </c>
      <c r="O299" s="2" t="s">
        <v>128</v>
      </c>
      <c r="P299" s="5">
        <v>927941910</v>
      </c>
      <c r="R299" s="2" t="s">
        <v>863</v>
      </c>
      <c r="S299" s="2" t="s">
        <v>49</v>
      </c>
      <c r="T299" s="2" t="s">
        <v>130</v>
      </c>
      <c r="U299" s="2">
        <v>2011</v>
      </c>
      <c r="V299" s="6">
        <v>42852</v>
      </c>
      <c r="W299" s="3" t="s">
        <v>864</v>
      </c>
      <c r="X299" s="23">
        <v>0</v>
      </c>
    </row>
    <row r="300" spans="1:24" x14ac:dyDescent="0.2">
      <c r="A300" s="2">
        <v>1703023</v>
      </c>
      <c r="B300" s="6">
        <v>42801.549046874999</v>
      </c>
      <c r="F300" s="2" t="s">
        <v>126</v>
      </c>
      <c r="G300" s="2" t="s">
        <v>126</v>
      </c>
      <c r="H300" s="2" t="s">
        <v>126</v>
      </c>
      <c r="I300" s="2" t="s">
        <v>126</v>
      </c>
      <c r="J300" s="2" t="s">
        <v>126</v>
      </c>
      <c r="K300" s="2" t="s">
        <v>8</v>
      </c>
      <c r="L300" s="2" t="s">
        <v>34</v>
      </c>
      <c r="M300" s="2" t="s">
        <v>45</v>
      </c>
      <c r="N300" s="2" t="s">
        <v>865</v>
      </c>
      <c r="O300" s="2" t="s">
        <v>520</v>
      </c>
      <c r="P300" s="5">
        <v>941192293</v>
      </c>
      <c r="R300" s="2" t="s">
        <v>866</v>
      </c>
      <c r="S300" s="2" t="s">
        <v>49</v>
      </c>
      <c r="T300" s="2" t="s">
        <v>111</v>
      </c>
      <c r="U300" s="2">
        <v>2006</v>
      </c>
      <c r="V300" s="6" t="s">
        <v>867</v>
      </c>
      <c r="X300" s="23">
        <v>0</v>
      </c>
    </row>
    <row r="301" spans="1:24" x14ac:dyDescent="0.2">
      <c r="A301" s="2">
        <v>1703024</v>
      </c>
      <c r="B301" s="6">
        <v>42801.553199652779</v>
      </c>
      <c r="C301" s="6">
        <v>42801.554206365741</v>
      </c>
      <c r="E301" s="6">
        <v>42812.631922685185</v>
      </c>
      <c r="F301" s="2" t="s">
        <v>26</v>
      </c>
      <c r="G301" s="2" t="s">
        <v>26</v>
      </c>
      <c r="H301" s="2" t="s">
        <v>93</v>
      </c>
      <c r="I301" s="2" t="s">
        <v>26</v>
      </c>
      <c r="J301" s="2" t="s">
        <v>26</v>
      </c>
      <c r="K301" s="2" t="s">
        <v>8</v>
      </c>
      <c r="L301" s="2" t="s">
        <v>34</v>
      </c>
      <c r="M301" s="2" t="s">
        <v>28</v>
      </c>
      <c r="N301" s="2" t="s">
        <v>868</v>
      </c>
      <c r="O301" s="2" t="s">
        <v>407</v>
      </c>
      <c r="P301" s="5">
        <v>814279056</v>
      </c>
      <c r="R301" s="2" t="s">
        <v>869</v>
      </c>
      <c r="S301" s="2" t="s">
        <v>37</v>
      </c>
      <c r="T301" s="2" t="s">
        <v>98</v>
      </c>
      <c r="U301" s="2">
        <v>2012</v>
      </c>
      <c r="V301" s="6">
        <v>42706</v>
      </c>
      <c r="W301" s="3" t="s">
        <v>661</v>
      </c>
      <c r="X301" s="23">
        <v>15300</v>
      </c>
    </row>
    <row r="302" spans="1:24" x14ac:dyDescent="0.2">
      <c r="A302" s="2">
        <v>1703025</v>
      </c>
      <c r="B302" s="6">
        <v>42801.697337731479</v>
      </c>
      <c r="F302" s="2" t="s">
        <v>126</v>
      </c>
      <c r="G302" s="2" t="s">
        <v>126</v>
      </c>
      <c r="H302" s="2" t="s">
        <v>126</v>
      </c>
      <c r="I302" s="2" t="s">
        <v>126</v>
      </c>
      <c r="J302" s="2" t="s">
        <v>126</v>
      </c>
      <c r="K302" s="2" t="s">
        <v>8</v>
      </c>
      <c r="L302" s="2" t="s">
        <v>51</v>
      </c>
      <c r="M302" s="2" t="s">
        <v>66</v>
      </c>
      <c r="N302" s="2" t="s">
        <v>870</v>
      </c>
      <c r="P302" s="5">
        <v>830078322</v>
      </c>
      <c r="R302" s="2" t="s">
        <v>871</v>
      </c>
      <c r="S302" s="2" t="s">
        <v>31</v>
      </c>
      <c r="T302" s="2" t="s">
        <v>283</v>
      </c>
      <c r="V302" s="6" t="s">
        <v>72</v>
      </c>
    </row>
    <row r="303" spans="1:24" x14ac:dyDescent="0.2">
      <c r="A303" s="2">
        <v>1703026</v>
      </c>
      <c r="B303" s="6">
        <v>42801.704838078702</v>
      </c>
      <c r="C303" s="6">
        <v>42858</v>
      </c>
      <c r="D303" s="6">
        <v>42885</v>
      </c>
      <c r="E303" s="6">
        <v>42900.481497222223</v>
      </c>
      <c r="F303" s="2" t="s">
        <v>26</v>
      </c>
      <c r="G303" s="2" t="s">
        <v>26</v>
      </c>
      <c r="H303" s="2" t="s">
        <v>26</v>
      </c>
      <c r="I303" s="2" t="s">
        <v>26</v>
      </c>
      <c r="J303" s="2" t="s">
        <v>26</v>
      </c>
      <c r="K303" s="2" t="s">
        <v>8</v>
      </c>
      <c r="L303" s="2" t="s">
        <v>73</v>
      </c>
      <c r="M303" s="2" t="s">
        <v>66</v>
      </c>
      <c r="N303" s="2" t="s">
        <v>872</v>
      </c>
      <c r="O303" s="2" t="s">
        <v>120</v>
      </c>
      <c r="P303" s="5">
        <v>891781996</v>
      </c>
      <c r="R303" s="2" t="s">
        <v>873</v>
      </c>
      <c r="S303" s="2" t="s">
        <v>133</v>
      </c>
      <c r="T303" s="2" t="s">
        <v>799</v>
      </c>
      <c r="U303" s="2">
        <v>2009</v>
      </c>
      <c r="V303" s="6" t="s">
        <v>72</v>
      </c>
      <c r="X303" s="23">
        <v>4289.72</v>
      </c>
    </row>
    <row r="304" spans="1:24" x14ac:dyDescent="0.2">
      <c r="A304" s="2">
        <v>1703027</v>
      </c>
      <c r="B304" s="6">
        <v>42802.408071412035</v>
      </c>
      <c r="C304" s="6">
        <v>42844.729140393516</v>
      </c>
      <c r="D304" s="6">
        <v>42861</v>
      </c>
      <c r="E304" s="6">
        <v>42846.38948229167</v>
      </c>
      <c r="F304" s="2" t="s">
        <v>26</v>
      </c>
      <c r="G304" s="2" t="s">
        <v>26</v>
      </c>
      <c r="H304" s="2" t="s">
        <v>93</v>
      </c>
      <c r="I304" s="2" t="s">
        <v>26</v>
      </c>
      <c r="J304" s="2" t="s">
        <v>26</v>
      </c>
      <c r="K304" s="2" t="s">
        <v>269</v>
      </c>
      <c r="L304" s="2" t="s">
        <v>27</v>
      </c>
      <c r="M304" s="2" t="s">
        <v>118</v>
      </c>
      <c r="N304" s="2" t="s">
        <v>874</v>
      </c>
      <c r="O304" s="2" t="s">
        <v>875</v>
      </c>
      <c r="P304" s="5">
        <v>814324478</v>
      </c>
      <c r="R304" s="2" t="s">
        <v>876</v>
      </c>
      <c r="S304" s="2" t="s">
        <v>49</v>
      </c>
      <c r="T304" s="2" t="s">
        <v>79</v>
      </c>
      <c r="U304" s="2">
        <v>2013</v>
      </c>
      <c r="V304" s="6">
        <v>42869</v>
      </c>
      <c r="W304" s="3" t="s">
        <v>877</v>
      </c>
      <c r="X304" s="23">
        <v>2000</v>
      </c>
    </row>
    <row r="305" spans="1:24" x14ac:dyDescent="0.2">
      <c r="A305" s="2">
        <v>1703028</v>
      </c>
      <c r="B305" s="6">
        <v>42802.734787152775</v>
      </c>
      <c r="C305" s="6">
        <v>42802.736398032408</v>
      </c>
      <c r="E305" s="6" t="s">
        <v>1511</v>
      </c>
      <c r="F305" s="2" t="s">
        <v>92</v>
      </c>
      <c r="G305" s="2" t="s">
        <v>11</v>
      </c>
      <c r="H305" s="2" t="s">
        <v>93</v>
      </c>
      <c r="I305" s="2" t="s">
        <v>94</v>
      </c>
      <c r="J305" s="2" t="s">
        <v>95</v>
      </c>
      <c r="K305" s="2" t="s">
        <v>269</v>
      </c>
      <c r="L305" s="2" t="s">
        <v>27</v>
      </c>
      <c r="M305" s="2" t="s">
        <v>126</v>
      </c>
      <c r="N305" s="2" t="s">
        <v>878</v>
      </c>
      <c r="P305" s="5">
        <v>957421561</v>
      </c>
      <c r="R305" s="2" t="s">
        <v>879</v>
      </c>
      <c r="S305" s="2" t="s">
        <v>70</v>
      </c>
      <c r="T305" s="2" t="s">
        <v>880</v>
      </c>
      <c r="X305" s="23">
        <v>10345</v>
      </c>
    </row>
    <row r="306" spans="1:24" x14ac:dyDescent="0.2">
      <c r="A306" s="2">
        <v>1703029</v>
      </c>
      <c r="B306" s="6">
        <v>42803.661739583331</v>
      </c>
      <c r="C306" s="6">
        <v>42877.629941435189</v>
      </c>
      <c r="D306" s="6">
        <v>42882</v>
      </c>
      <c r="E306" s="6">
        <v>42884.688253356479</v>
      </c>
      <c r="F306" s="2" t="s">
        <v>26</v>
      </c>
      <c r="G306" s="2" t="s">
        <v>26</v>
      </c>
      <c r="H306" s="2" t="s">
        <v>26</v>
      </c>
      <c r="I306" s="2" t="s">
        <v>26</v>
      </c>
      <c r="J306" s="2" t="s">
        <v>26</v>
      </c>
      <c r="K306" s="2" t="s">
        <v>8</v>
      </c>
      <c r="L306" s="2" t="s">
        <v>981</v>
      </c>
      <c r="M306" s="2" t="s">
        <v>61</v>
      </c>
      <c r="N306" s="2" t="s">
        <v>881</v>
      </c>
      <c r="O306" s="2" t="s">
        <v>59</v>
      </c>
      <c r="P306" s="5">
        <v>828097322</v>
      </c>
      <c r="R306" s="2" t="s">
        <v>882</v>
      </c>
      <c r="S306" s="2" t="s">
        <v>49</v>
      </c>
      <c r="T306" s="2" t="s">
        <v>883</v>
      </c>
      <c r="U306" s="2">
        <v>2011</v>
      </c>
      <c r="V306" s="6" t="s">
        <v>72</v>
      </c>
    </row>
    <row r="307" spans="1:24" x14ac:dyDescent="0.2">
      <c r="A307" s="2">
        <v>1703030</v>
      </c>
      <c r="B307" s="6">
        <v>42803.674567361108</v>
      </c>
      <c r="F307" s="2" t="s">
        <v>126</v>
      </c>
      <c r="G307" s="2" t="s">
        <v>126</v>
      </c>
      <c r="H307" s="2" t="s">
        <v>126</v>
      </c>
      <c r="I307" s="2" t="s">
        <v>126</v>
      </c>
      <c r="J307" s="2" t="s">
        <v>126</v>
      </c>
      <c r="K307" s="2" t="s">
        <v>8</v>
      </c>
      <c r="L307" s="2" t="s">
        <v>27</v>
      </c>
      <c r="M307" s="2" t="s">
        <v>886</v>
      </c>
      <c r="N307" s="2" t="s">
        <v>887</v>
      </c>
      <c r="O307" s="2" t="s">
        <v>41</v>
      </c>
      <c r="P307" s="5">
        <v>898997275</v>
      </c>
      <c r="Q307" s="5">
        <v>917399296</v>
      </c>
      <c r="R307" s="2" t="s">
        <v>888</v>
      </c>
      <c r="S307" s="2" t="s">
        <v>133</v>
      </c>
      <c r="T307" s="2" t="s">
        <v>134</v>
      </c>
      <c r="U307" s="2">
        <v>2014</v>
      </c>
      <c r="V307" s="6">
        <v>42805</v>
      </c>
      <c r="W307" s="3" t="s">
        <v>889</v>
      </c>
      <c r="X307" s="23">
        <v>0</v>
      </c>
    </row>
    <row r="308" spans="1:24" x14ac:dyDescent="0.2">
      <c r="A308" s="2">
        <v>1703031</v>
      </c>
      <c r="B308" s="6">
        <v>42803.719834837961</v>
      </c>
      <c r="C308" s="6">
        <v>42803.723516203703</v>
      </c>
      <c r="D308" s="6">
        <v>42812</v>
      </c>
      <c r="E308" s="6" t="s">
        <v>126</v>
      </c>
      <c r="F308" s="2">
        <v>8.2764837962968159</v>
      </c>
      <c r="G308" s="2" t="s">
        <v>11</v>
      </c>
      <c r="H308" s="2" t="s">
        <v>368</v>
      </c>
      <c r="I308" s="2" t="s">
        <v>95</v>
      </c>
      <c r="J308" s="2" t="s">
        <v>95</v>
      </c>
      <c r="K308" s="2" t="s">
        <v>8</v>
      </c>
      <c r="L308" s="2" t="s">
        <v>27</v>
      </c>
      <c r="M308" s="2" t="s">
        <v>61</v>
      </c>
      <c r="N308" s="2" t="s">
        <v>884</v>
      </c>
      <c r="O308" s="2" t="s">
        <v>128</v>
      </c>
      <c r="P308" s="5">
        <v>859813048</v>
      </c>
      <c r="R308" s="2" t="s">
        <v>885</v>
      </c>
      <c r="S308" s="2" t="s">
        <v>55</v>
      </c>
      <c r="T308" s="2" t="s">
        <v>142</v>
      </c>
      <c r="U308" s="2">
        <v>2011</v>
      </c>
      <c r="V308" s="6">
        <v>42855</v>
      </c>
      <c r="W308" s="3" t="s">
        <v>632</v>
      </c>
    </row>
    <row r="309" spans="1:24" x14ac:dyDescent="0.2">
      <c r="A309" s="2">
        <v>1703032</v>
      </c>
      <c r="B309" s="6">
        <v>42804.492614351853</v>
      </c>
      <c r="F309" s="2" t="s">
        <v>26</v>
      </c>
      <c r="G309" s="2" t="s">
        <v>26</v>
      </c>
      <c r="H309" s="2" t="s">
        <v>26</v>
      </c>
      <c r="I309" s="2" t="s">
        <v>26</v>
      </c>
      <c r="J309" s="2" t="s">
        <v>26</v>
      </c>
      <c r="K309" s="2" t="s">
        <v>8</v>
      </c>
      <c r="L309" s="2" t="s">
        <v>27</v>
      </c>
      <c r="M309" s="2" t="s">
        <v>45</v>
      </c>
      <c r="N309" s="2" t="s">
        <v>890</v>
      </c>
      <c r="O309" s="2" t="s">
        <v>208</v>
      </c>
      <c r="P309" s="5">
        <v>824539974</v>
      </c>
      <c r="R309" s="2" t="s">
        <v>891</v>
      </c>
      <c r="S309" s="2" t="s">
        <v>133</v>
      </c>
      <c r="T309" s="2" t="s">
        <v>799</v>
      </c>
      <c r="U309" s="2">
        <v>2008</v>
      </c>
      <c r="V309" s="6">
        <v>43034</v>
      </c>
      <c r="W309" s="3" t="s">
        <v>581</v>
      </c>
    </row>
    <row r="310" spans="1:24" x14ac:dyDescent="0.2">
      <c r="A310" s="2">
        <v>1703033</v>
      </c>
      <c r="B310" s="6">
        <v>42804.499664583331</v>
      </c>
      <c r="C310" s="6">
        <v>42891.697866666669</v>
      </c>
      <c r="D310" s="6">
        <v>42901</v>
      </c>
      <c r="E310" s="6" t="s">
        <v>1511</v>
      </c>
      <c r="F310" s="2" t="s">
        <v>26</v>
      </c>
      <c r="G310" s="2" t="s">
        <v>26</v>
      </c>
      <c r="H310" s="2" t="s">
        <v>26</v>
      </c>
      <c r="I310" s="2" t="s">
        <v>26</v>
      </c>
      <c r="J310" s="2" t="s">
        <v>26</v>
      </c>
      <c r="K310" s="2" t="s">
        <v>8</v>
      </c>
      <c r="L310" s="2" t="s">
        <v>27</v>
      </c>
      <c r="M310" s="2" t="s">
        <v>28</v>
      </c>
      <c r="N310" s="2" t="s">
        <v>890</v>
      </c>
      <c r="O310" s="2" t="s">
        <v>208</v>
      </c>
      <c r="P310" s="5">
        <v>824539974</v>
      </c>
      <c r="R310" s="2" t="s">
        <v>892</v>
      </c>
      <c r="S310" s="2" t="s">
        <v>133</v>
      </c>
      <c r="T310" s="2" t="s">
        <v>799</v>
      </c>
      <c r="U310" s="2">
        <v>2008</v>
      </c>
      <c r="V310" s="6" t="s">
        <v>72</v>
      </c>
      <c r="X310" s="23">
        <v>5800</v>
      </c>
    </row>
    <row r="311" spans="1:24" x14ac:dyDescent="0.2">
      <c r="A311" s="2">
        <v>1703034</v>
      </c>
      <c r="B311" s="6">
        <v>42804.555673495372</v>
      </c>
      <c r="C311" s="6">
        <v>42804.55727222222</v>
      </c>
      <c r="D311" s="6">
        <v>42811</v>
      </c>
      <c r="E311" s="6">
        <v>42809.673894675929</v>
      </c>
      <c r="F311" s="2" t="s">
        <v>26</v>
      </c>
      <c r="G311" s="2" t="s">
        <v>26</v>
      </c>
      <c r="H311" s="2" t="s">
        <v>93</v>
      </c>
      <c r="I311" s="2" t="s">
        <v>26</v>
      </c>
      <c r="J311" s="2" t="s">
        <v>26</v>
      </c>
      <c r="K311" s="2" t="s">
        <v>8</v>
      </c>
      <c r="L311" s="2" t="s">
        <v>34</v>
      </c>
      <c r="M311" s="2" t="s">
        <v>886</v>
      </c>
      <c r="N311" s="2" t="s">
        <v>893</v>
      </c>
      <c r="O311" s="2" t="s">
        <v>53</v>
      </c>
      <c r="P311" s="5">
        <v>960205140</v>
      </c>
      <c r="R311" s="2" t="s">
        <v>894</v>
      </c>
      <c r="S311" s="2" t="s">
        <v>183</v>
      </c>
      <c r="T311" s="2" t="s">
        <v>895</v>
      </c>
      <c r="U311" s="2">
        <v>2015</v>
      </c>
      <c r="V311" s="6">
        <v>42814</v>
      </c>
      <c r="W311" s="3" t="s">
        <v>112</v>
      </c>
      <c r="X311" s="23">
        <v>2500</v>
      </c>
    </row>
    <row r="312" spans="1:24" x14ac:dyDescent="0.2">
      <c r="A312" s="2">
        <v>1703035</v>
      </c>
      <c r="B312" s="6">
        <v>42805.421846759258</v>
      </c>
      <c r="C312" s="6">
        <v>42859</v>
      </c>
      <c r="D312" s="6">
        <v>42871</v>
      </c>
      <c r="E312" s="6">
        <v>42875.705367013892</v>
      </c>
      <c r="F312" s="2" t="s">
        <v>26</v>
      </c>
      <c r="G312" s="2" t="s">
        <v>26</v>
      </c>
      <c r="H312" s="2" t="s">
        <v>26</v>
      </c>
      <c r="I312" s="2" t="s">
        <v>26</v>
      </c>
      <c r="J312" s="2" t="s">
        <v>26</v>
      </c>
      <c r="K312" s="2" t="s">
        <v>8</v>
      </c>
      <c r="L312" s="2" t="s">
        <v>27</v>
      </c>
      <c r="M312" s="2" t="s">
        <v>45</v>
      </c>
      <c r="N312" s="2" t="s">
        <v>896</v>
      </c>
      <c r="O312" s="2" t="s">
        <v>47</v>
      </c>
      <c r="P312" s="5">
        <v>851007724</v>
      </c>
      <c r="R312" s="2" t="s">
        <v>897</v>
      </c>
      <c r="S312" s="2" t="s">
        <v>55</v>
      </c>
      <c r="T312" s="2" t="s">
        <v>76</v>
      </c>
      <c r="U312" s="2">
        <v>2010</v>
      </c>
      <c r="V312" s="6">
        <v>42985</v>
      </c>
      <c r="W312" s="3" t="s">
        <v>266</v>
      </c>
      <c r="X312" s="23">
        <v>200</v>
      </c>
    </row>
    <row r="313" spans="1:24" x14ac:dyDescent="0.2">
      <c r="A313" s="2">
        <v>1703036</v>
      </c>
      <c r="B313" s="6">
        <v>42805.424051041664</v>
      </c>
      <c r="C313" s="6">
        <v>42807.748321296298</v>
      </c>
      <c r="D313" s="6">
        <v>42812</v>
      </c>
      <c r="E313" s="6" t="s">
        <v>1511</v>
      </c>
      <c r="F313" s="2">
        <v>4.2516787037020549</v>
      </c>
      <c r="G313" s="2" t="s">
        <v>11</v>
      </c>
      <c r="H313" s="2" t="s">
        <v>93</v>
      </c>
      <c r="I313" s="2" t="s">
        <v>94</v>
      </c>
      <c r="J313" s="2" t="s">
        <v>95</v>
      </c>
      <c r="K313" s="2" t="s">
        <v>8</v>
      </c>
      <c r="L313" s="2" t="s">
        <v>34</v>
      </c>
      <c r="M313" s="2" t="s">
        <v>28</v>
      </c>
      <c r="N313" s="2" t="s">
        <v>898</v>
      </c>
      <c r="O313" s="2" t="s">
        <v>128</v>
      </c>
      <c r="P313" s="5">
        <v>891557775</v>
      </c>
      <c r="R313" s="2" t="s">
        <v>899</v>
      </c>
      <c r="S313" s="2" t="s">
        <v>64</v>
      </c>
      <c r="T313" s="2">
        <v>2</v>
      </c>
      <c r="U313" s="2">
        <v>2016</v>
      </c>
      <c r="V313" s="6">
        <v>42764</v>
      </c>
      <c r="W313" s="3" t="s">
        <v>900</v>
      </c>
      <c r="X313" s="23">
        <v>32900</v>
      </c>
    </row>
    <row r="314" spans="1:24" x14ac:dyDescent="0.2">
      <c r="A314" s="2">
        <v>1703037</v>
      </c>
      <c r="B314" s="6">
        <v>42805.426591898147</v>
      </c>
      <c r="C314" s="6">
        <v>42816.592500578707</v>
      </c>
      <c r="D314" s="6">
        <v>42825</v>
      </c>
      <c r="E314" s="6">
        <v>42825.478649421297</v>
      </c>
      <c r="F314" s="2" t="s">
        <v>26</v>
      </c>
      <c r="G314" s="2" t="s">
        <v>26</v>
      </c>
      <c r="H314" s="2" t="s">
        <v>93</v>
      </c>
      <c r="I314" s="2" t="s">
        <v>26</v>
      </c>
      <c r="J314" s="2" t="s">
        <v>26</v>
      </c>
      <c r="K314" s="2" t="s">
        <v>8</v>
      </c>
      <c r="L314" s="2" t="s">
        <v>34</v>
      </c>
      <c r="M314" s="2" t="s">
        <v>45</v>
      </c>
      <c r="N314" s="2" t="s">
        <v>901</v>
      </c>
      <c r="O314" s="2" t="s">
        <v>128</v>
      </c>
      <c r="P314" s="5">
        <v>844626939</v>
      </c>
      <c r="R314" s="2" t="s">
        <v>902</v>
      </c>
      <c r="S314" s="2" t="s">
        <v>133</v>
      </c>
      <c r="T314" s="2" t="s">
        <v>903</v>
      </c>
      <c r="U314" s="2">
        <v>2006</v>
      </c>
      <c r="V314" s="6" t="s">
        <v>72</v>
      </c>
    </row>
    <row r="315" spans="1:24" x14ac:dyDescent="0.2">
      <c r="A315" s="2">
        <v>1703038</v>
      </c>
      <c r="B315" s="6">
        <v>42807.685995023145</v>
      </c>
      <c r="C315" s="6">
        <v>42807.689239467596</v>
      </c>
      <c r="D315" s="6">
        <v>42815</v>
      </c>
      <c r="E315" s="6">
        <v>42814.467942824071</v>
      </c>
      <c r="F315" s="2" t="s">
        <v>26</v>
      </c>
      <c r="G315" s="2" t="s">
        <v>26</v>
      </c>
      <c r="H315" s="2" t="s">
        <v>93</v>
      </c>
      <c r="I315" s="2" t="s">
        <v>26</v>
      </c>
      <c r="J315" s="2" t="s">
        <v>26</v>
      </c>
      <c r="K315" s="2" t="s">
        <v>8</v>
      </c>
      <c r="L315" s="2" t="s">
        <v>27</v>
      </c>
      <c r="M315" s="2" t="s">
        <v>28</v>
      </c>
      <c r="N315" s="2" t="s">
        <v>904</v>
      </c>
      <c r="O315" s="2" t="s">
        <v>41</v>
      </c>
      <c r="P315" s="5">
        <v>905988668</v>
      </c>
      <c r="R315" s="2" t="s">
        <v>905</v>
      </c>
      <c r="S315" s="2" t="s">
        <v>55</v>
      </c>
      <c r="T315" s="2" t="s">
        <v>142</v>
      </c>
      <c r="U315" s="2">
        <v>2012</v>
      </c>
      <c r="V315" s="6">
        <v>42963</v>
      </c>
      <c r="W315" s="3" t="s">
        <v>148</v>
      </c>
      <c r="X315" s="23">
        <v>1906.54</v>
      </c>
    </row>
    <row r="316" spans="1:24" x14ac:dyDescent="0.2">
      <c r="A316" s="2">
        <v>1703039</v>
      </c>
      <c r="B316" s="6">
        <v>42807.692279745374</v>
      </c>
      <c r="C316" s="6">
        <v>42807.695557407409</v>
      </c>
      <c r="D316" s="6">
        <v>42816</v>
      </c>
      <c r="E316" s="6">
        <v>42826.401175810184</v>
      </c>
      <c r="F316" s="2" t="s">
        <v>26</v>
      </c>
      <c r="G316" s="2" t="s">
        <v>26</v>
      </c>
      <c r="H316" s="2" t="s">
        <v>93</v>
      </c>
      <c r="I316" s="2" t="s">
        <v>26</v>
      </c>
      <c r="J316" s="2" t="s">
        <v>26</v>
      </c>
      <c r="K316" s="2" t="s">
        <v>8</v>
      </c>
      <c r="L316" s="2" t="s">
        <v>27</v>
      </c>
      <c r="M316" s="2" t="s">
        <v>295</v>
      </c>
      <c r="N316" s="2" t="s">
        <v>906</v>
      </c>
      <c r="O316" s="2" t="s">
        <v>68</v>
      </c>
      <c r="P316" s="5">
        <v>898836313</v>
      </c>
      <c r="R316" s="2" t="s">
        <v>907</v>
      </c>
      <c r="S316" s="2" t="s">
        <v>55</v>
      </c>
      <c r="T316" s="2" t="s">
        <v>76</v>
      </c>
      <c r="V316" s="6" t="s">
        <v>72</v>
      </c>
      <c r="X316" s="23">
        <v>4640</v>
      </c>
    </row>
    <row r="317" spans="1:24" x14ac:dyDescent="0.2">
      <c r="A317" s="2">
        <v>1703040</v>
      </c>
      <c r="B317" s="6">
        <v>42807.705010879632</v>
      </c>
      <c r="C317" s="6">
        <v>42807.707428587964</v>
      </c>
      <c r="D317" s="6">
        <v>42814</v>
      </c>
      <c r="E317" s="6">
        <v>42823.462518055552</v>
      </c>
      <c r="F317" s="2" t="s">
        <v>26</v>
      </c>
      <c r="G317" s="2" t="s">
        <v>26</v>
      </c>
      <c r="H317" s="2" t="s">
        <v>93</v>
      </c>
      <c r="I317" s="2" t="s">
        <v>26</v>
      </c>
      <c r="J317" s="2" t="s">
        <v>26</v>
      </c>
      <c r="K317" s="2" t="s">
        <v>269</v>
      </c>
      <c r="L317" s="2" t="s">
        <v>27</v>
      </c>
      <c r="M317" s="2" t="s">
        <v>45</v>
      </c>
      <c r="N317" s="2" t="s">
        <v>908</v>
      </c>
      <c r="O317" s="2" t="s">
        <v>114</v>
      </c>
      <c r="P317" s="5">
        <v>846849199</v>
      </c>
      <c r="R317" s="2" t="s">
        <v>909</v>
      </c>
      <c r="S317" s="2" t="s">
        <v>49</v>
      </c>
      <c r="T317" s="2" t="s">
        <v>79</v>
      </c>
      <c r="U317" s="2">
        <v>2005</v>
      </c>
      <c r="V317" s="6">
        <v>42734</v>
      </c>
      <c r="W317" s="3">
        <v>0</v>
      </c>
      <c r="X317" s="23">
        <v>0</v>
      </c>
    </row>
    <row r="318" spans="1:24" x14ac:dyDescent="0.2">
      <c r="A318" s="2">
        <v>1703041</v>
      </c>
      <c r="B318" s="6">
        <v>42807.711047453704</v>
      </c>
      <c r="C318" s="6">
        <v>42807.715092708335</v>
      </c>
      <c r="D318" s="6">
        <v>42816</v>
      </c>
      <c r="E318" s="6">
        <v>42832.36743888889</v>
      </c>
      <c r="F318" s="2" t="s">
        <v>26</v>
      </c>
      <c r="G318" s="2" t="s">
        <v>26</v>
      </c>
      <c r="H318" s="2" t="s">
        <v>93</v>
      </c>
      <c r="I318" s="2" t="s">
        <v>26</v>
      </c>
      <c r="J318" s="2" t="s">
        <v>26</v>
      </c>
      <c r="K318" s="2" t="s">
        <v>8</v>
      </c>
      <c r="L318" s="2" t="s">
        <v>27</v>
      </c>
      <c r="M318" s="2" t="s">
        <v>28</v>
      </c>
      <c r="N318" s="2" t="s">
        <v>910</v>
      </c>
      <c r="P318" s="5">
        <v>626636885</v>
      </c>
      <c r="R318" s="2" t="s">
        <v>911</v>
      </c>
      <c r="S318" s="2" t="s">
        <v>64</v>
      </c>
      <c r="T318" s="2">
        <v>2</v>
      </c>
      <c r="V318" s="6" t="s">
        <v>72</v>
      </c>
      <c r="X318" s="23">
        <v>2720</v>
      </c>
    </row>
    <row r="319" spans="1:24" x14ac:dyDescent="0.2">
      <c r="A319" s="2">
        <v>1703042</v>
      </c>
      <c r="B319" s="6">
        <v>42808.699367013891</v>
      </c>
      <c r="C319" s="6">
        <v>42808.702569444446</v>
      </c>
      <c r="E319" s="6">
        <v>42816.750368287037</v>
      </c>
      <c r="F319" s="2" t="s">
        <v>26</v>
      </c>
      <c r="G319" s="2" t="s">
        <v>26</v>
      </c>
      <c r="H319" s="2" t="s">
        <v>93</v>
      </c>
      <c r="I319" s="2" t="s">
        <v>26</v>
      </c>
      <c r="J319" s="2" t="s">
        <v>26</v>
      </c>
      <c r="K319" s="2" t="s">
        <v>8</v>
      </c>
      <c r="L319" s="2" t="s">
        <v>34</v>
      </c>
      <c r="M319" s="2" t="s">
        <v>66</v>
      </c>
      <c r="N319" s="2" t="s">
        <v>912</v>
      </c>
      <c r="O319" s="2" t="s">
        <v>47</v>
      </c>
      <c r="P319" s="5">
        <v>915425995</v>
      </c>
      <c r="R319" s="2" t="s">
        <v>913</v>
      </c>
      <c r="S319" s="2" t="s">
        <v>55</v>
      </c>
      <c r="T319" s="2" t="s">
        <v>222</v>
      </c>
      <c r="U319" s="2">
        <v>2008</v>
      </c>
      <c r="V319" s="6">
        <v>43127</v>
      </c>
      <c r="W319" s="3" t="s">
        <v>44</v>
      </c>
      <c r="X319" s="23">
        <v>8780</v>
      </c>
    </row>
    <row r="320" spans="1:24" x14ac:dyDescent="0.2">
      <c r="A320" s="2">
        <v>1703043</v>
      </c>
      <c r="B320" s="6">
        <v>42808.701431597219</v>
      </c>
      <c r="C320" s="6">
        <v>42808.703554976855</v>
      </c>
      <c r="E320" s="6">
        <v>42863.655464351854</v>
      </c>
      <c r="F320" s="2" t="s">
        <v>26</v>
      </c>
      <c r="G320" s="2" t="s">
        <v>26</v>
      </c>
      <c r="H320" s="2" t="s">
        <v>93</v>
      </c>
      <c r="I320" s="2" t="s">
        <v>26</v>
      </c>
      <c r="J320" s="2" t="s">
        <v>26</v>
      </c>
      <c r="K320" s="2" t="s">
        <v>8</v>
      </c>
      <c r="L320" s="2" t="s">
        <v>170</v>
      </c>
      <c r="M320" s="2" t="s">
        <v>28</v>
      </c>
      <c r="N320" s="2" t="s">
        <v>914</v>
      </c>
      <c r="O320" s="2" t="s">
        <v>114</v>
      </c>
      <c r="P320" s="5">
        <v>877142829</v>
      </c>
      <c r="R320" s="2" t="s">
        <v>915</v>
      </c>
      <c r="S320" s="2" t="s">
        <v>37</v>
      </c>
      <c r="T320" s="2" t="s">
        <v>102</v>
      </c>
      <c r="U320" s="2">
        <v>2006</v>
      </c>
      <c r="V320" s="6" t="s">
        <v>72</v>
      </c>
    </row>
    <row r="321" spans="1:24" x14ac:dyDescent="0.2">
      <c r="A321" s="2">
        <v>1703044</v>
      </c>
      <c r="B321" s="6">
        <v>42809.495201736114</v>
      </c>
      <c r="C321" s="6">
        <v>42809.498519791669</v>
      </c>
      <c r="D321" s="6">
        <v>42817</v>
      </c>
      <c r="E321" s="6">
        <v>42825.56989791667</v>
      </c>
      <c r="F321" s="2" t="s">
        <v>26</v>
      </c>
      <c r="G321" s="2" t="s">
        <v>26</v>
      </c>
      <c r="H321" s="2" t="s">
        <v>93</v>
      </c>
      <c r="I321" s="2" t="s">
        <v>26</v>
      </c>
      <c r="J321" s="2" t="s">
        <v>26</v>
      </c>
      <c r="K321" s="2" t="s">
        <v>8</v>
      </c>
      <c r="L321" s="2" t="s">
        <v>34</v>
      </c>
      <c r="M321" s="2" t="s">
        <v>28</v>
      </c>
      <c r="N321" s="2" t="s">
        <v>916</v>
      </c>
      <c r="O321" s="2" t="s">
        <v>47</v>
      </c>
      <c r="P321" s="5">
        <v>818601780</v>
      </c>
      <c r="R321" s="2" t="s">
        <v>917</v>
      </c>
      <c r="S321" s="2" t="s">
        <v>133</v>
      </c>
      <c r="T321" s="2" t="s">
        <v>918</v>
      </c>
      <c r="U321" s="2">
        <v>2013</v>
      </c>
      <c r="V321" s="6">
        <v>42816</v>
      </c>
      <c r="W321" s="3" t="s">
        <v>396</v>
      </c>
      <c r="X321" s="23">
        <v>8261.69</v>
      </c>
    </row>
    <row r="322" spans="1:24" x14ac:dyDescent="0.2">
      <c r="A322" s="2">
        <v>1703045</v>
      </c>
      <c r="B322" s="6">
        <v>42809.678341666666</v>
      </c>
      <c r="C322" s="6">
        <v>42823.71294247685</v>
      </c>
      <c r="D322" s="6">
        <v>42833</v>
      </c>
      <c r="E322" s="6">
        <v>42843.384939236108</v>
      </c>
      <c r="F322" s="2" t="s">
        <v>26</v>
      </c>
      <c r="G322" s="2" t="s">
        <v>26</v>
      </c>
      <c r="H322" s="2" t="s">
        <v>93</v>
      </c>
      <c r="I322" s="2" t="s">
        <v>26</v>
      </c>
      <c r="J322" s="2" t="s">
        <v>26</v>
      </c>
      <c r="K322" s="2" t="s">
        <v>8</v>
      </c>
      <c r="L322" s="2" t="s">
        <v>27</v>
      </c>
      <c r="M322" s="2" t="s">
        <v>28</v>
      </c>
      <c r="N322" s="2" t="s">
        <v>919</v>
      </c>
      <c r="O322" s="2" t="s">
        <v>41</v>
      </c>
      <c r="P322" s="5">
        <v>836872335</v>
      </c>
      <c r="R322" s="2" t="s">
        <v>920</v>
      </c>
      <c r="S322" s="2" t="s">
        <v>49</v>
      </c>
      <c r="T322" s="2" t="s">
        <v>883</v>
      </c>
      <c r="U322" s="2">
        <v>2012</v>
      </c>
      <c r="V322" s="6">
        <v>42913</v>
      </c>
      <c r="W322" s="3" t="s">
        <v>509</v>
      </c>
      <c r="X322" s="23">
        <v>1779</v>
      </c>
    </row>
    <row r="323" spans="1:24" x14ac:dyDescent="0.2">
      <c r="A323" s="2">
        <v>1703046</v>
      </c>
      <c r="B323" s="6">
        <v>42809.684741087964</v>
      </c>
      <c r="C323" s="6">
        <v>42809.687462615744</v>
      </c>
      <c r="D323" s="6">
        <v>42817</v>
      </c>
      <c r="E323" s="6">
        <v>42823.462061342594</v>
      </c>
      <c r="F323" s="2" t="s">
        <v>26</v>
      </c>
      <c r="G323" s="2" t="s">
        <v>26</v>
      </c>
      <c r="H323" s="2" t="s">
        <v>93</v>
      </c>
      <c r="I323" s="2" t="s">
        <v>26</v>
      </c>
      <c r="J323" s="2" t="s">
        <v>26</v>
      </c>
      <c r="K323" s="2" t="s">
        <v>269</v>
      </c>
      <c r="L323" s="2" t="s">
        <v>27</v>
      </c>
      <c r="M323" s="2" t="s">
        <v>886</v>
      </c>
      <c r="N323" s="2" t="s">
        <v>921</v>
      </c>
      <c r="O323" s="2" t="s">
        <v>120</v>
      </c>
      <c r="P323" s="5">
        <v>827499930</v>
      </c>
      <c r="Q323" s="5">
        <v>816274358</v>
      </c>
      <c r="R323" s="2" t="s">
        <v>922</v>
      </c>
      <c r="S323" s="2" t="s">
        <v>49</v>
      </c>
      <c r="T323" s="2" t="s">
        <v>923</v>
      </c>
      <c r="U323" s="2">
        <v>2015</v>
      </c>
      <c r="V323" s="6">
        <v>43067</v>
      </c>
      <c r="W323" s="3" t="s">
        <v>337</v>
      </c>
      <c r="X323" s="23">
        <v>10960</v>
      </c>
    </row>
    <row r="324" spans="1:24" x14ac:dyDescent="0.2">
      <c r="A324" s="2">
        <v>1703047</v>
      </c>
      <c r="B324" s="6">
        <v>42810.703686111112</v>
      </c>
      <c r="C324" s="6">
        <v>42870.721446643518</v>
      </c>
      <c r="D324" s="6">
        <v>42875</v>
      </c>
      <c r="E324" s="6">
        <v>42879.433527199071</v>
      </c>
      <c r="F324" s="2" t="s">
        <v>26</v>
      </c>
      <c r="G324" s="2" t="s">
        <v>26</v>
      </c>
      <c r="H324" s="2" t="s">
        <v>26</v>
      </c>
      <c r="I324" s="2" t="s">
        <v>26</v>
      </c>
      <c r="J324" s="2" t="s">
        <v>26</v>
      </c>
      <c r="K324" s="2" t="s">
        <v>8</v>
      </c>
      <c r="L324" s="2" t="s">
        <v>27</v>
      </c>
      <c r="M324" s="2" t="s">
        <v>118</v>
      </c>
      <c r="N324" s="2" t="s">
        <v>924</v>
      </c>
      <c r="O324" s="2" t="s">
        <v>47</v>
      </c>
      <c r="P324" s="5">
        <v>970762664</v>
      </c>
      <c r="R324" s="2" t="s">
        <v>925</v>
      </c>
      <c r="S324" s="2" t="s">
        <v>49</v>
      </c>
      <c r="T324" s="2" t="s">
        <v>130</v>
      </c>
      <c r="U324" s="2">
        <v>2007</v>
      </c>
      <c r="V324" s="6">
        <v>42935</v>
      </c>
      <c r="W324" s="3" t="s">
        <v>223</v>
      </c>
      <c r="X324" s="23">
        <v>5275</v>
      </c>
    </row>
    <row r="325" spans="1:24" x14ac:dyDescent="0.2">
      <c r="A325" s="2">
        <v>1703048</v>
      </c>
      <c r="B325" s="6">
        <v>42810.707521180557</v>
      </c>
      <c r="C325" s="6">
        <v>42859</v>
      </c>
      <c r="D325" s="6">
        <v>42866</v>
      </c>
      <c r="E325" s="6">
        <v>42866.382300810183</v>
      </c>
      <c r="F325" s="2" t="s">
        <v>26</v>
      </c>
      <c r="G325" s="2" t="s">
        <v>26</v>
      </c>
      <c r="H325" s="2" t="s">
        <v>26</v>
      </c>
      <c r="I325" s="2" t="s">
        <v>26</v>
      </c>
      <c r="J325" s="2" t="s">
        <v>26</v>
      </c>
      <c r="K325" s="2" t="s">
        <v>8</v>
      </c>
      <c r="L325" s="2" t="s">
        <v>34</v>
      </c>
      <c r="M325" s="2" t="s">
        <v>61</v>
      </c>
      <c r="N325" s="2" t="s">
        <v>926</v>
      </c>
      <c r="O325" s="2" t="s">
        <v>927</v>
      </c>
      <c r="P325" s="5">
        <v>830169100</v>
      </c>
      <c r="R325" s="2" t="s">
        <v>928</v>
      </c>
      <c r="S325" s="2" t="s">
        <v>243</v>
      </c>
      <c r="T325" s="2" t="s">
        <v>456</v>
      </c>
      <c r="U325" s="2">
        <v>2013</v>
      </c>
      <c r="V325" s="6">
        <v>42752</v>
      </c>
      <c r="W325" s="3" t="s">
        <v>396</v>
      </c>
      <c r="X325" s="23">
        <v>2500</v>
      </c>
    </row>
    <row r="326" spans="1:24" x14ac:dyDescent="0.2">
      <c r="A326" s="2">
        <v>1703049</v>
      </c>
      <c r="B326" s="6">
        <v>42812.430521875001</v>
      </c>
      <c r="C326" s="6">
        <v>42892.652327083335</v>
      </c>
      <c r="D326" s="6">
        <v>42895</v>
      </c>
      <c r="E326" s="6">
        <v>42899.659282407411</v>
      </c>
      <c r="F326" s="2" t="s">
        <v>26</v>
      </c>
      <c r="G326" s="2" t="s">
        <v>26</v>
      </c>
      <c r="H326" s="2" t="s">
        <v>26</v>
      </c>
      <c r="I326" s="2" t="s">
        <v>26</v>
      </c>
      <c r="J326" s="2" t="s">
        <v>26</v>
      </c>
      <c r="K326" s="2" t="s">
        <v>8</v>
      </c>
      <c r="L326" s="2" t="s">
        <v>27</v>
      </c>
      <c r="M326" s="2" t="s">
        <v>66</v>
      </c>
      <c r="N326" s="2" t="s">
        <v>929</v>
      </c>
      <c r="O326" s="2" t="s">
        <v>114</v>
      </c>
      <c r="P326" s="5">
        <v>892030078</v>
      </c>
      <c r="R326" s="2" t="s">
        <v>930</v>
      </c>
      <c r="S326" s="2" t="s">
        <v>31</v>
      </c>
      <c r="T326" s="2" t="s">
        <v>283</v>
      </c>
      <c r="U326" s="2">
        <v>2013</v>
      </c>
      <c r="V326" s="6">
        <v>42832</v>
      </c>
      <c r="W326" s="3" t="s">
        <v>135</v>
      </c>
      <c r="X326" s="23">
        <v>5200</v>
      </c>
    </row>
    <row r="327" spans="1:24" x14ac:dyDescent="0.2">
      <c r="A327" s="2">
        <v>1703050</v>
      </c>
      <c r="B327" s="6">
        <v>42812.446088888886</v>
      </c>
      <c r="C327" s="6">
        <v>42871.694976041668</v>
      </c>
      <c r="D327" s="6">
        <v>42879</v>
      </c>
      <c r="E327" s="6" t="s">
        <v>1511</v>
      </c>
      <c r="F327" s="2">
        <v>7.3050239583317307</v>
      </c>
      <c r="G327" s="2" t="s">
        <v>11</v>
      </c>
      <c r="H327" s="2" t="s">
        <v>93</v>
      </c>
      <c r="I327" s="2" t="s">
        <v>94</v>
      </c>
      <c r="J327" s="2" t="s">
        <v>95</v>
      </c>
      <c r="K327" s="2" t="s">
        <v>8</v>
      </c>
      <c r="L327" s="2" t="s">
        <v>27</v>
      </c>
      <c r="M327" s="2" t="s">
        <v>45</v>
      </c>
      <c r="N327" s="2" t="s">
        <v>931</v>
      </c>
      <c r="O327" s="2" t="s">
        <v>234</v>
      </c>
      <c r="P327" s="5">
        <v>944930087</v>
      </c>
      <c r="R327" s="2" t="s">
        <v>932</v>
      </c>
      <c r="S327" s="2" t="s">
        <v>31</v>
      </c>
      <c r="T327" s="2" t="s">
        <v>283</v>
      </c>
      <c r="U327" s="2">
        <v>2008</v>
      </c>
      <c r="V327" s="6">
        <v>42898</v>
      </c>
      <c r="W327" s="3" t="s">
        <v>232</v>
      </c>
      <c r="X327" s="23">
        <v>2626.75</v>
      </c>
    </row>
    <row r="328" spans="1:24" x14ac:dyDescent="0.2">
      <c r="A328" s="2">
        <v>1703051</v>
      </c>
      <c r="B328" s="6">
        <v>42812.448972685183</v>
      </c>
      <c r="C328" s="6">
        <v>42817.391803356484</v>
      </c>
      <c r="D328" s="6">
        <v>42824</v>
      </c>
      <c r="E328" s="6">
        <v>42832.371414814814</v>
      </c>
      <c r="F328" s="2" t="s">
        <v>26</v>
      </c>
      <c r="G328" s="2" t="s">
        <v>26</v>
      </c>
      <c r="H328" s="2" t="s">
        <v>93</v>
      </c>
      <c r="I328" s="2" t="s">
        <v>26</v>
      </c>
      <c r="J328" s="2" t="s">
        <v>26</v>
      </c>
      <c r="K328" s="2" t="s">
        <v>269</v>
      </c>
      <c r="L328" s="2" t="s">
        <v>27</v>
      </c>
      <c r="M328" s="2" t="s">
        <v>126</v>
      </c>
      <c r="N328" s="2" t="s">
        <v>933</v>
      </c>
      <c r="O328" s="2" t="s">
        <v>128</v>
      </c>
      <c r="P328" s="5">
        <v>863563641</v>
      </c>
      <c r="Q328" s="5">
        <v>972729644</v>
      </c>
      <c r="R328" s="2" t="s">
        <v>934</v>
      </c>
      <c r="S328" s="2" t="s">
        <v>31</v>
      </c>
      <c r="X328" s="23">
        <v>6960</v>
      </c>
    </row>
    <row r="329" spans="1:24" x14ac:dyDescent="0.2">
      <c r="A329" s="2">
        <v>1703052</v>
      </c>
      <c r="B329" s="6">
        <v>42812.452779513886</v>
      </c>
      <c r="C329" s="6">
        <v>42812.562999768517</v>
      </c>
      <c r="E329" s="6" t="s">
        <v>1511</v>
      </c>
      <c r="F329" s="2" t="s">
        <v>92</v>
      </c>
      <c r="G329" s="2" t="s">
        <v>11</v>
      </c>
      <c r="H329" s="2" t="s">
        <v>93</v>
      </c>
      <c r="I329" s="2" t="s">
        <v>94</v>
      </c>
      <c r="J329" s="2" t="s">
        <v>95</v>
      </c>
      <c r="K329" s="2" t="s">
        <v>8</v>
      </c>
      <c r="L329" s="2" t="s">
        <v>27</v>
      </c>
      <c r="M329" s="2" t="s">
        <v>61</v>
      </c>
      <c r="N329" s="2" t="s">
        <v>605</v>
      </c>
      <c r="O329" s="2" t="s">
        <v>120</v>
      </c>
      <c r="P329" s="5">
        <v>926872544</v>
      </c>
      <c r="Q329" s="5">
        <v>818148828</v>
      </c>
      <c r="R329" s="2" t="s">
        <v>606</v>
      </c>
      <c r="S329" s="2" t="s">
        <v>49</v>
      </c>
      <c r="T329" s="2" t="s">
        <v>130</v>
      </c>
      <c r="U329" s="2">
        <v>2011</v>
      </c>
      <c r="V329" s="6">
        <v>43039</v>
      </c>
      <c r="W329" s="3" t="s">
        <v>215</v>
      </c>
      <c r="X329" s="23">
        <v>2621.5</v>
      </c>
    </row>
    <row r="330" spans="1:24" x14ac:dyDescent="0.2">
      <c r="A330" s="2">
        <v>1703053</v>
      </c>
      <c r="B330" s="6">
        <v>42812.48188900463</v>
      </c>
      <c r="C330" s="6">
        <v>42812.572058912039</v>
      </c>
      <c r="E330" s="6">
        <v>42829.715147337964</v>
      </c>
      <c r="F330" s="2" t="s">
        <v>26</v>
      </c>
      <c r="G330" s="2" t="s">
        <v>26</v>
      </c>
      <c r="H330" s="2" t="s">
        <v>93</v>
      </c>
      <c r="I330" s="2" t="s">
        <v>26</v>
      </c>
      <c r="J330" s="2" t="s">
        <v>26</v>
      </c>
      <c r="K330" s="2" t="s">
        <v>8</v>
      </c>
      <c r="L330" s="2" t="s">
        <v>27</v>
      </c>
      <c r="M330" s="2" t="s">
        <v>28</v>
      </c>
      <c r="N330" s="2" t="s">
        <v>935</v>
      </c>
      <c r="O330" s="2" t="s">
        <v>114</v>
      </c>
      <c r="P330" s="5">
        <v>859439622</v>
      </c>
      <c r="R330" s="2" t="s">
        <v>936</v>
      </c>
      <c r="S330" s="2" t="s">
        <v>31</v>
      </c>
      <c r="T330" s="2" t="s">
        <v>283</v>
      </c>
      <c r="U330" s="2">
        <v>2016</v>
      </c>
      <c r="V330" s="6" t="s">
        <v>72</v>
      </c>
      <c r="X330" s="23">
        <v>5560</v>
      </c>
    </row>
    <row r="331" spans="1:24" x14ac:dyDescent="0.2">
      <c r="A331" s="2">
        <v>1703054</v>
      </c>
      <c r="B331" s="6">
        <v>42812.581419328701</v>
      </c>
      <c r="C331" s="6">
        <v>42884.703636921295</v>
      </c>
      <c r="D331" s="6">
        <v>42903</v>
      </c>
      <c r="E331" s="6">
        <v>42907.496746064811</v>
      </c>
      <c r="F331" s="2" t="s">
        <v>26</v>
      </c>
      <c r="G331" s="2" t="s">
        <v>26</v>
      </c>
      <c r="H331" s="2" t="s">
        <v>26</v>
      </c>
      <c r="I331" s="2" t="s">
        <v>26</v>
      </c>
      <c r="J331" s="2" t="s">
        <v>26</v>
      </c>
      <c r="K331" s="2" t="s">
        <v>8</v>
      </c>
      <c r="L331" s="2" t="s">
        <v>73</v>
      </c>
      <c r="M331" s="2" t="s">
        <v>295</v>
      </c>
      <c r="N331" s="2" t="s">
        <v>937</v>
      </c>
      <c r="O331" s="2" t="s">
        <v>114</v>
      </c>
      <c r="P331" s="5">
        <v>824833600</v>
      </c>
      <c r="R331" s="2" t="s">
        <v>938</v>
      </c>
      <c r="S331" s="2" t="s">
        <v>49</v>
      </c>
      <c r="T331" s="2" t="s">
        <v>111</v>
      </c>
      <c r="U331" s="2">
        <v>2004</v>
      </c>
      <c r="V331" s="6">
        <v>42811</v>
      </c>
      <c r="W331" s="3" t="s">
        <v>138</v>
      </c>
    </row>
    <row r="332" spans="1:24" x14ac:dyDescent="0.2">
      <c r="A332" s="2">
        <v>1703055</v>
      </c>
      <c r="B332" s="6">
        <v>42812.595610069446</v>
      </c>
      <c r="C332" s="6">
        <v>42812.618605208336</v>
      </c>
      <c r="E332" s="6">
        <v>42823.643672337967</v>
      </c>
      <c r="F332" s="2" t="s">
        <v>26</v>
      </c>
      <c r="G332" s="2" t="s">
        <v>26</v>
      </c>
      <c r="H332" s="2" t="s">
        <v>93</v>
      </c>
      <c r="I332" s="2" t="s">
        <v>26</v>
      </c>
      <c r="J332" s="2" t="s">
        <v>26</v>
      </c>
      <c r="K332" s="2" t="s">
        <v>8</v>
      </c>
      <c r="L332" s="2" t="s">
        <v>34</v>
      </c>
      <c r="M332" s="2" t="s">
        <v>81</v>
      </c>
      <c r="N332" s="2" t="s">
        <v>939</v>
      </c>
      <c r="O332" s="2" t="s">
        <v>47</v>
      </c>
      <c r="P332" s="5">
        <v>841008484</v>
      </c>
      <c r="R332" s="2" t="s">
        <v>940</v>
      </c>
      <c r="S332" s="2" t="s">
        <v>70</v>
      </c>
      <c r="T332" s="2" t="s">
        <v>435</v>
      </c>
      <c r="U332" s="2">
        <v>2001</v>
      </c>
      <c r="V332" s="6">
        <v>42886</v>
      </c>
      <c r="W332" s="3" t="s">
        <v>44</v>
      </c>
      <c r="X332" s="23">
        <v>3000</v>
      </c>
    </row>
    <row r="333" spans="1:24" x14ac:dyDescent="0.2">
      <c r="A333" s="2">
        <v>1703056</v>
      </c>
      <c r="B333" s="6">
        <v>42812.616054513892</v>
      </c>
      <c r="C333" s="6">
        <v>42812.630452199075</v>
      </c>
      <c r="E333" s="6">
        <v>42822.735318055558</v>
      </c>
      <c r="F333" s="2" t="s">
        <v>26</v>
      </c>
      <c r="G333" s="2" t="s">
        <v>26</v>
      </c>
      <c r="H333" s="2" t="s">
        <v>93</v>
      </c>
      <c r="I333" s="2" t="s">
        <v>26</v>
      </c>
      <c r="J333" s="2" t="s">
        <v>26</v>
      </c>
      <c r="K333" s="2" t="s">
        <v>8</v>
      </c>
      <c r="L333" s="2" t="s">
        <v>34</v>
      </c>
      <c r="M333" s="2" t="s">
        <v>66</v>
      </c>
      <c r="N333" s="2" t="s">
        <v>941</v>
      </c>
      <c r="O333" s="2" t="s">
        <v>47</v>
      </c>
      <c r="P333" s="5">
        <v>877175042</v>
      </c>
      <c r="R333" s="2" t="s">
        <v>942</v>
      </c>
      <c r="S333" s="2" t="s">
        <v>49</v>
      </c>
      <c r="T333" s="2" t="s">
        <v>943</v>
      </c>
      <c r="U333" s="2">
        <v>2003</v>
      </c>
      <c r="V333" s="6">
        <v>43044</v>
      </c>
      <c r="W333" s="3" t="s">
        <v>44</v>
      </c>
      <c r="X333" s="23">
        <v>3250</v>
      </c>
    </row>
    <row r="334" spans="1:24" x14ac:dyDescent="0.2">
      <c r="A334" s="2">
        <v>1703057</v>
      </c>
      <c r="B334" s="6">
        <v>42812.634140624999</v>
      </c>
      <c r="C334" s="6">
        <v>42861.449464004632</v>
      </c>
      <c r="D334" s="6">
        <v>42870</v>
      </c>
      <c r="E334" s="6">
        <v>42870.577460532404</v>
      </c>
      <c r="F334" s="2" t="s">
        <v>26</v>
      </c>
      <c r="G334" s="2" t="s">
        <v>26</v>
      </c>
      <c r="H334" s="2" t="s">
        <v>26</v>
      </c>
      <c r="I334" s="2" t="s">
        <v>26</v>
      </c>
      <c r="J334" s="2" t="s">
        <v>26</v>
      </c>
      <c r="K334" s="2" t="s">
        <v>8</v>
      </c>
      <c r="L334" s="2" t="s">
        <v>27</v>
      </c>
      <c r="M334" s="2" t="s">
        <v>66</v>
      </c>
      <c r="N334" s="2" t="s">
        <v>944</v>
      </c>
      <c r="O334" s="2" t="s">
        <v>114</v>
      </c>
      <c r="P334" s="5">
        <v>830078322</v>
      </c>
      <c r="R334" s="2" t="s">
        <v>390</v>
      </c>
      <c r="S334" s="2" t="s">
        <v>49</v>
      </c>
      <c r="T334" s="2" t="s">
        <v>79</v>
      </c>
      <c r="U334" s="2">
        <v>2011</v>
      </c>
      <c r="V334" s="6">
        <v>42812</v>
      </c>
      <c r="W334" s="3" t="s">
        <v>117</v>
      </c>
      <c r="X334" s="23">
        <v>8020</v>
      </c>
    </row>
    <row r="335" spans="1:24" x14ac:dyDescent="0.2">
      <c r="A335" s="2">
        <v>1703058</v>
      </c>
      <c r="B335" s="6">
        <v>42814.564709375001</v>
      </c>
      <c r="C335" s="6">
        <v>42843.713785300926</v>
      </c>
      <c r="D335" s="6">
        <v>42854</v>
      </c>
      <c r="E335" s="6">
        <v>42854.746135879628</v>
      </c>
      <c r="F335" s="2" t="s">
        <v>26</v>
      </c>
      <c r="G335" s="2" t="s">
        <v>26</v>
      </c>
      <c r="H335" s="2" t="s">
        <v>93</v>
      </c>
      <c r="I335" s="2" t="s">
        <v>26</v>
      </c>
      <c r="J335" s="2" t="s">
        <v>26</v>
      </c>
      <c r="K335" s="2" t="s">
        <v>8</v>
      </c>
      <c r="L335" s="2" t="s">
        <v>27</v>
      </c>
      <c r="M335" s="2" t="s">
        <v>61</v>
      </c>
      <c r="N335" s="2" t="s">
        <v>945</v>
      </c>
      <c r="O335" s="2" t="s">
        <v>128</v>
      </c>
      <c r="P335" s="5">
        <v>864003740</v>
      </c>
      <c r="Q335" s="5">
        <v>970719775</v>
      </c>
      <c r="R335" s="2" t="s">
        <v>946</v>
      </c>
      <c r="S335" s="2" t="s">
        <v>31</v>
      </c>
      <c r="T335" s="2" t="s">
        <v>283</v>
      </c>
      <c r="U335" s="2">
        <v>2014</v>
      </c>
      <c r="V335" s="6" t="s">
        <v>72</v>
      </c>
    </row>
    <row r="336" spans="1:24" x14ac:dyDescent="0.2">
      <c r="A336" s="2">
        <v>1703059</v>
      </c>
      <c r="B336" s="6">
        <v>42814.566852662036</v>
      </c>
      <c r="C336" s="6">
        <v>42816.39244502315</v>
      </c>
      <c r="D336" s="6">
        <v>42826</v>
      </c>
      <c r="E336" s="6">
        <v>42826.758027314812</v>
      </c>
      <c r="F336" s="2" t="s">
        <v>26</v>
      </c>
      <c r="G336" s="2" t="s">
        <v>26</v>
      </c>
      <c r="H336" s="2" t="s">
        <v>93</v>
      </c>
      <c r="I336" s="2" t="s">
        <v>26</v>
      </c>
      <c r="J336" s="2" t="s">
        <v>26</v>
      </c>
      <c r="K336" s="2" t="s">
        <v>269</v>
      </c>
      <c r="L336" s="2" t="s">
        <v>27</v>
      </c>
      <c r="M336" s="2" t="s">
        <v>28</v>
      </c>
      <c r="N336" s="2" t="s">
        <v>947</v>
      </c>
      <c r="O336" s="2" t="s">
        <v>68</v>
      </c>
      <c r="P336" s="5">
        <v>867678320</v>
      </c>
      <c r="R336" s="2" t="s">
        <v>948</v>
      </c>
      <c r="S336" s="2" t="s">
        <v>55</v>
      </c>
      <c r="T336" s="2" t="s">
        <v>949</v>
      </c>
      <c r="U336" s="2">
        <v>2010</v>
      </c>
      <c r="V336" s="6">
        <v>42744</v>
      </c>
      <c r="W336" s="3" t="s">
        <v>950</v>
      </c>
    </row>
    <row r="337" spans="1:24" x14ac:dyDescent="0.2">
      <c r="A337" s="2">
        <v>1703060</v>
      </c>
      <c r="B337" s="6">
        <v>42814.574058101854</v>
      </c>
      <c r="C337" s="6">
        <v>42857</v>
      </c>
      <c r="D337" s="6">
        <v>42868</v>
      </c>
      <c r="E337" s="6">
        <v>42875.647414699073</v>
      </c>
      <c r="F337" s="2" t="s">
        <v>26</v>
      </c>
      <c r="G337" s="2" t="s">
        <v>26</v>
      </c>
      <c r="H337" s="2" t="s">
        <v>26</v>
      </c>
      <c r="I337" s="2" t="s">
        <v>26</v>
      </c>
      <c r="J337" s="2" t="s">
        <v>26</v>
      </c>
      <c r="K337" s="2" t="s">
        <v>8</v>
      </c>
      <c r="L337" s="2" t="s">
        <v>27</v>
      </c>
      <c r="M337" s="2" t="s">
        <v>61</v>
      </c>
      <c r="N337" s="2" t="s">
        <v>951</v>
      </c>
      <c r="O337" s="2" t="s">
        <v>47</v>
      </c>
      <c r="P337" s="5">
        <v>851506815</v>
      </c>
      <c r="R337" s="2" t="s">
        <v>952</v>
      </c>
      <c r="S337" s="2" t="s">
        <v>55</v>
      </c>
      <c r="T337" s="2" t="s">
        <v>56</v>
      </c>
      <c r="U337" s="2">
        <v>2010</v>
      </c>
      <c r="V337" s="6">
        <v>42865</v>
      </c>
      <c r="W337" s="3" t="s">
        <v>106</v>
      </c>
      <c r="X337" s="23">
        <v>3050</v>
      </c>
    </row>
    <row r="338" spans="1:24" x14ac:dyDescent="0.2">
      <c r="A338" s="2">
        <v>1703061</v>
      </c>
      <c r="B338" s="6">
        <v>42814.578110416667</v>
      </c>
      <c r="C338" s="6">
        <v>42849.436450231478</v>
      </c>
      <c r="D338" s="6">
        <v>42858</v>
      </c>
      <c r="E338" s="6">
        <v>42860.457502430552</v>
      </c>
      <c r="F338" s="2" t="s">
        <v>26</v>
      </c>
      <c r="G338" s="2" t="s">
        <v>26</v>
      </c>
      <c r="H338" s="2" t="s">
        <v>93</v>
      </c>
      <c r="I338" s="2" t="s">
        <v>26</v>
      </c>
      <c r="J338" s="2" t="s">
        <v>26</v>
      </c>
      <c r="K338" s="2" t="s">
        <v>8</v>
      </c>
      <c r="L338" s="2" t="s">
        <v>27</v>
      </c>
      <c r="M338" s="2" t="s">
        <v>28</v>
      </c>
      <c r="N338" s="2" t="s">
        <v>953</v>
      </c>
      <c r="O338" s="2" t="s">
        <v>128</v>
      </c>
      <c r="P338" s="5">
        <v>347366989</v>
      </c>
      <c r="Q338" s="5">
        <v>899859448</v>
      </c>
      <c r="R338" s="2" t="s">
        <v>954</v>
      </c>
      <c r="S338" s="2" t="s">
        <v>49</v>
      </c>
      <c r="T338" s="2" t="s">
        <v>79</v>
      </c>
      <c r="U338" s="2">
        <v>2013</v>
      </c>
      <c r="V338" s="6">
        <v>42516</v>
      </c>
      <c r="W338" s="3" t="s">
        <v>955</v>
      </c>
    </row>
    <row r="339" spans="1:24" x14ac:dyDescent="0.2">
      <c r="A339" s="2">
        <v>1703062</v>
      </c>
      <c r="B339" s="6">
        <v>42814.600419212962</v>
      </c>
      <c r="C339" s="6">
        <v>42814.60280335648</v>
      </c>
      <c r="D339" s="6">
        <v>42824</v>
      </c>
      <c r="E339" s="6">
        <v>42832.36515578704</v>
      </c>
      <c r="F339" s="2" t="s">
        <v>26</v>
      </c>
      <c r="G339" s="2" t="s">
        <v>26</v>
      </c>
      <c r="H339" s="2" t="s">
        <v>93</v>
      </c>
      <c r="I339" s="2" t="s">
        <v>26</v>
      </c>
      <c r="J339" s="2" t="s">
        <v>26</v>
      </c>
      <c r="K339" s="2" t="s">
        <v>8</v>
      </c>
      <c r="L339" s="2" t="s">
        <v>27</v>
      </c>
      <c r="M339" s="2" t="s">
        <v>45</v>
      </c>
      <c r="N339" s="2" t="s">
        <v>956</v>
      </c>
      <c r="O339" s="2" t="s">
        <v>68</v>
      </c>
      <c r="P339" s="5">
        <v>615799391</v>
      </c>
      <c r="Q339" s="5">
        <v>922909254</v>
      </c>
      <c r="R339" s="2" t="s">
        <v>957</v>
      </c>
      <c r="S339" s="2" t="s">
        <v>31</v>
      </c>
      <c r="T339" s="2" t="s">
        <v>283</v>
      </c>
      <c r="U339" s="2">
        <v>2012</v>
      </c>
      <c r="V339" s="6">
        <v>42987</v>
      </c>
      <c r="W339" s="3" t="s">
        <v>877</v>
      </c>
      <c r="X339" s="23">
        <v>10650</v>
      </c>
    </row>
    <row r="340" spans="1:24" x14ac:dyDescent="0.2">
      <c r="A340" s="2">
        <v>1703063</v>
      </c>
      <c r="B340" s="6">
        <v>42815.407724305558</v>
      </c>
      <c r="C340" s="6">
        <v>42815.408552199071</v>
      </c>
      <c r="D340" s="6">
        <v>0</v>
      </c>
      <c r="E340" s="6">
        <v>42886.572726967592</v>
      </c>
      <c r="F340" s="2" t="s">
        <v>26</v>
      </c>
      <c r="G340" s="2" t="s">
        <v>26</v>
      </c>
      <c r="H340" s="2" t="s">
        <v>26</v>
      </c>
      <c r="I340" s="2" t="s">
        <v>26</v>
      </c>
      <c r="J340" s="2" t="s">
        <v>26</v>
      </c>
      <c r="K340" s="2" t="s">
        <v>8</v>
      </c>
      <c r="L340" s="2" t="s">
        <v>170</v>
      </c>
      <c r="M340" s="2" t="s">
        <v>28</v>
      </c>
      <c r="N340" s="2" t="s">
        <v>958</v>
      </c>
      <c r="O340" s="2" t="s">
        <v>959</v>
      </c>
      <c r="P340" s="5">
        <v>862520221</v>
      </c>
      <c r="R340" s="2" t="s">
        <v>960</v>
      </c>
      <c r="S340" s="2" t="s">
        <v>49</v>
      </c>
      <c r="T340" s="2" t="s">
        <v>151</v>
      </c>
      <c r="U340" s="2">
        <v>2007</v>
      </c>
      <c r="V340" s="6">
        <v>43055</v>
      </c>
      <c r="W340" s="3" t="s">
        <v>955</v>
      </c>
      <c r="X340" s="23">
        <v>14031.78</v>
      </c>
    </row>
    <row r="341" spans="1:24" x14ac:dyDescent="0.2">
      <c r="A341" s="2">
        <v>1703064</v>
      </c>
      <c r="B341" s="6">
        <v>42815.605189814814</v>
      </c>
      <c r="C341" s="6">
        <v>42906.659353703704</v>
      </c>
      <c r="D341" s="6">
        <v>43293</v>
      </c>
      <c r="E341" s="6">
        <v>42938</v>
      </c>
      <c r="F341" s="2" t="s">
        <v>26</v>
      </c>
      <c r="G341" s="2" t="s">
        <v>26</v>
      </c>
      <c r="H341" s="2" t="s">
        <v>26</v>
      </c>
      <c r="I341" s="2" t="s">
        <v>26</v>
      </c>
      <c r="J341" s="2" t="s">
        <v>26</v>
      </c>
      <c r="K341" s="2" t="s">
        <v>8</v>
      </c>
      <c r="L341" s="2" t="s">
        <v>73</v>
      </c>
      <c r="M341" s="2" t="s">
        <v>66</v>
      </c>
      <c r="N341" s="2" t="s">
        <v>961</v>
      </c>
      <c r="O341" s="2" t="s">
        <v>962</v>
      </c>
      <c r="P341" s="5">
        <v>962757496</v>
      </c>
      <c r="R341" s="2" t="s">
        <v>963</v>
      </c>
      <c r="S341" s="2" t="s">
        <v>243</v>
      </c>
      <c r="T341" s="2" t="s">
        <v>244</v>
      </c>
      <c r="U341" s="2">
        <v>2005</v>
      </c>
      <c r="V341" s="6">
        <v>42830</v>
      </c>
      <c r="W341" s="3" t="s">
        <v>573</v>
      </c>
      <c r="X341" s="23">
        <v>280</v>
      </c>
    </row>
    <row r="342" spans="1:24" x14ac:dyDescent="0.2">
      <c r="A342" s="2">
        <v>1703065</v>
      </c>
      <c r="B342" s="6">
        <v>42816.470816666668</v>
      </c>
      <c r="C342" s="6">
        <v>42819.735786111109</v>
      </c>
      <c r="E342" s="6">
        <v>42826.401567824076</v>
      </c>
      <c r="F342" s="2" t="s">
        <v>26</v>
      </c>
      <c r="G342" s="2" t="s">
        <v>26</v>
      </c>
      <c r="H342" s="2" t="s">
        <v>93</v>
      </c>
      <c r="I342" s="2" t="s">
        <v>26</v>
      </c>
      <c r="J342" s="2" t="s">
        <v>26</v>
      </c>
      <c r="K342" s="2" t="s">
        <v>8</v>
      </c>
      <c r="L342" s="2" t="s">
        <v>34</v>
      </c>
      <c r="M342" s="2" t="s">
        <v>28</v>
      </c>
      <c r="N342" s="2" t="s">
        <v>964</v>
      </c>
      <c r="O342" s="2" t="s">
        <v>128</v>
      </c>
      <c r="P342" s="5">
        <v>929095622</v>
      </c>
      <c r="R342" s="2" t="s">
        <v>965</v>
      </c>
      <c r="S342" s="2" t="s">
        <v>49</v>
      </c>
      <c r="T342" s="2" t="s">
        <v>130</v>
      </c>
      <c r="U342" s="2">
        <v>2012</v>
      </c>
      <c r="V342" s="6">
        <v>42912</v>
      </c>
      <c r="W342" s="3" t="s">
        <v>44</v>
      </c>
      <c r="X342" s="23">
        <v>7696.26</v>
      </c>
    </row>
    <row r="343" spans="1:24" x14ac:dyDescent="0.2">
      <c r="A343" s="2">
        <v>1703066</v>
      </c>
      <c r="B343" s="6">
        <v>42816.55988645833</v>
      </c>
      <c r="F343" s="2" t="s">
        <v>126</v>
      </c>
      <c r="G343" s="2" t="s">
        <v>126</v>
      </c>
      <c r="H343" s="2" t="s">
        <v>126</v>
      </c>
      <c r="I343" s="2" t="s">
        <v>126</v>
      </c>
      <c r="J343" s="2" t="s">
        <v>126</v>
      </c>
      <c r="K343" s="2" t="s">
        <v>8</v>
      </c>
      <c r="L343" s="2" t="s">
        <v>27</v>
      </c>
      <c r="M343" s="2" t="s">
        <v>45</v>
      </c>
      <c r="N343" s="2" t="s">
        <v>966</v>
      </c>
      <c r="O343" s="2" t="s">
        <v>68</v>
      </c>
      <c r="P343" s="5">
        <v>998819295</v>
      </c>
      <c r="Q343" s="5">
        <v>928059783</v>
      </c>
      <c r="R343" s="2" t="s">
        <v>967</v>
      </c>
      <c r="S343" s="2" t="s">
        <v>31</v>
      </c>
      <c r="T343" s="2" t="s">
        <v>283</v>
      </c>
      <c r="U343" s="2">
        <v>2010</v>
      </c>
      <c r="V343" s="6">
        <v>43140</v>
      </c>
      <c r="W343" s="3" t="s">
        <v>528</v>
      </c>
    </row>
    <row r="344" spans="1:24" x14ac:dyDescent="0.2">
      <c r="A344" s="2">
        <v>1703067</v>
      </c>
      <c r="B344" s="6">
        <v>42816.583269675924</v>
      </c>
      <c r="F344" s="2" t="s">
        <v>126</v>
      </c>
      <c r="G344" s="2" t="s">
        <v>126</v>
      </c>
      <c r="H344" s="2" t="s">
        <v>126</v>
      </c>
      <c r="I344" s="2" t="s">
        <v>126</v>
      </c>
      <c r="J344" s="2" t="s">
        <v>126</v>
      </c>
      <c r="K344" s="2" t="s">
        <v>8</v>
      </c>
      <c r="L344" s="2" t="s">
        <v>34</v>
      </c>
      <c r="M344" s="2" t="s">
        <v>118</v>
      </c>
      <c r="N344" s="2" t="s">
        <v>968</v>
      </c>
      <c r="P344" s="5">
        <v>982543323</v>
      </c>
      <c r="R344" s="2" t="s">
        <v>969</v>
      </c>
      <c r="S344" s="2" t="s">
        <v>49</v>
      </c>
      <c r="T344" s="2" t="s">
        <v>79</v>
      </c>
      <c r="U344" s="2">
        <v>2013</v>
      </c>
      <c r="V344" s="6">
        <v>42795</v>
      </c>
      <c r="W344" s="3" t="s">
        <v>103</v>
      </c>
      <c r="X344" s="23">
        <v>3638</v>
      </c>
    </row>
    <row r="345" spans="1:24" x14ac:dyDescent="0.2">
      <c r="A345" s="2">
        <v>1703068</v>
      </c>
      <c r="B345" s="6">
        <v>42817.693185185184</v>
      </c>
      <c r="C345" s="6">
        <v>42857</v>
      </c>
      <c r="D345" s="6">
        <v>42868</v>
      </c>
      <c r="E345" s="6">
        <v>42866.381901504632</v>
      </c>
      <c r="F345" s="2" t="s">
        <v>26</v>
      </c>
      <c r="G345" s="2" t="s">
        <v>26</v>
      </c>
      <c r="H345" s="2" t="s">
        <v>26</v>
      </c>
      <c r="I345" s="2" t="s">
        <v>26</v>
      </c>
      <c r="J345" s="2" t="s">
        <v>26</v>
      </c>
      <c r="K345" s="2" t="s">
        <v>8</v>
      </c>
      <c r="L345" s="2" t="s">
        <v>27</v>
      </c>
      <c r="M345" s="2" t="s">
        <v>45</v>
      </c>
      <c r="N345" s="2" t="s">
        <v>970</v>
      </c>
      <c r="O345" s="2" t="s">
        <v>128</v>
      </c>
      <c r="P345" s="5">
        <v>879890372</v>
      </c>
      <c r="R345" s="2" t="s">
        <v>971</v>
      </c>
      <c r="S345" s="2" t="s">
        <v>49</v>
      </c>
      <c r="T345" s="2" t="s">
        <v>130</v>
      </c>
      <c r="U345" s="2">
        <v>2012</v>
      </c>
      <c r="V345" s="6">
        <v>43150</v>
      </c>
      <c r="W345" s="3" t="s">
        <v>39</v>
      </c>
      <c r="X345" s="23">
        <v>0</v>
      </c>
    </row>
    <row r="346" spans="1:24" x14ac:dyDescent="0.2">
      <c r="A346" s="2">
        <v>1703069</v>
      </c>
      <c r="B346" s="6">
        <v>42818.688255324072</v>
      </c>
      <c r="F346" s="2" t="s">
        <v>126</v>
      </c>
      <c r="G346" s="2" t="s">
        <v>126</v>
      </c>
      <c r="H346" s="2" t="s">
        <v>126</v>
      </c>
      <c r="I346" s="2" t="s">
        <v>126</v>
      </c>
      <c r="J346" s="2" t="s">
        <v>126</v>
      </c>
      <c r="K346" s="2" t="s">
        <v>8</v>
      </c>
      <c r="L346" s="2" t="s">
        <v>27</v>
      </c>
      <c r="M346" s="2" t="s">
        <v>45</v>
      </c>
      <c r="N346" s="2" t="s">
        <v>972</v>
      </c>
      <c r="O346" s="2" t="s">
        <v>68</v>
      </c>
      <c r="P346" s="5">
        <v>854073951</v>
      </c>
      <c r="R346" s="2" t="s">
        <v>973</v>
      </c>
      <c r="S346" s="2" t="s">
        <v>49</v>
      </c>
      <c r="T346" s="2" t="s">
        <v>79</v>
      </c>
      <c r="U346" s="2">
        <v>2011</v>
      </c>
      <c r="V346" s="6">
        <v>42917</v>
      </c>
      <c r="W346" s="3" t="s">
        <v>974</v>
      </c>
    </row>
    <row r="347" spans="1:24" x14ac:dyDescent="0.2">
      <c r="A347" s="2">
        <v>1703070</v>
      </c>
      <c r="B347" s="6">
        <v>42819.549523263886</v>
      </c>
      <c r="C347" s="6">
        <v>42819.555226041666</v>
      </c>
      <c r="E347" s="6" t="s">
        <v>1511</v>
      </c>
      <c r="F347" s="2" t="s">
        <v>92</v>
      </c>
      <c r="G347" s="2" t="s">
        <v>11</v>
      </c>
      <c r="H347" s="2" t="s">
        <v>93</v>
      </c>
      <c r="I347" s="2" t="s">
        <v>95</v>
      </c>
      <c r="J347" s="2" t="s">
        <v>95</v>
      </c>
      <c r="K347" s="2" t="s">
        <v>8</v>
      </c>
      <c r="L347" s="2" t="s">
        <v>27</v>
      </c>
      <c r="M347" s="2" t="s">
        <v>28</v>
      </c>
      <c r="N347" s="2" t="s">
        <v>904</v>
      </c>
      <c r="O347" s="2" t="s">
        <v>976</v>
      </c>
      <c r="P347" s="5">
        <v>905988668</v>
      </c>
      <c r="R347" s="2" t="s">
        <v>905</v>
      </c>
      <c r="S347" s="2" t="s">
        <v>55</v>
      </c>
      <c r="T347" s="2" t="s">
        <v>142</v>
      </c>
      <c r="U347" s="2">
        <v>2012</v>
      </c>
      <c r="V347" s="6">
        <v>42963</v>
      </c>
      <c r="W347" s="3" t="s">
        <v>148</v>
      </c>
      <c r="X347" s="23">
        <v>1310.75</v>
      </c>
    </row>
    <row r="348" spans="1:24" x14ac:dyDescent="0.2">
      <c r="A348" s="2">
        <v>1703071</v>
      </c>
      <c r="B348" s="6">
        <v>42819.551883680557</v>
      </c>
      <c r="C348" s="6">
        <v>42859</v>
      </c>
      <c r="D348" s="6">
        <v>42870</v>
      </c>
      <c r="E348" s="6">
        <v>42884.394293634257</v>
      </c>
      <c r="F348" s="2" t="s">
        <v>26</v>
      </c>
      <c r="G348" s="2" t="s">
        <v>26</v>
      </c>
      <c r="H348" s="2" t="s">
        <v>26</v>
      </c>
      <c r="I348" s="2" t="s">
        <v>26</v>
      </c>
      <c r="J348" s="2" t="s">
        <v>26</v>
      </c>
      <c r="K348" s="2" t="s">
        <v>8</v>
      </c>
      <c r="L348" s="2" t="s">
        <v>51</v>
      </c>
      <c r="M348" s="2" t="s">
        <v>66</v>
      </c>
      <c r="N348" s="2" t="s">
        <v>977</v>
      </c>
      <c r="O348" s="2" t="s">
        <v>41</v>
      </c>
      <c r="P348" s="5">
        <v>882237699</v>
      </c>
      <c r="Q348" s="5">
        <v>958837779</v>
      </c>
      <c r="R348" s="2" t="s">
        <v>978</v>
      </c>
      <c r="S348" s="2" t="s">
        <v>49</v>
      </c>
      <c r="T348" s="2" t="s">
        <v>91</v>
      </c>
      <c r="U348" s="2">
        <v>2008</v>
      </c>
      <c r="V348" s="6">
        <v>42862</v>
      </c>
      <c r="W348" s="3" t="s">
        <v>44</v>
      </c>
      <c r="X348" s="23">
        <v>0</v>
      </c>
    </row>
    <row r="349" spans="1:24" x14ac:dyDescent="0.2">
      <c r="A349" s="2">
        <v>1703072</v>
      </c>
      <c r="B349" s="6">
        <v>42819.554081944443</v>
      </c>
      <c r="C349" s="6">
        <v>42866.373216203705</v>
      </c>
      <c r="D349" s="6">
        <v>42874</v>
      </c>
      <c r="E349" s="6">
        <v>42891.400883333336</v>
      </c>
      <c r="F349" s="2" t="s">
        <v>26</v>
      </c>
      <c r="G349" s="2" t="s">
        <v>26</v>
      </c>
      <c r="H349" s="2" t="s">
        <v>26</v>
      </c>
      <c r="I349" s="2" t="s">
        <v>26</v>
      </c>
      <c r="J349" s="2" t="s">
        <v>26</v>
      </c>
      <c r="K349" s="2" t="s">
        <v>8</v>
      </c>
      <c r="L349" s="2" t="s">
        <v>27</v>
      </c>
      <c r="M349" s="2" t="s">
        <v>28</v>
      </c>
      <c r="N349" s="2" t="s">
        <v>979</v>
      </c>
      <c r="O349" s="2" t="s">
        <v>511</v>
      </c>
      <c r="P349" s="5">
        <v>837895581</v>
      </c>
      <c r="R349" s="2" t="s">
        <v>980</v>
      </c>
      <c r="S349" s="2" t="s">
        <v>64</v>
      </c>
      <c r="T349" s="2">
        <v>3</v>
      </c>
      <c r="U349" s="2">
        <v>2008</v>
      </c>
      <c r="V349" s="6" t="s">
        <v>72</v>
      </c>
      <c r="X349" s="23">
        <v>3595.2</v>
      </c>
    </row>
    <row r="350" spans="1:24" x14ac:dyDescent="0.2">
      <c r="A350" s="2">
        <v>1703073</v>
      </c>
      <c r="B350" s="6">
        <v>42822.409031481482</v>
      </c>
      <c r="C350" s="6">
        <v>42882.562186921299</v>
      </c>
      <c r="D350" s="6">
        <v>42893</v>
      </c>
      <c r="E350" s="6">
        <v>42896.744509837961</v>
      </c>
      <c r="F350" s="2" t="s">
        <v>26</v>
      </c>
      <c r="G350" s="2" t="s">
        <v>26</v>
      </c>
      <c r="H350" s="2" t="s">
        <v>26</v>
      </c>
      <c r="I350" s="2" t="s">
        <v>26</v>
      </c>
      <c r="J350" s="2" t="s">
        <v>26</v>
      </c>
      <c r="K350" s="2" t="s">
        <v>8</v>
      </c>
      <c r="L350" s="2" t="s">
        <v>981</v>
      </c>
      <c r="M350" s="2" t="s">
        <v>28</v>
      </c>
      <c r="N350" s="2" t="s">
        <v>982</v>
      </c>
      <c r="O350" s="2" t="s">
        <v>47</v>
      </c>
      <c r="P350" s="5">
        <v>892046601</v>
      </c>
      <c r="Q350" s="5">
        <v>819897917</v>
      </c>
      <c r="R350" s="2" t="s">
        <v>983</v>
      </c>
      <c r="S350" s="2" t="s">
        <v>55</v>
      </c>
      <c r="T350" s="2" t="s">
        <v>76</v>
      </c>
      <c r="U350" s="2">
        <v>2008</v>
      </c>
      <c r="V350" s="6">
        <v>42812</v>
      </c>
      <c r="W350" s="3" t="s">
        <v>99</v>
      </c>
      <c r="X350" s="23">
        <v>0</v>
      </c>
    </row>
    <row r="351" spans="1:24" x14ac:dyDescent="0.2">
      <c r="A351" s="2">
        <v>1703074</v>
      </c>
      <c r="B351" s="6">
        <v>42822.412834027775</v>
      </c>
      <c r="F351" s="2" t="s">
        <v>126</v>
      </c>
      <c r="G351" s="2" t="s">
        <v>126</v>
      </c>
      <c r="H351" s="2" t="s">
        <v>126</v>
      </c>
      <c r="I351" s="2" t="s">
        <v>126</v>
      </c>
      <c r="J351" s="2" t="s">
        <v>126</v>
      </c>
      <c r="K351" s="2" t="s">
        <v>8</v>
      </c>
      <c r="L351" s="2" t="s">
        <v>981</v>
      </c>
      <c r="M351" s="2" t="s">
        <v>295</v>
      </c>
      <c r="N351" s="2" t="s">
        <v>984</v>
      </c>
      <c r="O351" s="2" t="s">
        <v>128</v>
      </c>
      <c r="P351" s="5">
        <v>942646159</v>
      </c>
      <c r="R351" s="2" t="s">
        <v>985</v>
      </c>
      <c r="S351" s="2" t="s">
        <v>49</v>
      </c>
      <c r="T351" s="2" t="s">
        <v>130</v>
      </c>
      <c r="U351" s="2">
        <v>2012</v>
      </c>
      <c r="V351" s="6">
        <v>43006</v>
      </c>
      <c r="W351" s="3" t="s">
        <v>117</v>
      </c>
      <c r="X351" s="23">
        <v>0</v>
      </c>
    </row>
    <row r="352" spans="1:24" x14ac:dyDescent="0.2">
      <c r="A352" s="2">
        <v>1703075</v>
      </c>
      <c r="B352" s="6">
        <v>42822.415948148147</v>
      </c>
      <c r="F352" s="2" t="s">
        <v>126</v>
      </c>
      <c r="G352" s="2" t="s">
        <v>126</v>
      </c>
      <c r="H352" s="2" t="s">
        <v>126</v>
      </c>
      <c r="I352" s="2" t="s">
        <v>126</v>
      </c>
      <c r="J352" s="2" t="s">
        <v>126</v>
      </c>
      <c r="K352" s="2" t="s">
        <v>8</v>
      </c>
      <c r="L352" s="2" t="s">
        <v>170</v>
      </c>
      <c r="M352" s="2" t="s">
        <v>28</v>
      </c>
      <c r="N352" s="2" t="s">
        <v>986</v>
      </c>
      <c r="O352" s="2" t="s">
        <v>407</v>
      </c>
      <c r="P352" s="5">
        <v>898201377</v>
      </c>
      <c r="Q352" s="5">
        <v>851346683</v>
      </c>
      <c r="R352" s="2" t="s">
        <v>987</v>
      </c>
      <c r="S352" s="2" t="s">
        <v>70</v>
      </c>
      <c r="T352" s="2" t="s">
        <v>988</v>
      </c>
      <c r="U352" s="2">
        <v>2006</v>
      </c>
      <c r="V352" s="6">
        <v>42878</v>
      </c>
      <c r="W352" s="3">
        <v>0</v>
      </c>
    </row>
    <row r="353" spans="1:24" x14ac:dyDescent="0.2">
      <c r="A353" s="2">
        <v>1703076</v>
      </c>
      <c r="B353" s="6">
        <v>42822.424373032409</v>
      </c>
      <c r="C353" s="6">
        <v>42850.72418449074</v>
      </c>
      <c r="D353" s="6">
        <v>42865</v>
      </c>
      <c r="E353" s="6">
        <v>42863.719294675924</v>
      </c>
      <c r="F353" s="2" t="s">
        <v>26</v>
      </c>
      <c r="G353" s="2" t="s">
        <v>26</v>
      </c>
      <c r="H353" s="2" t="s">
        <v>93</v>
      </c>
      <c r="I353" s="2" t="s">
        <v>26</v>
      </c>
      <c r="J353" s="2" t="s">
        <v>26</v>
      </c>
      <c r="K353" s="2" t="s">
        <v>8</v>
      </c>
      <c r="L353" s="2" t="s">
        <v>27</v>
      </c>
      <c r="M353" s="2" t="s">
        <v>45</v>
      </c>
      <c r="N353" s="2" t="s">
        <v>989</v>
      </c>
      <c r="O353" s="2" t="s">
        <v>128</v>
      </c>
      <c r="P353" s="5">
        <v>27560148</v>
      </c>
      <c r="Q353" s="5">
        <v>890577317</v>
      </c>
      <c r="R353" s="2" t="s">
        <v>990</v>
      </c>
      <c r="S353" s="2" t="s">
        <v>243</v>
      </c>
      <c r="T353" s="2" t="s">
        <v>991</v>
      </c>
      <c r="U353" s="2">
        <v>2015</v>
      </c>
      <c r="V353" s="6">
        <v>43109</v>
      </c>
      <c r="W353" s="3" t="s">
        <v>112</v>
      </c>
      <c r="X353" s="23">
        <v>1588</v>
      </c>
    </row>
    <row r="354" spans="1:24" x14ac:dyDescent="0.2">
      <c r="A354" s="2">
        <v>1703077</v>
      </c>
      <c r="B354" s="6">
        <v>42822.427697800929</v>
      </c>
      <c r="C354" s="6">
        <v>42868.453052314813</v>
      </c>
      <c r="D354" s="6">
        <v>42868</v>
      </c>
      <c r="E354" s="6">
        <v>42868.453546874996</v>
      </c>
      <c r="F354" s="2" t="s">
        <v>26</v>
      </c>
      <c r="G354" s="2" t="s">
        <v>26</v>
      </c>
      <c r="H354" s="2" t="s">
        <v>26</v>
      </c>
      <c r="I354" s="2" t="s">
        <v>26</v>
      </c>
      <c r="J354" s="2" t="s">
        <v>26</v>
      </c>
      <c r="K354" s="2" t="s">
        <v>8</v>
      </c>
      <c r="L354" s="2" t="s">
        <v>27</v>
      </c>
      <c r="M354" s="2" t="s">
        <v>28</v>
      </c>
      <c r="N354" s="2" t="s">
        <v>992</v>
      </c>
      <c r="O354" s="2" t="s">
        <v>128</v>
      </c>
      <c r="P354" s="5">
        <v>928539371</v>
      </c>
      <c r="R354" s="2" t="s">
        <v>993</v>
      </c>
      <c r="S354" s="2" t="s">
        <v>31</v>
      </c>
      <c r="T354" s="2" t="s">
        <v>283</v>
      </c>
      <c r="U354" s="2">
        <v>2016</v>
      </c>
      <c r="V354" s="6">
        <v>42992</v>
      </c>
      <c r="W354" s="3" t="s">
        <v>87</v>
      </c>
      <c r="X354" s="23">
        <v>0</v>
      </c>
    </row>
    <row r="355" spans="1:24" x14ac:dyDescent="0.2">
      <c r="A355" s="2">
        <v>1703078</v>
      </c>
      <c r="B355" s="6">
        <v>42822.450144444447</v>
      </c>
      <c r="C355" s="6">
        <v>42822.452835300923</v>
      </c>
      <c r="D355" s="6">
        <v>42830</v>
      </c>
      <c r="E355" s="6">
        <v>42843.39712361111</v>
      </c>
      <c r="F355" s="2" t="s">
        <v>26</v>
      </c>
      <c r="G355" s="2" t="s">
        <v>26</v>
      </c>
      <c r="H355" s="2" t="s">
        <v>93</v>
      </c>
      <c r="I355" s="2" t="s">
        <v>26</v>
      </c>
      <c r="J355" s="2" t="s">
        <v>26</v>
      </c>
      <c r="K355" s="2" t="s">
        <v>8</v>
      </c>
      <c r="L355" s="2" t="s">
        <v>27</v>
      </c>
      <c r="M355" s="2" t="s">
        <v>61</v>
      </c>
      <c r="N355" s="2" t="s">
        <v>994</v>
      </c>
      <c r="O355" s="2" t="s">
        <v>68</v>
      </c>
      <c r="P355" s="5">
        <v>898927043</v>
      </c>
      <c r="R355" s="2" t="s">
        <v>995</v>
      </c>
      <c r="S355" s="2" t="s">
        <v>31</v>
      </c>
      <c r="T355" s="2" t="s">
        <v>283</v>
      </c>
      <c r="U355" s="2">
        <v>2007</v>
      </c>
      <c r="V355" s="6" t="s">
        <v>72</v>
      </c>
    </row>
    <row r="356" spans="1:24" x14ac:dyDescent="0.2">
      <c r="A356" s="2">
        <v>1703079</v>
      </c>
      <c r="B356" s="6">
        <v>42822.454870138892</v>
      </c>
      <c r="C356" s="6">
        <v>42822.456129976854</v>
      </c>
      <c r="D356" s="6">
        <v>42831</v>
      </c>
      <c r="E356" s="6">
        <v>42843.386990624997</v>
      </c>
      <c r="F356" s="2" t="s">
        <v>26</v>
      </c>
      <c r="G356" s="2" t="s">
        <v>26</v>
      </c>
      <c r="H356" s="2" t="s">
        <v>93</v>
      </c>
      <c r="I356" s="2" t="s">
        <v>26</v>
      </c>
      <c r="J356" s="2" t="s">
        <v>26</v>
      </c>
      <c r="K356" s="2" t="s">
        <v>8</v>
      </c>
      <c r="L356" s="2" t="s">
        <v>981</v>
      </c>
      <c r="M356" s="2" t="s">
        <v>66</v>
      </c>
      <c r="N356" s="2" t="s">
        <v>996</v>
      </c>
      <c r="P356" s="5">
        <v>616503177</v>
      </c>
      <c r="Q356" s="5">
        <v>961986398</v>
      </c>
      <c r="R356" s="2" t="s">
        <v>997</v>
      </c>
      <c r="S356" s="2" t="s">
        <v>49</v>
      </c>
      <c r="T356" s="2" t="s">
        <v>130</v>
      </c>
      <c r="U356" s="2">
        <v>2011</v>
      </c>
      <c r="V356" s="6" t="s">
        <v>72</v>
      </c>
      <c r="X356" s="23">
        <v>6025</v>
      </c>
    </row>
    <row r="357" spans="1:24" x14ac:dyDescent="0.2">
      <c r="A357" s="2">
        <v>1703080</v>
      </c>
      <c r="B357" s="6">
        <v>42822.615765277777</v>
      </c>
      <c r="C357" s="6">
        <v>42850.715743981484</v>
      </c>
      <c r="D357" s="6">
        <v>42861</v>
      </c>
      <c r="E357" s="6">
        <v>42860.462792592596</v>
      </c>
      <c r="F357" s="2" t="s">
        <v>26</v>
      </c>
      <c r="G357" s="2" t="s">
        <v>26</v>
      </c>
      <c r="H357" s="2" t="s">
        <v>93</v>
      </c>
      <c r="I357" s="2" t="s">
        <v>26</v>
      </c>
      <c r="J357" s="2" t="s">
        <v>26</v>
      </c>
      <c r="K357" s="2" t="s">
        <v>8</v>
      </c>
      <c r="L357" s="2" t="s">
        <v>27</v>
      </c>
      <c r="M357" s="2" t="s">
        <v>66</v>
      </c>
      <c r="N357" s="2" t="s">
        <v>998</v>
      </c>
      <c r="O357" s="2" t="s">
        <v>47</v>
      </c>
      <c r="P357" s="5">
        <v>819174009</v>
      </c>
      <c r="R357" s="2" t="s">
        <v>999</v>
      </c>
      <c r="S357" s="2" t="s">
        <v>243</v>
      </c>
      <c r="T357" s="2" t="s">
        <v>244</v>
      </c>
      <c r="U357" s="2">
        <v>2014</v>
      </c>
      <c r="V357" s="6">
        <v>42714</v>
      </c>
      <c r="W357" s="3" t="s">
        <v>87</v>
      </c>
    </row>
    <row r="358" spans="1:24" x14ac:dyDescent="0.2">
      <c r="A358" s="2">
        <v>1703081</v>
      </c>
      <c r="B358" s="6">
        <v>42823.459148958333</v>
      </c>
      <c r="E358" s="6">
        <v>42910.609432870369</v>
      </c>
      <c r="F358" s="2" t="s">
        <v>26</v>
      </c>
      <c r="G358" s="2" t="s">
        <v>26</v>
      </c>
      <c r="H358" s="2" t="s">
        <v>26</v>
      </c>
      <c r="I358" s="2" t="s">
        <v>26</v>
      </c>
      <c r="J358" s="2" t="s">
        <v>26</v>
      </c>
      <c r="K358" s="2" t="s">
        <v>8</v>
      </c>
      <c r="L358" s="2" t="s">
        <v>170</v>
      </c>
      <c r="M358" s="2" t="s">
        <v>61</v>
      </c>
      <c r="N358" s="2" t="s">
        <v>1000</v>
      </c>
      <c r="O358" s="2" t="s">
        <v>1001</v>
      </c>
      <c r="P358" s="5">
        <v>614345905</v>
      </c>
      <c r="Q358" s="5">
        <v>610641771</v>
      </c>
      <c r="R358" s="2" t="s">
        <v>1002</v>
      </c>
      <c r="S358" s="2" t="s">
        <v>49</v>
      </c>
      <c r="T358" s="2" t="s">
        <v>91</v>
      </c>
      <c r="U358" s="2">
        <v>2013</v>
      </c>
      <c r="V358" s="6" t="s">
        <v>72</v>
      </c>
      <c r="X358" s="23">
        <v>0</v>
      </c>
    </row>
    <row r="359" spans="1:24" x14ac:dyDescent="0.2">
      <c r="A359" s="2">
        <v>1703082</v>
      </c>
      <c r="B359" s="6">
        <v>42824.67795208333</v>
      </c>
      <c r="C359" s="6">
        <v>42877.686986921297</v>
      </c>
      <c r="D359" s="6">
        <v>42886</v>
      </c>
      <c r="E359" s="6" t="s">
        <v>1511</v>
      </c>
      <c r="F359" s="2">
        <v>8.3130130787030794</v>
      </c>
      <c r="G359" s="2" t="s">
        <v>11</v>
      </c>
      <c r="H359" s="2" t="s">
        <v>93</v>
      </c>
      <c r="I359" s="2" t="s">
        <v>94</v>
      </c>
      <c r="J359" s="2" t="s">
        <v>95</v>
      </c>
      <c r="K359" s="2" t="s">
        <v>8</v>
      </c>
      <c r="L359" s="2" t="s">
        <v>27</v>
      </c>
      <c r="M359" s="2" t="s">
        <v>45</v>
      </c>
      <c r="N359" s="2" t="s">
        <v>1003</v>
      </c>
      <c r="O359" s="2" t="s">
        <v>47</v>
      </c>
      <c r="P359" s="5">
        <v>877027216</v>
      </c>
      <c r="R359" s="2" t="s">
        <v>1004</v>
      </c>
      <c r="S359" s="2" t="s">
        <v>37</v>
      </c>
      <c r="T359" s="2" t="s">
        <v>102</v>
      </c>
      <c r="U359" s="2">
        <v>2012</v>
      </c>
      <c r="V359" s="6">
        <v>42832</v>
      </c>
      <c r="W359" s="3" t="s">
        <v>266</v>
      </c>
      <c r="X359" s="23">
        <v>10247.66</v>
      </c>
    </row>
    <row r="360" spans="1:24" x14ac:dyDescent="0.2">
      <c r="A360" s="2">
        <v>1703083</v>
      </c>
      <c r="B360" s="6">
        <v>42824.680716782408</v>
      </c>
      <c r="C360" s="6">
        <v>42870.46224641204</v>
      </c>
      <c r="D360" s="6">
        <v>42878</v>
      </c>
      <c r="E360" s="6">
        <v>42881.726278009257</v>
      </c>
      <c r="F360" s="2" t="s">
        <v>26</v>
      </c>
      <c r="G360" s="2" t="s">
        <v>26</v>
      </c>
      <c r="H360" s="2" t="s">
        <v>26</v>
      </c>
      <c r="I360" s="2" t="s">
        <v>26</v>
      </c>
      <c r="J360" s="2" t="s">
        <v>26</v>
      </c>
      <c r="K360" s="2" t="s">
        <v>8</v>
      </c>
      <c r="L360" s="2" t="s">
        <v>981</v>
      </c>
      <c r="M360" s="2" t="s">
        <v>45</v>
      </c>
      <c r="N360" s="2" t="s">
        <v>1005</v>
      </c>
      <c r="O360" s="2" t="s">
        <v>208</v>
      </c>
      <c r="P360" s="5">
        <v>952707998</v>
      </c>
      <c r="R360" s="2" t="s">
        <v>1006</v>
      </c>
      <c r="S360" s="2" t="s">
        <v>49</v>
      </c>
      <c r="T360" s="2" t="s">
        <v>1007</v>
      </c>
      <c r="U360" s="2">
        <v>2011</v>
      </c>
      <c r="V360" s="6" t="s">
        <v>72</v>
      </c>
      <c r="X360" s="23">
        <v>7546.72</v>
      </c>
    </row>
    <row r="361" spans="1:24" x14ac:dyDescent="0.2">
      <c r="A361" s="2">
        <v>1703084</v>
      </c>
      <c r="B361" s="6">
        <v>42824.682665509259</v>
      </c>
      <c r="C361" s="6">
        <v>42905.438907407406</v>
      </c>
      <c r="D361" s="6">
        <v>42914</v>
      </c>
      <c r="E361" s="6">
        <v>42913.729143865741</v>
      </c>
      <c r="F361" s="2" t="s">
        <v>26</v>
      </c>
      <c r="G361" s="2" t="s">
        <v>26</v>
      </c>
      <c r="H361" s="2" t="s">
        <v>26</v>
      </c>
      <c r="I361" s="2" t="s">
        <v>26</v>
      </c>
      <c r="J361" s="2" t="s">
        <v>26</v>
      </c>
      <c r="K361" s="2" t="s">
        <v>8</v>
      </c>
      <c r="L361" s="2" t="s">
        <v>27</v>
      </c>
      <c r="M361" s="2" t="s">
        <v>28</v>
      </c>
      <c r="N361" s="2" t="s">
        <v>1008</v>
      </c>
      <c r="O361" s="2" t="s">
        <v>114</v>
      </c>
      <c r="P361" s="5">
        <v>813737199</v>
      </c>
      <c r="R361" s="2" t="s">
        <v>1009</v>
      </c>
      <c r="S361" s="2" t="s">
        <v>133</v>
      </c>
      <c r="T361" s="2" t="s">
        <v>134</v>
      </c>
      <c r="U361" s="2">
        <v>2010</v>
      </c>
      <c r="V361" s="6">
        <v>42911</v>
      </c>
      <c r="W361" s="3" t="s">
        <v>194</v>
      </c>
    </row>
    <row r="362" spans="1:24" x14ac:dyDescent="0.2">
      <c r="A362" s="2">
        <v>1703085</v>
      </c>
      <c r="B362" s="6">
        <v>42824.684896412036</v>
      </c>
      <c r="C362" s="6">
        <v>42896.745820023149</v>
      </c>
      <c r="D362" s="6">
        <v>42896</v>
      </c>
      <c r="E362" s="6">
        <v>42896.746557754632</v>
      </c>
      <c r="F362" s="2" t="s">
        <v>26</v>
      </c>
      <c r="G362" s="2" t="s">
        <v>26</v>
      </c>
      <c r="H362" s="2" t="s">
        <v>26</v>
      </c>
      <c r="I362" s="2" t="s">
        <v>26</v>
      </c>
      <c r="J362" s="2" t="s">
        <v>26</v>
      </c>
      <c r="K362" s="2" t="s">
        <v>8</v>
      </c>
      <c r="L362" s="2" t="s">
        <v>981</v>
      </c>
      <c r="M362" s="2" t="s">
        <v>28</v>
      </c>
      <c r="N362" s="2" t="s">
        <v>1010</v>
      </c>
      <c r="O362" s="2" t="s">
        <v>128</v>
      </c>
      <c r="P362" s="5">
        <v>27029126</v>
      </c>
      <c r="Q362" s="5">
        <v>814865083</v>
      </c>
      <c r="R362" s="2" t="s">
        <v>1011</v>
      </c>
      <c r="S362" s="2" t="s">
        <v>133</v>
      </c>
      <c r="T362" s="2" t="s">
        <v>134</v>
      </c>
      <c r="U362" s="2">
        <v>2015</v>
      </c>
      <c r="V362" s="6">
        <v>42989</v>
      </c>
      <c r="W362" s="3" t="s">
        <v>87</v>
      </c>
      <c r="X362" s="23">
        <v>2700</v>
      </c>
    </row>
    <row r="363" spans="1:24" x14ac:dyDescent="0.2">
      <c r="A363" s="2">
        <v>1704001</v>
      </c>
      <c r="B363" s="6">
        <v>42826.407472685183</v>
      </c>
      <c r="C363" s="6">
        <v>42828.713697453706</v>
      </c>
      <c r="D363" s="6">
        <v>42825</v>
      </c>
      <c r="E363" s="6" t="s">
        <v>1511</v>
      </c>
      <c r="F363" s="2">
        <v>-3.7136974537061178</v>
      </c>
      <c r="G363" s="2" t="s">
        <v>95</v>
      </c>
      <c r="H363" s="2" t="s">
        <v>93</v>
      </c>
      <c r="I363" s="2" t="s">
        <v>94</v>
      </c>
      <c r="J363" s="2" t="s">
        <v>95</v>
      </c>
      <c r="K363" s="2" t="s">
        <v>8</v>
      </c>
      <c r="L363" s="2" t="s">
        <v>170</v>
      </c>
      <c r="M363" s="2" t="s">
        <v>45</v>
      </c>
      <c r="N363" s="2" t="s">
        <v>1012</v>
      </c>
      <c r="O363" s="2" t="s">
        <v>128</v>
      </c>
      <c r="P363" s="5">
        <v>960269438</v>
      </c>
      <c r="R363" s="2" t="s">
        <v>1013</v>
      </c>
      <c r="S363" s="2" t="s">
        <v>49</v>
      </c>
      <c r="T363" s="2" t="s">
        <v>151</v>
      </c>
      <c r="U363" s="2">
        <v>2013</v>
      </c>
      <c r="V363" s="6">
        <v>43064</v>
      </c>
      <c r="W363" s="3" t="s">
        <v>44</v>
      </c>
      <c r="X363" s="23">
        <v>0</v>
      </c>
    </row>
    <row r="364" spans="1:24" x14ac:dyDescent="0.2">
      <c r="A364" s="2">
        <v>1704002</v>
      </c>
      <c r="B364" s="6">
        <v>42826.560602199075</v>
      </c>
      <c r="C364" s="6">
        <v>42826.576203935183</v>
      </c>
      <c r="D364" s="6">
        <v>0</v>
      </c>
      <c r="E364" s="6">
        <v>42954</v>
      </c>
      <c r="F364" s="2" t="s">
        <v>26</v>
      </c>
      <c r="G364" s="2" t="s">
        <v>26</v>
      </c>
      <c r="H364" s="2" t="s">
        <v>26</v>
      </c>
      <c r="I364" s="2" t="s">
        <v>26</v>
      </c>
      <c r="J364" s="2" t="s">
        <v>26</v>
      </c>
      <c r="K364" s="2" t="s">
        <v>8</v>
      </c>
      <c r="L364" s="2" t="s">
        <v>170</v>
      </c>
      <c r="M364" s="2" t="s">
        <v>61</v>
      </c>
      <c r="N364" s="2" t="s">
        <v>1014</v>
      </c>
      <c r="O364" s="2" t="s">
        <v>234</v>
      </c>
      <c r="P364" s="5">
        <v>649926912</v>
      </c>
      <c r="R364" s="2" t="s">
        <v>1015</v>
      </c>
      <c r="S364" s="2" t="s">
        <v>49</v>
      </c>
      <c r="T364" s="2" t="s">
        <v>130</v>
      </c>
      <c r="V364" s="6" t="s">
        <v>72</v>
      </c>
    </row>
    <row r="365" spans="1:24" x14ac:dyDescent="0.2">
      <c r="A365" s="2">
        <v>1704003</v>
      </c>
      <c r="B365" s="6">
        <v>42826.570496064815</v>
      </c>
      <c r="C365" s="6">
        <v>42864.633499884258</v>
      </c>
      <c r="D365" s="6">
        <v>42871</v>
      </c>
      <c r="E365" s="6">
        <v>42875.740924189813</v>
      </c>
      <c r="F365" s="2" t="s">
        <v>26</v>
      </c>
      <c r="G365" s="2" t="s">
        <v>26</v>
      </c>
      <c r="H365" s="2" t="s">
        <v>26</v>
      </c>
      <c r="I365" s="2" t="s">
        <v>26</v>
      </c>
      <c r="J365" s="2" t="s">
        <v>26</v>
      </c>
      <c r="K365" s="2" t="s">
        <v>8</v>
      </c>
      <c r="L365" s="2" t="s">
        <v>981</v>
      </c>
      <c r="M365" s="2" t="s">
        <v>295</v>
      </c>
      <c r="N365" s="2" t="s">
        <v>1016</v>
      </c>
      <c r="O365" s="2" t="s">
        <v>107</v>
      </c>
      <c r="P365" s="5">
        <v>973585955</v>
      </c>
      <c r="R365" s="2" t="s">
        <v>1017</v>
      </c>
      <c r="S365" s="2" t="s">
        <v>37</v>
      </c>
      <c r="T365" s="2" t="s">
        <v>102</v>
      </c>
      <c r="U365" s="2">
        <v>2014</v>
      </c>
      <c r="V365" s="6">
        <v>43022</v>
      </c>
      <c r="W365" s="3" t="s">
        <v>1018</v>
      </c>
      <c r="X365" s="23">
        <v>0</v>
      </c>
    </row>
    <row r="366" spans="1:24" x14ac:dyDescent="0.2">
      <c r="A366" s="2">
        <v>1704004</v>
      </c>
      <c r="B366" s="6">
        <v>42826.587618518519</v>
      </c>
      <c r="C366" s="6">
        <v>42826.592446527779</v>
      </c>
      <c r="D366" s="6">
        <v>0</v>
      </c>
      <c r="E366" s="6">
        <v>42881.400867824072</v>
      </c>
      <c r="F366" s="2" t="s">
        <v>26</v>
      </c>
      <c r="G366" s="2" t="s">
        <v>26</v>
      </c>
      <c r="H366" s="2" t="s">
        <v>26</v>
      </c>
      <c r="I366" s="2" t="s">
        <v>26</v>
      </c>
      <c r="J366" s="2" t="s">
        <v>26</v>
      </c>
      <c r="K366" s="2" t="s">
        <v>8</v>
      </c>
      <c r="L366" s="2" t="s">
        <v>170</v>
      </c>
      <c r="M366" s="2" t="s">
        <v>45</v>
      </c>
      <c r="N366" s="2" t="s">
        <v>1019</v>
      </c>
      <c r="O366" s="2" t="s">
        <v>47</v>
      </c>
      <c r="P366" s="5">
        <v>909701550</v>
      </c>
      <c r="R366" s="2" t="s">
        <v>1020</v>
      </c>
      <c r="S366" s="2" t="s">
        <v>1021</v>
      </c>
      <c r="T366" s="2" t="s">
        <v>1022</v>
      </c>
      <c r="V366" s="6" t="s">
        <v>72</v>
      </c>
      <c r="X366" s="23">
        <v>8600</v>
      </c>
    </row>
    <row r="367" spans="1:24" x14ac:dyDescent="0.2">
      <c r="A367" s="2">
        <v>1704005</v>
      </c>
      <c r="B367" s="6">
        <v>42828.494695138892</v>
      </c>
      <c r="C367" s="6">
        <v>42901.671780555553</v>
      </c>
      <c r="D367" s="6">
        <v>0</v>
      </c>
      <c r="E367" s="6" t="s">
        <v>1511</v>
      </c>
      <c r="F367" s="2">
        <v>-42901.671780555553</v>
      </c>
      <c r="G367" s="2" t="s">
        <v>11</v>
      </c>
      <c r="H367" s="2" t="s">
        <v>93</v>
      </c>
      <c r="I367" s="2" t="s">
        <v>95</v>
      </c>
      <c r="J367" s="2" t="s">
        <v>95</v>
      </c>
      <c r="K367" s="2" t="s">
        <v>8</v>
      </c>
      <c r="L367" s="2" t="s">
        <v>51</v>
      </c>
      <c r="M367" s="2" t="s">
        <v>45</v>
      </c>
      <c r="N367" s="2" t="s">
        <v>1023</v>
      </c>
      <c r="O367" s="2" t="s">
        <v>838</v>
      </c>
      <c r="P367" s="5">
        <v>899949762</v>
      </c>
      <c r="R367" s="2" t="s">
        <v>1024</v>
      </c>
      <c r="S367" s="2" t="s">
        <v>243</v>
      </c>
      <c r="T367" s="2" t="s">
        <v>244</v>
      </c>
      <c r="U367" s="2">
        <v>2006</v>
      </c>
      <c r="V367" s="6" t="s">
        <v>72</v>
      </c>
      <c r="X367" s="23">
        <v>1300</v>
      </c>
    </row>
    <row r="368" spans="1:24" x14ac:dyDescent="0.2">
      <c r="A368" s="2">
        <v>1704006</v>
      </c>
      <c r="B368" s="6">
        <v>42828.715960069443</v>
      </c>
      <c r="C368" s="6">
        <v>42843.66129178241</v>
      </c>
      <c r="D368" s="6">
        <v>0</v>
      </c>
      <c r="E368" s="6">
        <v>42861.716428240739</v>
      </c>
      <c r="F368" s="2" t="s">
        <v>26</v>
      </c>
      <c r="G368" s="2" t="s">
        <v>26</v>
      </c>
      <c r="H368" s="2" t="s">
        <v>93</v>
      </c>
      <c r="I368" s="2" t="s">
        <v>26</v>
      </c>
      <c r="J368" s="2" t="s">
        <v>26</v>
      </c>
      <c r="K368" s="2" t="s">
        <v>269</v>
      </c>
      <c r="L368" s="2" t="s">
        <v>73</v>
      </c>
      <c r="M368" s="2" t="s">
        <v>126</v>
      </c>
      <c r="N368" s="2" t="s">
        <v>1025</v>
      </c>
      <c r="O368" s="2" t="s">
        <v>128</v>
      </c>
      <c r="P368" s="5">
        <v>875602663</v>
      </c>
      <c r="R368" s="2" t="s">
        <v>1026</v>
      </c>
      <c r="S368" s="2" t="s">
        <v>49</v>
      </c>
      <c r="T368" s="2" t="s">
        <v>111</v>
      </c>
      <c r="X368" s="23">
        <v>4000</v>
      </c>
    </row>
    <row r="369" spans="1:24" x14ac:dyDescent="0.2">
      <c r="A369" s="2">
        <v>1704007</v>
      </c>
      <c r="B369" s="6">
        <v>42828.718494560184</v>
      </c>
      <c r="C369" s="6">
        <v>42894.602815625003</v>
      </c>
      <c r="D369" s="6">
        <v>42903</v>
      </c>
      <c r="E369" s="6">
        <v>42903.696910648148</v>
      </c>
      <c r="F369" s="2" t="s">
        <v>26</v>
      </c>
      <c r="G369" s="2" t="s">
        <v>26</v>
      </c>
      <c r="H369" s="2" t="s">
        <v>26</v>
      </c>
      <c r="I369" s="2" t="s">
        <v>26</v>
      </c>
      <c r="J369" s="2" t="s">
        <v>26</v>
      </c>
      <c r="K369" s="2" t="s">
        <v>8</v>
      </c>
      <c r="L369" s="2" t="s">
        <v>27</v>
      </c>
      <c r="M369" s="2" t="s">
        <v>28</v>
      </c>
      <c r="N369" s="2" t="s">
        <v>1027</v>
      </c>
      <c r="O369" s="2" t="s">
        <v>128</v>
      </c>
      <c r="P369" s="5">
        <v>634379229</v>
      </c>
      <c r="Q369" s="5">
        <v>877160359</v>
      </c>
      <c r="R369" s="2" t="s">
        <v>1028</v>
      </c>
      <c r="S369" s="2" t="s">
        <v>55</v>
      </c>
      <c r="T369" s="2" t="s">
        <v>1029</v>
      </c>
      <c r="U369" s="2">
        <v>2013</v>
      </c>
      <c r="V369" s="6" t="s">
        <v>72</v>
      </c>
      <c r="X369" s="23">
        <v>0</v>
      </c>
    </row>
    <row r="370" spans="1:24" x14ac:dyDescent="0.2">
      <c r="A370" s="2">
        <v>1704008</v>
      </c>
      <c r="B370" s="6">
        <v>42829.455340393521</v>
      </c>
      <c r="F370" s="2" t="s">
        <v>126</v>
      </c>
      <c r="G370" s="2" t="s">
        <v>126</v>
      </c>
      <c r="H370" s="2" t="s">
        <v>126</v>
      </c>
      <c r="I370" s="2" t="s">
        <v>126</v>
      </c>
      <c r="J370" s="2" t="s">
        <v>126</v>
      </c>
      <c r="K370" s="2" t="s">
        <v>8</v>
      </c>
      <c r="L370" s="2" t="s">
        <v>73</v>
      </c>
      <c r="M370" s="2" t="s">
        <v>118</v>
      </c>
      <c r="N370" s="2" t="s">
        <v>1030</v>
      </c>
      <c r="O370" s="2" t="s">
        <v>128</v>
      </c>
      <c r="P370" s="5">
        <v>896615154</v>
      </c>
      <c r="R370" s="2" t="s">
        <v>1031</v>
      </c>
      <c r="S370" s="2" t="s">
        <v>55</v>
      </c>
      <c r="T370" s="2" t="s">
        <v>165</v>
      </c>
      <c r="U370" s="2">
        <v>2013</v>
      </c>
      <c r="V370" s="6">
        <v>42830</v>
      </c>
      <c r="W370" s="3" t="s">
        <v>974</v>
      </c>
      <c r="X370" s="23">
        <v>0</v>
      </c>
    </row>
    <row r="371" spans="1:24" x14ac:dyDescent="0.2">
      <c r="A371" s="2">
        <v>1704009</v>
      </c>
      <c r="B371" s="6">
        <v>42830.693260300926</v>
      </c>
      <c r="C371" s="6">
        <v>42850.490254629629</v>
      </c>
      <c r="D371" s="6">
        <v>42854</v>
      </c>
      <c r="E371" s="6">
        <v>42860.457935532409</v>
      </c>
      <c r="F371" s="2" t="s">
        <v>26</v>
      </c>
      <c r="G371" s="2" t="s">
        <v>26</v>
      </c>
      <c r="H371" s="2" t="s">
        <v>93</v>
      </c>
      <c r="I371" s="2" t="s">
        <v>26</v>
      </c>
      <c r="J371" s="2" t="s">
        <v>26</v>
      </c>
      <c r="K371" s="2" t="s">
        <v>8</v>
      </c>
      <c r="L371" s="2" t="s">
        <v>981</v>
      </c>
      <c r="M371" s="2" t="s">
        <v>45</v>
      </c>
      <c r="N371" s="2" t="s">
        <v>1032</v>
      </c>
      <c r="O371" s="2" t="s">
        <v>68</v>
      </c>
      <c r="P371" s="5">
        <v>926619248</v>
      </c>
      <c r="R371" s="2" t="s">
        <v>1033</v>
      </c>
      <c r="S371" s="2" t="s">
        <v>49</v>
      </c>
      <c r="T371" s="2" t="s">
        <v>151</v>
      </c>
      <c r="U371" s="2">
        <v>2013</v>
      </c>
      <c r="V371" s="6">
        <v>42867</v>
      </c>
      <c r="W371" s="3" t="s">
        <v>1034</v>
      </c>
    </row>
    <row r="372" spans="1:24" x14ac:dyDescent="0.2">
      <c r="A372" s="2">
        <v>1704010</v>
      </c>
      <c r="B372" s="6">
        <v>42832.566255787038</v>
      </c>
      <c r="C372" s="6">
        <v>42870.722420138889</v>
      </c>
      <c r="D372" s="6">
        <v>42882</v>
      </c>
      <c r="E372" s="6">
        <v>42891.400581828704</v>
      </c>
      <c r="F372" s="2" t="s">
        <v>26</v>
      </c>
      <c r="G372" s="2" t="s">
        <v>26</v>
      </c>
      <c r="H372" s="2" t="s">
        <v>26</v>
      </c>
      <c r="I372" s="2" t="s">
        <v>26</v>
      </c>
      <c r="J372" s="2" t="s">
        <v>26</v>
      </c>
      <c r="K372" s="2" t="s">
        <v>8</v>
      </c>
      <c r="L372" s="2" t="s">
        <v>51</v>
      </c>
      <c r="M372" s="2" t="s">
        <v>295</v>
      </c>
      <c r="N372" s="2" t="s">
        <v>1036</v>
      </c>
      <c r="O372" s="2" t="s">
        <v>41</v>
      </c>
      <c r="P372" s="5">
        <v>891294514</v>
      </c>
      <c r="R372" s="2" t="s">
        <v>1037</v>
      </c>
      <c r="S372" s="2" t="s">
        <v>70</v>
      </c>
      <c r="T372" s="2" t="s">
        <v>71</v>
      </c>
      <c r="U372" s="2">
        <v>2006</v>
      </c>
      <c r="V372" s="6">
        <v>43144</v>
      </c>
      <c r="W372" s="3" t="s">
        <v>44</v>
      </c>
      <c r="X372" s="23">
        <v>3415.89</v>
      </c>
    </row>
    <row r="373" spans="1:24" x14ac:dyDescent="0.2">
      <c r="A373" s="2">
        <v>1704011</v>
      </c>
      <c r="B373" s="6">
        <v>42835.657129050924</v>
      </c>
      <c r="C373" s="6">
        <v>42863.460695138892</v>
      </c>
      <c r="D373" s="6">
        <v>42873</v>
      </c>
      <c r="E373" s="6" t="s">
        <v>1511</v>
      </c>
      <c r="F373" s="2">
        <v>9.5393048611076665</v>
      </c>
      <c r="G373" s="2" t="s">
        <v>11</v>
      </c>
      <c r="H373" s="2" t="s">
        <v>93</v>
      </c>
      <c r="I373" s="2" t="s">
        <v>94</v>
      </c>
      <c r="J373" s="2" t="s">
        <v>95</v>
      </c>
      <c r="K373" s="2" t="s">
        <v>8</v>
      </c>
      <c r="L373" s="2" t="s">
        <v>27</v>
      </c>
      <c r="M373" s="2" t="s">
        <v>66</v>
      </c>
      <c r="N373" s="2" t="s">
        <v>1038</v>
      </c>
      <c r="O373" s="2" t="s">
        <v>68</v>
      </c>
      <c r="P373" s="5">
        <v>948540143</v>
      </c>
      <c r="Q373" s="5">
        <v>81786701</v>
      </c>
      <c r="R373" s="2" t="s">
        <v>1039</v>
      </c>
      <c r="S373" s="2" t="s">
        <v>37</v>
      </c>
      <c r="T373" s="2" t="s">
        <v>102</v>
      </c>
      <c r="U373" s="2">
        <v>2015</v>
      </c>
      <c r="V373" s="6">
        <v>43058</v>
      </c>
      <c r="W373" s="3" t="s">
        <v>57</v>
      </c>
      <c r="X373" s="23">
        <v>24000</v>
      </c>
    </row>
    <row r="374" spans="1:24" x14ac:dyDescent="0.2">
      <c r="A374" s="2">
        <v>1704012</v>
      </c>
      <c r="B374" s="6">
        <v>42842</v>
      </c>
      <c r="C374" s="6">
        <v>42854.673612268518</v>
      </c>
      <c r="D374" s="6">
        <v>42864</v>
      </c>
      <c r="E374" s="6">
        <v>42866.383105092595</v>
      </c>
      <c r="F374" s="2" t="s">
        <v>26</v>
      </c>
      <c r="G374" s="2" t="s">
        <v>26</v>
      </c>
      <c r="H374" s="2" t="s">
        <v>26</v>
      </c>
      <c r="I374" s="2" t="s">
        <v>26</v>
      </c>
      <c r="J374" s="2" t="s">
        <v>26</v>
      </c>
      <c r="K374" s="2" t="s">
        <v>8</v>
      </c>
      <c r="L374" s="2" t="s">
        <v>27</v>
      </c>
      <c r="M374" s="2" t="s">
        <v>28</v>
      </c>
      <c r="N374" s="2" t="s">
        <v>1042</v>
      </c>
      <c r="O374" s="2" t="s">
        <v>239</v>
      </c>
      <c r="P374" s="5">
        <v>982654251</v>
      </c>
      <c r="R374" s="2" t="s">
        <v>1043</v>
      </c>
      <c r="S374" s="2" t="s">
        <v>49</v>
      </c>
      <c r="T374" s="2" t="s">
        <v>151</v>
      </c>
      <c r="U374" s="2">
        <v>2006</v>
      </c>
      <c r="V374" s="6" t="s">
        <v>427</v>
      </c>
      <c r="W374" s="3" t="s">
        <v>427</v>
      </c>
      <c r="X374" s="23">
        <v>5800</v>
      </c>
    </row>
    <row r="375" spans="1:24" x14ac:dyDescent="0.2">
      <c r="A375" s="2">
        <v>1704013</v>
      </c>
      <c r="B375" s="6">
        <v>42842.618489814813</v>
      </c>
      <c r="C375" s="6">
        <v>42858</v>
      </c>
      <c r="D375" s="6">
        <v>42885</v>
      </c>
      <c r="E375" s="6">
        <v>42896.742621874997</v>
      </c>
      <c r="F375" s="2" t="s">
        <v>26</v>
      </c>
      <c r="G375" s="2" t="s">
        <v>26</v>
      </c>
      <c r="H375" s="2" t="s">
        <v>26</v>
      </c>
      <c r="I375" s="2" t="s">
        <v>26</v>
      </c>
      <c r="J375" s="2" t="s">
        <v>26</v>
      </c>
      <c r="K375" s="2" t="s">
        <v>8</v>
      </c>
      <c r="L375" s="2" t="s">
        <v>73</v>
      </c>
      <c r="M375" s="2" t="s">
        <v>45</v>
      </c>
      <c r="N375" s="2" t="s">
        <v>1040</v>
      </c>
      <c r="O375" s="2" t="s">
        <v>41</v>
      </c>
      <c r="P375" s="5">
        <v>802082525</v>
      </c>
      <c r="R375" s="2" t="s">
        <v>1041</v>
      </c>
      <c r="S375" s="2" t="s">
        <v>64</v>
      </c>
      <c r="T375" s="2">
        <v>2</v>
      </c>
      <c r="U375" s="2">
        <v>2011</v>
      </c>
      <c r="V375" s="6">
        <v>42882</v>
      </c>
      <c r="W375" s="3" t="s">
        <v>117</v>
      </c>
      <c r="X375" s="23">
        <v>5846.37</v>
      </c>
    </row>
    <row r="376" spans="1:24" x14ac:dyDescent="0.2">
      <c r="A376" s="2">
        <v>1704014</v>
      </c>
      <c r="B376" s="6">
        <v>42842.644108912034</v>
      </c>
      <c r="C376" s="6">
        <v>42885.448023379628</v>
      </c>
      <c r="D376" s="6">
        <v>42894</v>
      </c>
      <c r="E376" s="6">
        <v>42894.7008369213</v>
      </c>
      <c r="F376" s="2" t="s">
        <v>26</v>
      </c>
      <c r="G376" s="2" t="s">
        <v>26</v>
      </c>
      <c r="H376" s="2" t="s">
        <v>26</v>
      </c>
      <c r="I376" s="2" t="s">
        <v>26</v>
      </c>
      <c r="J376" s="2" t="s">
        <v>26</v>
      </c>
      <c r="K376" s="2" t="s">
        <v>8</v>
      </c>
      <c r="L376" s="2" t="s">
        <v>27</v>
      </c>
      <c r="M376" s="2" t="s">
        <v>28</v>
      </c>
      <c r="N376" s="2" t="s">
        <v>1044</v>
      </c>
      <c r="O376" s="2" t="s">
        <v>427</v>
      </c>
      <c r="P376" s="5">
        <v>852445206</v>
      </c>
      <c r="R376" s="2" t="s">
        <v>1045</v>
      </c>
      <c r="S376" s="2" t="s">
        <v>64</v>
      </c>
      <c r="T376" s="2">
        <v>2</v>
      </c>
      <c r="U376" s="2">
        <v>2013</v>
      </c>
      <c r="V376" s="6">
        <v>43015</v>
      </c>
      <c r="W376" s="3" t="s">
        <v>44</v>
      </c>
      <c r="X376" s="23">
        <v>13000</v>
      </c>
    </row>
    <row r="377" spans="1:24" x14ac:dyDescent="0.2">
      <c r="A377" s="2">
        <v>1704015</v>
      </c>
      <c r="B377" s="6">
        <v>42843.428883680557</v>
      </c>
      <c r="C377" s="6">
        <v>42843.43155011574</v>
      </c>
      <c r="D377" s="6">
        <v>0</v>
      </c>
      <c r="E377" s="6">
        <v>42852.369814699072</v>
      </c>
      <c r="F377" s="2" t="s">
        <v>26</v>
      </c>
      <c r="G377" s="2" t="s">
        <v>26</v>
      </c>
      <c r="H377" s="2" t="s">
        <v>26</v>
      </c>
      <c r="I377" s="2" t="s">
        <v>26</v>
      </c>
      <c r="J377" s="2" t="s">
        <v>26</v>
      </c>
      <c r="K377" s="2" t="s">
        <v>8</v>
      </c>
      <c r="L377" s="2" t="s">
        <v>27</v>
      </c>
      <c r="M377" s="2" t="s">
        <v>118</v>
      </c>
      <c r="N377" s="2" t="s">
        <v>1046</v>
      </c>
      <c r="O377" s="2" t="s">
        <v>114</v>
      </c>
      <c r="P377" s="5">
        <v>865499460</v>
      </c>
      <c r="R377" s="2" t="s">
        <v>1047</v>
      </c>
      <c r="S377" s="2" t="s">
        <v>55</v>
      </c>
      <c r="T377" s="2" t="s">
        <v>697</v>
      </c>
      <c r="U377" s="2">
        <v>2005</v>
      </c>
      <c r="V377" s="6">
        <v>42789</v>
      </c>
      <c r="W377" s="3" t="s">
        <v>342</v>
      </c>
      <c r="X377" s="23">
        <v>0</v>
      </c>
    </row>
    <row r="378" spans="1:24" x14ac:dyDescent="0.2">
      <c r="A378" s="2">
        <v>1704016</v>
      </c>
      <c r="B378" s="6">
        <v>42843.435797222221</v>
      </c>
      <c r="C378" s="6">
        <v>42843.440985879628</v>
      </c>
      <c r="D378" s="6">
        <v>42865</v>
      </c>
      <c r="E378" s="6">
        <v>42863.397071064814</v>
      </c>
      <c r="F378" s="2" t="s">
        <v>26</v>
      </c>
      <c r="G378" s="2" t="s">
        <v>26</v>
      </c>
      <c r="H378" s="2" t="s">
        <v>26</v>
      </c>
      <c r="I378" s="2" t="s">
        <v>26</v>
      </c>
      <c r="J378" s="2" t="s">
        <v>26</v>
      </c>
      <c r="K378" s="2" t="s">
        <v>8</v>
      </c>
      <c r="L378" s="2" t="s">
        <v>51</v>
      </c>
      <c r="M378" s="2" t="s">
        <v>28</v>
      </c>
      <c r="N378" s="2" t="s">
        <v>1048</v>
      </c>
      <c r="O378" s="2" t="s">
        <v>120</v>
      </c>
      <c r="P378" s="5">
        <v>851141638</v>
      </c>
      <c r="R378" s="2" t="s">
        <v>1049</v>
      </c>
      <c r="S378" s="2" t="s">
        <v>31</v>
      </c>
      <c r="T378" s="2" t="s">
        <v>116</v>
      </c>
      <c r="U378" s="2">
        <v>2011</v>
      </c>
      <c r="V378" s="6">
        <v>43055</v>
      </c>
      <c r="W378" s="3" t="s">
        <v>641</v>
      </c>
      <c r="X378" s="23">
        <v>4350</v>
      </c>
    </row>
    <row r="379" spans="1:24" x14ac:dyDescent="0.2">
      <c r="A379" s="2">
        <v>1704017</v>
      </c>
      <c r="B379" s="6">
        <v>42843.443570254633</v>
      </c>
      <c r="C379" s="6">
        <v>42843.466818518522</v>
      </c>
      <c r="D379" s="6">
        <v>0</v>
      </c>
      <c r="E379" s="6">
        <v>42847.725130555555</v>
      </c>
      <c r="F379" s="2" t="s">
        <v>26</v>
      </c>
      <c r="G379" s="2" t="s">
        <v>26</v>
      </c>
      <c r="H379" s="2" t="s">
        <v>26</v>
      </c>
      <c r="I379" s="2" t="s">
        <v>26</v>
      </c>
      <c r="J379" s="2" t="s">
        <v>26</v>
      </c>
      <c r="K379" s="2" t="s">
        <v>269</v>
      </c>
      <c r="L379" s="2" t="s">
        <v>27</v>
      </c>
      <c r="M379" s="2" t="s">
        <v>126</v>
      </c>
      <c r="N379" s="2" t="s">
        <v>1050</v>
      </c>
      <c r="P379" s="5">
        <v>952510084</v>
      </c>
      <c r="R379" s="2" t="s">
        <v>1051</v>
      </c>
      <c r="S379" s="2" t="s">
        <v>55</v>
      </c>
      <c r="T379" s="2" t="s">
        <v>56</v>
      </c>
      <c r="X379" s="23">
        <v>2045.4</v>
      </c>
    </row>
    <row r="380" spans="1:24" x14ac:dyDescent="0.2">
      <c r="A380" s="2">
        <v>1704018</v>
      </c>
      <c r="B380" s="6">
        <v>42843.471756018516</v>
      </c>
      <c r="C380" s="6">
        <v>42915.639230324072</v>
      </c>
      <c r="D380" s="6">
        <v>42924</v>
      </c>
      <c r="E380" s="6">
        <v>42924.699341435182</v>
      </c>
      <c r="F380" s="2" t="s">
        <v>26</v>
      </c>
      <c r="G380" s="2" t="s">
        <v>26</v>
      </c>
      <c r="H380" s="2" t="s">
        <v>26</v>
      </c>
      <c r="I380" s="2" t="s">
        <v>26</v>
      </c>
      <c r="J380" s="2" t="s">
        <v>26</v>
      </c>
      <c r="K380" s="2" t="s">
        <v>8</v>
      </c>
      <c r="L380" s="2" t="s">
        <v>27</v>
      </c>
      <c r="M380" s="2" t="s">
        <v>45</v>
      </c>
      <c r="N380" s="2" t="s">
        <v>1052</v>
      </c>
      <c r="O380" s="2" t="s">
        <v>186</v>
      </c>
      <c r="P380" s="5">
        <v>812952876</v>
      </c>
      <c r="R380" s="2" t="s">
        <v>1053</v>
      </c>
      <c r="S380" s="2" t="s">
        <v>49</v>
      </c>
      <c r="T380" s="2" t="s">
        <v>130</v>
      </c>
      <c r="U380" s="2">
        <v>2004</v>
      </c>
      <c r="V380" s="6">
        <v>43037</v>
      </c>
      <c r="W380" s="3" t="s">
        <v>143</v>
      </c>
      <c r="X380" s="23">
        <v>0</v>
      </c>
    </row>
    <row r="381" spans="1:24" x14ac:dyDescent="0.2">
      <c r="A381" s="2">
        <v>1704019</v>
      </c>
      <c r="B381" s="6">
        <v>42843.569560185184</v>
      </c>
      <c r="C381" s="6">
        <v>42905.420425115743</v>
      </c>
      <c r="D381" s="6">
        <v>42910</v>
      </c>
      <c r="E381" s="6">
        <v>42910.681198958337</v>
      </c>
      <c r="F381" s="2" t="s">
        <v>26</v>
      </c>
      <c r="G381" s="2" t="s">
        <v>26</v>
      </c>
      <c r="H381" s="2" t="s">
        <v>26</v>
      </c>
      <c r="I381" s="2" t="s">
        <v>26</v>
      </c>
      <c r="J381" s="2" t="s">
        <v>26</v>
      </c>
      <c r="K381" s="2" t="s">
        <v>8</v>
      </c>
      <c r="L381" s="2" t="s">
        <v>981</v>
      </c>
      <c r="M381" s="2" t="s">
        <v>295</v>
      </c>
      <c r="N381" s="2" t="s">
        <v>1054</v>
      </c>
      <c r="O381" s="2" t="s">
        <v>239</v>
      </c>
      <c r="P381" s="5">
        <v>870740586</v>
      </c>
      <c r="R381" s="2" t="s">
        <v>1055</v>
      </c>
      <c r="S381" s="2" t="s">
        <v>31</v>
      </c>
      <c r="T381" s="2" t="s">
        <v>283</v>
      </c>
      <c r="U381" s="2">
        <v>2015</v>
      </c>
      <c r="V381" s="6">
        <v>43144</v>
      </c>
      <c r="W381" s="3" t="s">
        <v>1056</v>
      </c>
      <c r="X381" s="23">
        <v>3901.88</v>
      </c>
    </row>
    <row r="382" spans="1:24" x14ac:dyDescent="0.2">
      <c r="A382" s="2">
        <v>1704020</v>
      </c>
      <c r="B382" s="6">
        <v>42843.58802210648</v>
      </c>
      <c r="C382" s="6">
        <v>42843.66252233796</v>
      </c>
      <c r="D382" s="6">
        <v>0</v>
      </c>
      <c r="E382" s="6" t="s">
        <v>126</v>
      </c>
      <c r="F382" s="2">
        <v>-42843.66252233796</v>
      </c>
      <c r="G382" s="2" t="s">
        <v>95</v>
      </c>
      <c r="H382" s="2" t="s">
        <v>95</v>
      </c>
      <c r="I382" s="2" t="s">
        <v>94</v>
      </c>
      <c r="J382" s="2" t="s">
        <v>95</v>
      </c>
      <c r="K382" s="2" t="s">
        <v>269</v>
      </c>
      <c r="L382" s="2" t="s">
        <v>73</v>
      </c>
      <c r="M382" s="2" t="s">
        <v>126</v>
      </c>
      <c r="R382" s="2" t="s">
        <v>1057</v>
      </c>
      <c r="S382" s="2" t="s">
        <v>49</v>
      </c>
      <c r="T382" s="2" t="s">
        <v>586</v>
      </c>
      <c r="X382" s="23">
        <v>11290.65</v>
      </c>
    </row>
    <row r="383" spans="1:24" x14ac:dyDescent="0.2">
      <c r="A383" s="2">
        <v>1704021</v>
      </c>
      <c r="B383" s="6">
        <v>42843.68525185185</v>
      </c>
      <c r="C383" s="6">
        <v>42863.462947800923</v>
      </c>
      <c r="D383" s="6">
        <v>42868</v>
      </c>
      <c r="E383" s="6">
        <v>42873.708174421299</v>
      </c>
      <c r="F383" s="2" t="s">
        <v>26</v>
      </c>
      <c r="G383" s="2" t="s">
        <v>26</v>
      </c>
      <c r="H383" s="2" t="s">
        <v>26</v>
      </c>
      <c r="I383" s="2" t="s">
        <v>26</v>
      </c>
      <c r="J383" s="2" t="s">
        <v>26</v>
      </c>
      <c r="K383" s="2" t="s">
        <v>8</v>
      </c>
      <c r="L383" s="2" t="s">
        <v>981</v>
      </c>
      <c r="M383" s="2" t="s">
        <v>28</v>
      </c>
      <c r="N383" s="2" t="s">
        <v>1058</v>
      </c>
      <c r="P383" s="5">
        <v>829187896</v>
      </c>
      <c r="Q383" s="5">
        <v>992944098</v>
      </c>
      <c r="R383" s="2" t="s">
        <v>1059</v>
      </c>
      <c r="S383" s="2" t="s">
        <v>55</v>
      </c>
      <c r="T383" s="2" t="s">
        <v>56</v>
      </c>
      <c r="U383" s="2">
        <v>2013</v>
      </c>
      <c r="V383" s="6">
        <v>42871</v>
      </c>
      <c r="W383" s="3" t="s">
        <v>155</v>
      </c>
      <c r="X383" s="23">
        <v>2500</v>
      </c>
    </row>
    <row r="384" spans="1:24" x14ac:dyDescent="0.2">
      <c r="A384" s="2">
        <v>1704022</v>
      </c>
      <c r="B384" s="6">
        <v>42843.697324537039</v>
      </c>
      <c r="C384" s="6">
        <v>42843.699681481485</v>
      </c>
      <c r="D384" s="6">
        <v>0</v>
      </c>
      <c r="E384" s="6" t="s">
        <v>1511</v>
      </c>
      <c r="F384" s="2">
        <v>-42843.699681481485</v>
      </c>
      <c r="G384" s="2" t="s">
        <v>11</v>
      </c>
      <c r="H384" s="2" t="s">
        <v>93</v>
      </c>
      <c r="I384" s="2" t="s">
        <v>94</v>
      </c>
      <c r="J384" s="2" t="s">
        <v>95</v>
      </c>
      <c r="K384" s="2" t="s">
        <v>8</v>
      </c>
      <c r="L384" s="2" t="s">
        <v>981</v>
      </c>
      <c r="M384" s="2" t="s">
        <v>118</v>
      </c>
      <c r="N384" s="2" t="s">
        <v>1060</v>
      </c>
      <c r="O384" s="2" t="s">
        <v>128</v>
      </c>
      <c r="P384" s="5">
        <v>913763941</v>
      </c>
      <c r="R384" s="2" t="s">
        <v>1061</v>
      </c>
      <c r="S384" s="2" t="s">
        <v>55</v>
      </c>
      <c r="T384" s="2" t="s">
        <v>56</v>
      </c>
      <c r="U384" s="2">
        <v>2002</v>
      </c>
      <c r="V384" s="6">
        <v>42874</v>
      </c>
      <c r="W384" s="3" t="s">
        <v>1062</v>
      </c>
      <c r="X384" s="23">
        <v>36992</v>
      </c>
    </row>
    <row r="385" spans="1:24" x14ac:dyDescent="0.2">
      <c r="A385" s="2">
        <v>1704023</v>
      </c>
      <c r="B385" s="6">
        <v>42844.400217361108</v>
      </c>
      <c r="C385" s="6">
        <v>42891.694076041669</v>
      </c>
      <c r="D385" s="6">
        <v>42910</v>
      </c>
      <c r="E385" s="6" t="s">
        <v>1511</v>
      </c>
      <c r="F385" s="2">
        <v>18.305923958330823</v>
      </c>
      <c r="G385" s="2" t="s">
        <v>11</v>
      </c>
      <c r="H385" s="2" t="s">
        <v>93</v>
      </c>
      <c r="I385" s="2" t="s">
        <v>95</v>
      </c>
      <c r="J385" s="2" t="s">
        <v>95</v>
      </c>
      <c r="K385" s="2" t="s">
        <v>8</v>
      </c>
      <c r="L385" s="2" t="s">
        <v>27</v>
      </c>
      <c r="M385" s="2" t="s">
        <v>45</v>
      </c>
      <c r="N385" s="2" t="s">
        <v>1063</v>
      </c>
      <c r="P385" s="5">
        <v>985359442</v>
      </c>
      <c r="R385" s="2" t="s">
        <v>1064</v>
      </c>
      <c r="S385" s="2" t="s">
        <v>37</v>
      </c>
      <c r="T385" s="2" t="s">
        <v>387</v>
      </c>
      <c r="U385" s="2">
        <v>2010</v>
      </c>
      <c r="V385" s="6">
        <v>42911</v>
      </c>
      <c r="W385" s="3" t="s">
        <v>135</v>
      </c>
      <c r="X385" s="23">
        <v>14855</v>
      </c>
    </row>
    <row r="386" spans="1:24" x14ac:dyDescent="0.2">
      <c r="A386" s="2">
        <v>1704024</v>
      </c>
      <c r="B386" s="6">
        <v>42844.556068749996</v>
      </c>
      <c r="C386" s="6">
        <v>42899.556422337962</v>
      </c>
      <c r="D386" s="6">
        <v>42903</v>
      </c>
      <c r="E386" s="6">
        <v>42906.660365856478</v>
      </c>
      <c r="F386" s="2" t="s">
        <v>26</v>
      </c>
      <c r="G386" s="2" t="s">
        <v>26</v>
      </c>
      <c r="H386" s="2" t="s">
        <v>26</v>
      </c>
      <c r="I386" s="2" t="s">
        <v>26</v>
      </c>
      <c r="J386" s="2" t="s">
        <v>26</v>
      </c>
      <c r="K386" s="2" t="s">
        <v>8</v>
      </c>
      <c r="L386" s="2" t="s">
        <v>34</v>
      </c>
      <c r="M386" s="2" t="s">
        <v>295</v>
      </c>
      <c r="N386" s="2" t="s">
        <v>1065</v>
      </c>
      <c r="O386" s="2" t="s">
        <v>68</v>
      </c>
      <c r="P386" s="5">
        <v>987896039</v>
      </c>
      <c r="Q386" s="5">
        <v>871242094</v>
      </c>
      <c r="R386" s="2" t="s">
        <v>1066</v>
      </c>
      <c r="S386" s="2" t="s">
        <v>49</v>
      </c>
      <c r="T386" s="2" t="s">
        <v>79</v>
      </c>
      <c r="U386" s="2">
        <v>2015</v>
      </c>
      <c r="V386" s="6">
        <v>43007</v>
      </c>
      <c r="W386" s="3" t="s">
        <v>509</v>
      </c>
      <c r="X386" s="23">
        <v>0</v>
      </c>
    </row>
    <row r="387" spans="1:24" x14ac:dyDescent="0.2">
      <c r="A387" s="2">
        <v>1704025</v>
      </c>
      <c r="B387" s="6">
        <v>42844.69114490741</v>
      </c>
      <c r="C387" s="6">
        <v>42857</v>
      </c>
      <c r="D387" s="6">
        <v>42865</v>
      </c>
      <c r="E387" s="6">
        <v>42870.723799189815</v>
      </c>
      <c r="F387" s="2" t="s">
        <v>26</v>
      </c>
      <c r="G387" s="2" t="s">
        <v>26</v>
      </c>
      <c r="H387" s="2" t="s">
        <v>26</v>
      </c>
      <c r="I387" s="2" t="s">
        <v>26</v>
      </c>
      <c r="J387" s="2" t="s">
        <v>26</v>
      </c>
      <c r="K387" s="2" t="s">
        <v>8</v>
      </c>
      <c r="L387" s="2" t="s">
        <v>27</v>
      </c>
      <c r="M387" s="2" t="s">
        <v>28</v>
      </c>
      <c r="N387" s="2" t="s">
        <v>1067</v>
      </c>
      <c r="O387" s="2" t="s">
        <v>128</v>
      </c>
      <c r="P387" s="5">
        <v>860050828</v>
      </c>
      <c r="R387" s="2" t="s">
        <v>1068</v>
      </c>
      <c r="S387" s="2" t="s">
        <v>37</v>
      </c>
      <c r="T387" s="2" t="s">
        <v>331</v>
      </c>
      <c r="U387" s="2">
        <v>1996</v>
      </c>
      <c r="V387" s="6">
        <v>43184</v>
      </c>
      <c r="W387" s="3" t="s">
        <v>1069</v>
      </c>
      <c r="X387" s="23">
        <v>1200</v>
      </c>
    </row>
    <row r="388" spans="1:24" x14ac:dyDescent="0.2">
      <c r="A388" s="2">
        <v>1704026</v>
      </c>
      <c r="B388" s="6">
        <v>42847.38192349537</v>
      </c>
      <c r="C388" s="6">
        <v>42938.47379664352</v>
      </c>
      <c r="D388" s="6">
        <v>42949</v>
      </c>
      <c r="E388" s="6" t="s">
        <v>1511</v>
      </c>
      <c r="F388" s="2" t="s">
        <v>26</v>
      </c>
      <c r="G388" s="2" t="s">
        <v>26</v>
      </c>
      <c r="H388" s="2" t="s">
        <v>26</v>
      </c>
      <c r="I388" s="2" t="s">
        <v>26</v>
      </c>
      <c r="J388" s="2" t="s">
        <v>26</v>
      </c>
      <c r="K388" s="2" t="s">
        <v>8</v>
      </c>
      <c r="L388" s="2" t="s">
        <v>27</v>
      </c>
      <c r="M388" s="2" t="s">
        <v>45</v>
      </c>
      <c r="N388" s="2" t="s">
        <v>1070</v>
      </c>
      <c r="O388" s="2" t="s">
        <v>120</v>
      </c>
      <c r="P388" s="5">
        <v>839099817</v>
      </c>
      <c r="R388" s="2" t="s">
        <v>1071</v>
      </c>
      <c r="S388" s="2" t="s">
        <v>49</v>
      </c>
      <c r="T388" s="2" t="s">
        <v>79</v>
      </c>
      <c r="U388" s="2">
        <v>2006</v>
      </c>
      <c r="V388" s="6">
        <v>43164</v>
      </c>
      <c r="W388" s="3" t="s">
        <v>138</v>
      </c>
      <c r="X388" s="23">
        <v>3088.79</v>
      </c>
    </row>
    <row r="389" spans="1:24" x14ac:dyDescent="0.2">
      <c r="A389" s="2">
        <v>1704027</v>
      </c>
      <c r="B389" s="6">
        <v>42847.384289930553</v>
      </c>
      <c r="C389" s="6">
        <v>42910.566752430554</v>
      </c>
      <c r="D389" s="6">
        <v>42921</v>
      </c>
      <c r="E389" s="6">
        <v>42923.724943055553</v>
      </c>
      <c r="F389" s="2" t="s">
        <v>26</v>
      </c>
      <c r="G389" s="2" t="s">
        <v>26</v>
      </c>
      <c r="H389" s="2" t="s">
        <v>26</v>
      </c>
      <c r="I389" s="2" t="s">
        <v>26</v>
      </c>
      <c r="J389" s="2" t="s">
        <v>26</v>
      </c>
      <c r="K389" s="2" t="s">
        <v>8</v>
      </c>
      <c r="L389" s="2" t="s">
        <v>27</v>
      </c>
      <c r="M389" s="2" t="s">
        <v>45</v>
      </c>
      <c r="N389" s="2" t="s">
        <v>1072</v>
      </c>
      <c r="O389" s="2" t="s">
        <v>47</v>
      </c>
      <c r="P389" s="5">
        <v>825862713</v>
      </c>
      <c r="Q389" s="5">
        <v>995759039</v>
      </c>
      <c r="R389" s="2" t="s">
        <v>1073</v>
      </c>
      <c r="S389" s="2" t="s">
        <v>37</v>
      </c>
      <c r="T389" s="2" t="s">
        <v>331</v>
      </c>
      <c r="V389" s="6" t="s">
        <v>1074</v>
      </c>
      <c r="X389" s="23">
        <v>0</v>
      </c>
    </row>
    <row r="390" spans="1:24" x14ac:dyDescent="0.2">
      <c r="A390" s="2">
        <v>1704028</v>
      </c>
      <c r="B390" s="6">
        <v>42847.386803125002</v>
      </c>
      <c r="C390" s="6">
        <v>42854.679246180553</v>
      </c>
      <c r="D390" s="6">
        <v>42864</v>
      </c>
      <c r="E390" s="6">
        <v>42868.40795335648</v>
      </c>
      <c r="F390" s="2" t="s">
        <v>26</v>
      </c>
      <c r="G390" s="2" t="s">
        <v>26</v>
      </c>
      <c r="H390" s="2" t="s">
        <v>26</v>
      </c>
      <c r="I390" s="2" t="s">
        <v>26</v>
      </c>
      <c r="J390" s="2" t="s">
        <v>26</v>
      </c>
      <c r="K390" s="2" t="s">
        <v>8</v>
      </c>
      <c r="L390" s="2" t="s">
        <v>27</v>
      </c>
      <c r="M390" s="2" t="s">
        <v>295</v>
      </c>
      <c r="N390" s="2" t="s">
        <v>1075</v>
      </c>
      <c r="P390" s="5">
        <v>949587158</v>
      </c>
      <c r="R390" s="2" t="s">
        <v>1076</v>
      </c>
      <c r="S390" s="2" t="s">
        <v>133</v>
      </c>
      <c r="T390" s="2" t="s">
        <v>799</v>
      </c>
      <c r="U390" s="2">
        <v>2008</v>
      </c>
      <c r="V390" s="6">
        <v>42954</v>
      </c>
      <c r="W390" s="3" t="s">
        <v>219</v>
      </c>
      <c r="X390" s="23">
        <v>16063.35</v>
      </c>
    </row>
    <row r="391" spans="1:24" x14ac:dyDescent="0.2">
      <c r="A391" s="2">
        <v>1704029</v>
      </c>
      <c r="B391" s="6">
        <v>42847.424752662038</v>
      </c>
      <c r="C391" s="6">
        <v>42863.690585879631</v>
      </c>
      <c r="D391" s="6">
        <v>42874</v>
      </c>
      <c r="E391" s="6">
        <v>42878.590176967591</v>
      </c>
      <c r="F391" s="2" t="s">
        <v>26</v>
      </c>
      <c r="G391" s="2" t="s">
        <v>26</v>
      </c>
      <c r="H391" s="2" t="s">
        <v>26</v>
      </c>
      <c r="I391" s="2" t="s">
        <v>26</v>
      </c>
      <c r="J391" s="2" t="s">
        <v>26</v>
      </c>
      <c r="K391" s="2" t="s">
        <v>8</v>
      </c>
      <c r="L391" s="2" t="s">
        <v>27</v>
      </c>
      <c r="M391" s="2" t="s">
        <v>45</v>
      </c>
      <c r="N391" s="2" t="s">
        <v>1077</v>
      </c>
      <c r="O391" s="2" t="s">
        <v>107</v>
      </c>
      <c r="P391" s="5">
        <v>818205541</v>
      </c>
      <c r="R391" s="2" t="s">
        <v>1078</v>
      </c>
      <c r="S391" s="2" t="s">
        <v>64</v>
      </c>
      <c r="T391" s="2">
        <v>3</v>
      </c>
      <c r="U391" s="2">
        <v>2010</v>
      </c>
      <c r="V391" s="6">
        <v>42750</v>
      </c>
      <c r="W391" s="3" t="s">
        <v>117</v>
      </c>
      <c r="X391" s="23">
        <v>4400</v>
      </c>
    </row>
    <row r="392" spans="1:24" x14ac:dyDescent="0.2">
      <c r="A392" s="2">
        <v>1704030</v>
      </c>
      <c r="B392" s="6">
        <v>42847.450594444446</v>
      </c>
      <c r="C392" s="6">
        <v>42847.471904861108</v>
      </c>
      <c r="D392" s="6">
        <v>0</v>
      </c>
      <c r="E392" s="6">
        <v>42860.456573263888</v>
      </c>
      <c r="F392" s="2" t="s">
        <v>26</v>
      </c>
      <c r="G392" s="2" t="s">
        <v>26</v>
      </c>
      <c r="H392" s="2" t="s">
        <v>26</v>
      </c>
      <c r="I392" s="2" t="s">
        <v>26</v>
      </c>
      <c r="J392" s="2" t="s">
        <v>26</v>
      </c>
      <c r="K392" s="2" t="s">
        <v>8</v>
      </c>
      <c r="L392" s="2" t="s">
        <v>27</v>
      </c>
      <c r="M392" s="2" t="s">
        <v>88</v>
      </c>
      <c r="N392" s="2" t="s">
        <v>452</v>
      </c>
      <c r="O392" s="2" t="s">
        <v>1079</v>
      </c>
      <c r="P392" s="5">
        <v>800238465</v>
      </c>
      <c r="R392" s="2" t="s">
        <v>453</v>
      </c>
      <c r="S392" s="2" t="s">
        <v>49</v>
      </c>
      <c r="T392" s="2" t="s">
        <v>130</v>
      </c>
      <c r="U392" s="2">
        <v>2013</v>
      </c>
      <c r="V392" s="6">
        <v>42851</v>
      </c>
      <c r="W392" s="3" t="s">
        <v>342</v>
      </c>
      <c r="X392" s="23">
        <v>10800</v>
      </c>
    </row>
    <row r="393" spans="1:24" x14ac:dyDescent="0.2">
      <c r="A393" s="2">
        <v>1704031</v>
      </c>
      <c r="B393" s="6">
        <v>42847.474159606485</v>
      </c>
      <c r="C393" s="6">
        <v>43010.467589814813</v>
      </c>
      <c r="D393" s="6">
        <v>43015</v>
      </c>
      <c r="F393" s="2">
        <v>4.532410185187473</v>
      </c>
      <c r="G393" s="2" t="s">
        <v>11</v>
      </c>
      <c r="H393" s="2" t="s">
        <v>179</v>
      </c>
      <c r="I393" s="2" t="s">
        <v>95</v>
      </c>
      <c r="J393" s="2" t="s">
        <v>95</v>
      </c>
      <c r="K393" s="2" t="s">
        <v>8</v>
      </c>
      <c r="L393" s="2" t="s">
        <v>27</v>
      </c>
      <c r="M393" s="2" t="s">
        <v>295</v>
      </c>
      <c r="N393" s="2" t="s">
        <v>1080</v>
      </c>
      <c r="O393" s="2" t="s">
        <v>128</v>
      </c>
      <c r="P393" s="5">
        <v>814422094</v>
      </c>
      <c r="R393" s="2" t="s">
        <v>1081</v>
      </c>
      <c r="S393" s="2" t="s">
        <v>49</v>
      </c>
      <c r="T393" s="2" t="s">
        <v>79</v>
      </c>
      <c r="U393" s="2">
        <v>2010</v>
      </c>
      <c r="V393" s="6" t="s">
        <v>44</v>
      </c>
      <c r="X393" s="23">
        <v>9094.4</v>
      </c>
    </row>
    <row r="394" spans="1:24" x14ac:dyDescent="0.2">
      <c r="A394" s="2">
        <v>1704032</v>
      </c>
      <c r="B394" s="6">
        <v>42847.666952199077</v>
      </c>
      <c r="C394" s="6">
        <v>42908.413325694448</v>
      </c>
      <c r="D394" s="6">
        <v>42906</v>
      </c>
      <c r="E394" s="6">
        <v>42914.421777083335</v>
      </c>
      <c r="F394" s="2" t="s">
        <v>26</v>
      </c>
      <c r="G394" s="2" t="s">
        <v>26</v>
      </c>
      <c r="H394" s="2" t="s">
        <v>26</v>
      </c>
      <c r="I394" s="2" t="s">
        <v>26</v>
      </c>
      <c r="J394" s="2" t="s">
        <v>26</v>
      </c>
      <c r="K394" s="2" t="s">
        <v>8</v>
      </c>
      <c r="L394" s="2" t="s">
        <v>981</v>
      </c>
      <c r="M394" s="2" t="s">
        <v>45</v>
      </c>
      <c r="N394" s="2" t="s">
        <v>1082</v>
      </c>
      <c r="O394" s="2" t="s">
        <v>128</v>
      </c>
      <c r="P394" s="5">
        <v>931732833</v>
      </c>
      <c r="Q394" s="5">
        <v>830235820</v>
      </c>
      <c r="R394" s="2" t="s">
        <v>1083</v>
      </c>
      <c r="S394" s="2" t="s">
        <v>49</v>
      </c>
      <c r="T394" s="2" t="s">
        <v>205</v>
      </c>
      <c r="U394" s="2">
        <v>2013</v>
      </c>
      <c r="V394" s="6">
        <v>43133</v>
      </c>
      <c r="W394" s="3" t="s">
        <v>44</v>
      </c>
      <c r="X394" s="23">
        <v>25000</v>
      </c>
    </row>
    <row r="395" spans="1:24" x14ac:dyDescent="0.2">
      <c r="A395" s="2">
        <v>1704033</v>
      </c>
      <c r="B395" s="6">
        <v>42849.686865856478</v>
      </c>
      <c r="C395" s="6">
        <v>42849.692279166666</v>
      </c>
      <c r="D395" s="6">
        <v>42861</v>
      </c>
      <c r="E395" s="6">
        <v>42866.383608564814</v>
      </c>
      <c r="F395" s="2" t="s">
        <v>26</v>
      </c>
      <c r="G395" s="2" t="s">
        <v>26</v>
      </c>
      <c r="H395" s="2" t="s">
        <v>26</v>
      </c>
      <c r="I395" s="2" t="s">
        <v>26</v>
      </c>
      <c r="J395" s="2" t="s">
        <v>26</v>
      </c>
      <c r="K395" s="2" t="s">
        <v>8</v>
      </c>
      <c r="L395" s="2" t="s">
        <v>981</v>
      </c>
      <c r="M395" s="2" t="s">
        <v>28</v>
      </c>
      <c r="N395" s="2" t="s">
        <v>1084</v>
      </c>
      <c r="O395" s="2" t="s">
        <v>114</v>
      </c>
      <c r="P395" s="5">
        <v>802979699</v>
      </c>
      <c r="Q395" s="5">
        <v>27076402</v>
      </c>
      <c r="R395" s="2" t="s">
        <v>1085</v>
      </c>
      <c r="S395" s="2" t="s">
        <v>31</v>
      </c>
      <c r="T395" s="2" t="s">
        <v>116</v>
      </c>
      <c r="U395" s="2">
        <v>2013</v>
      </c>
      <c r="V395" s="6">
        <v>42825</v>
      </c>
      <c r="W395" s="3" t="s">
        <v>1086</v>
      </c>
    </row>
    <row r="396" spans="1:24" x14ac:dyDescent="0.2">
      <c r="A396" s="2">
        <v>1704034</v>
      </c>
      <c r="B396" s="6">
        <v>42851.479487037039</v>
      </c>
      <c r="F396" s="2" t="s">
        <v>126</v>
      </c>
      <c r="G396" s="2" t="s">
        <v>126</v>
      </c>
      <c r="H396" s="2" t="s">
        <v>126</v>
      </c>
      <c r="I396" s="2" t="s">
        <v>126</v>
      </c>
      <c r="J396" s="2" t="s">
        <v>126</v>
      </c>
      <c r="K396" s="2" t="s">
        <v>8</v>
      </c>
      <c r="L396" s="2" t="s">
        <v>981</v>
      </c>
      <c r="M396" s="2" t="s">
        <v>28</v>
      </c>
      <c r="N396" s="2" t="s">
        <v>1087</v>
      </c>
      <c r="O396" s="2" t="s">
        <v>349</v>
      </c>
      <c r="P396" s="5">
        <v>987099355</v>
      </c>
      <c r="Q396" s="5">
        <v>931231373</v>
      </c>
      <c r="R396" s="2" t="s">
        <v>1088</v>
      </c>
      <c r="S396" s="2" t="s">
        <v>49</v>
      </c>
      <c r="T396" s="2" t="s">
        <v>79</v>
      </c>
      <c r="U396" s="2">
        <v>2014</v>
      </c>
      <c r="V396" s="6">
        <v>42874</v>
      </c>
      <c r="W396" s="3" t="s">
        <v>44</v>
      </c>
      <c r="X396" s="23">
        <v>0</v>
      </c>
    </row>
    <row r="397" spans="1:24" x14ac:dyDescent="0.2">
      <c r="A397" s="2">
        <v>1704035</v>
      </c>
      <c r="B397" s="6">
        <v>42852.722195717593</v>
      </c>
      <c r="E397" s="6">
        <v>42945</v>
      </c>
      <c r="F397" s="2" t="s">
        <v>26</v>
      </c>
      <c r="G397" s="2" t="s">
        <v>26</v>
      </c>
      <c r="H397" s="2" t="s">
        <v>26</v>
      </c>
      <c r="I397" s="2" t="s">
        <v>26</v>
      </c>
      <c r="J397" s="2" t="s">
        <v>26</v>
      </c>
      <c r="K397" s="2" t="s">
        <v>8</v>
      </c>
      <c r="L397" s="2" t="s">
        <v>27</v>
      </c>
      <c r="M397" s="2" t="s">
        <v>66</v>
      </c>
      <c r="N397" s="2" t="s">
        <v>1089</v>
      </c>
      <c r="O397" s="2" t="s">
        <v>855</v>
      </c>
      <c r="P397" s="5">
        <v>841299978</v>
      </c>
      <c r="R397" s="2" t="s">
        <v>1090</v>
      </c>
      <c r="S397" s="2" t="s">
        <v>31</v>
      </c>
      <c r="T397" s="2" t="s">
        <v>834</v>
      </c>
      <c r="U397" s="2">
        <v>2009</v>
      </c>
      <c r="V397" s="6">
        <v>42906</v>
      </c>
      <c r="W397" s="3" t="s">
        <v>117</v>
      </c>
      <c r="X397" s="23">
        <v>5349</v>
      </c>
    </row>
    <row r="398" spans="1:24" x14ac:dyDescent="0.2">
      <c r="A398" s="2">
        <v>1704036</v>
      </c>
      <c r="B398" s="6">
        <v>42853.495726273148</v>
      </c>
      <c r="C398" s="6">
        <v>42896.478419212966</v>
      </c>
      <c r="D398" s="6">
        <v>42906</v>
      </c>
      <c r="E398" s="6">
        <v>42906.661349884256</v>
      </c>
      <c r="F398" s="2" t="s">
        <v>26</v>
      </c>
      <c r="G398" s="2" t="s">
        <v>26</v>
      </c>
      <c r="H398" s="2" t="s">
        <v>26</v>
      </c>
      <c r="I398" s="2" t="s">
        <v>26</v>
      </c>
      <c r="J398" s="2" t="s">
        <v>26</v>
      </c>
      <c r="K398" s="2" t="s">
        <v>8</v>
      </c>
      <c r="L398" s="2" t="s">
        <v>27</v>
      </c>
      <c r="M398" s="2" t="s">
        <v>66</v>
      </c>
      <c r="N398" s="2" t="s">
        <v>1091</v>
      </c>
      <c r="O398" s="2" t="s">
        <v>47</v>
      </c>
      <c r="P398" s="5">
        <v>984404726</v>
      </c>
      <c r="Q398" s="5">
        <v>823405191</v>
      </c>
      <c r="R398" s="2" t="s">
        <v>1092</v>
      </c>
      <c r="S398" s="2" t="s">
        <v>37</v>
      </c>
      <c r="T398" s="2" t="s">
        <v>1093</v>
      </c>
      <c r="U398" s="2">
        <v>2003</v>
      </c>
      <c r="V398" s="6">
        <v>42684</v>
      </c>
      <c r="W398" s="3" t="s">
        <v>1094</v>
      </c>
      <c r="X398" s="23">
        <v>1775.71</v>
      </c>
    </row>
    <row r="399" spans="1:24" x14ac:dyDescent="0.2">
      <c r="A399" s="2">
        <v>1704037</v>
      </c>
      <c r="B399" s="6">
        <v>42853.547493634258</v>
      </c>
      <c r="C399" s="6">
        <v>42857</v>
      </c>
      <c r="D399" s="6">
        <v>0</v>
      </c>
      <c r="E399" s="6">
        <v>42905.374669444442</v>
      </c>
      <c r="F399" s="2" t="s">
        <v>26</v>
      </c>
      <c r="G399" s="2" t="s">
        <v>26</v>
      </c>
      <c r="H399" s="2" t="s">
        <v>26</v>
      </c>
      <c r="I399" s="2" t="s">
        <v>26</v>
      </c>
      <c r="J399" s="2" t="s">
        <v>26</v>
      </c>
      <c r="K399" s="2" t="s">
        <v>8</v>
      </c>
      <c r="L399" s="2" t="s">
        <v>27</v>
      </c>
      <c r="M399" s="2" t="s">
        <v>81</v>
      </c>
      <c r="N399" s="2" t="s">
        <v>1095</v>
      </c>
      <c r="O399" s="2" t="s">
        <v>114</v>
      </c>
      <c r="P399" s="5">
        <v>800483429</v>
      </c>
      <c r="R399" s="2" t="s">
        <v>1096</v>
      </c>
      <c r="S399" s="2" t="s">
        <v>31</v>
      </c>
      <c r="T399" s="2" t="s">
        <v>283</v>
      </c>
      <c r="U399" s="2">
        <v>2011</v>
      </c>
      <c r="V399" s="6">
        <v>42959</v>
      </c>
      <c r="W399" s="3" t="s">
        <v>517</v>
      </c>
    </row>
    <row r="400" spans="1:24" x14ac:dyDescent="0.2">
      <c r="A400" s="2">
        <v>1704038</v>
      </c>
      <c r="B400" s="6">
        <v>42854.645439004627</v>
      </c>
      <c r="C400" s="6">
        <v>42877.700300578705</v>
      </c>
      <c r="D400" s="6">
        <v>42885</v>
      </c>
      <c r="E400" s="6">
        <v>42886.726276620371</v>
      </c>
      <c r="F400" s="2" t="s">
        <v>26</v>
      </c>
      <c r="G400" s="2" t="s">
        <v>26</v>
      </c>
      <c r="H400" s="2" t="s">
        <v>26</v>
      </c>
      <c r="I400" s="2" t="s">
        <v>26</v>
      </c>
      <c r="J400" s="2" t="s">
        <v>26</v>
      </c>
      <c r="K400" s="2" t="s">
        <v>8</v>
      </c>
      <c r="L400" s="2" t="s">
        <v>27</v>
      </c>
      <c r="M400" s="2" t="s">
        <v>295</v>
      </c>
      <c r="N400" s="2" t="s">
        <v>1097</v>
      </c>
      <c r="O400" s="2" t="s">
        <v>41</v>
      </c>
      <c r="P400" s="5">
        <v>989959394</v>
      </c>
      <c r="R400" s="2" t="s">
        <v>1098</v>
      </c>
      <c r="S400" s="2" t="s">
        <v>133</v>
      </c>
      <c r="T400" s="2" t="s">
        <v>1099</v>
      </c>
      <c r="U400" s="2">
        <v>2011</v>
      </c>
      <c r="V400" s="6">
        <v>42880</v>
      </c>
      <c r="W400" s="3" t="s">
        <v>528</v>
      </c>
    </row>
    <row r="401" spans="1:24" x14ac:dyDescent="0.2">
      <c r="A401" s="2">
        <v>1704039</v>
      </c>
      <c r="B401" s="6">
        <v>42854.65364895833</v>
      </c>
      <c r="F401" s="2" t="s">
        <v>126</v>
      </c>
      <c r="G401" s="2" t="s">
        <v>126</v>
      </c>
      <c r="H401" s="2" t="s">
        <v>126</v>
      </c>
      <c r="I401" s="2" t="s">
        <v>126</v>
      </c>
      <c r="J401" s="2" t="s">
        <v>126</v>
      </c>
      <c r="K401" s="2" t="s">
        <v>8</v>
      </c>
      <c r="L401" s="2" t="s">
        <v>27</v>
      </c>
      <c r="M401" s="2" t="s">
        <v>139</v>
      </c>
      <c r="N401" s="2" t="s">
        <v>1100</v>
      </c>
      <c r="P401" s="5">
        <v>812661293</v>
      </c>
      <c r="R401" s="2" t="s">
        <v>141</v>
      </c>
      <c r="S401" s="2" t="s">
        <v>55</v>
      </c>
      <c r="T401" s="2" t="s">
        <v>142</v>
      </c>
      <c r="U401" s="2">
        <v>2008</v>
      </c>
      <c r="V401" s="6" t="s">
        <v>72</v>
      </c>
      <c r="X401" s="23">
        <v>2950</v>
      </c>
    </row>
    <row r="402" spans="1:24" x14ac:dyDescent="0.2">
      <c r="A402" s="2">
        <v>1704040</v>
      </c>
      <c r="B402" s="6">
        <v>42854.656268749997</v>
      </c>
      <c r="C402" s="6">
        <v>42905.555956597222</v>
      </c>
      <c r="D402" s="6">
        <v>42910</v>
      </c>
      <c r="E402" s="6">
        <v>42908.590215509263</v>
      </c>
      <c r="F402" s="2" t="s">
        <v>26</v>
      </c>
      <c r="G402" s="2" t="s">
        <v>26</v>
      </c>
      <c r="H402" s="2" t="s">
        <v>26</v>
      </c>
      <c r="I402" s="2" t="s">
        <v>26</v>
      </c>
      <c r="J402" s="2" t="s">
        <v>26</v>
      </c>
      <c r="K402" s="2" t="s">
        <v>8</v>
      </c>
      <c r="L402" s="2" t="s">
        <v>981</v>
      </c>
      <c r="M402" s="2" t="s">
        <v>295</v>
      </c>
      <c r="N402" s="2" t="s">
        <v>1101</v>
      </c>
      <c r="P402" s="5">
        <v>815746352</v>
      </c>
      <c r="R402" s="2" t="s">
        <v>1102</v>
      </c>
      <c r="S402" s="2" t="s">
        <v>37</v>
      </c>
      <c r="U402" s="2">
        <v>2014</v>
      </c>
      <c r="V402" s="6" t="s">
        <v>72</v>
      </c>
      <c r="X402" s="23">
        <v>4100</v>
      </c>
    </row>
    <row r="403" spans="1:24" x14ac:dyDescent="0.2">
      <c r="A403" s="2">
        <v>1704041</v>
      </c>
      <c r="B403" s="6">
        <v>42854.682713888891</v>
      </c>
      <c r="C403" s="6">
        <v>42875.602344791667</v>
      </c>
      <c r="D403" s="6">
        <v>42887</v>
      </c>
      <c r="E403" s="6">
        <v>42896.747219791665</v>
      </c>
      <c r="F403" s="2" t="s">
        <v>26</v>
      </c>
      <c r="G403" s="2" t="s">
        <v>26</v>
      </c>
      <c r="H403" s="2" t="s">
        <v>26</v>
      </c>
      <c r="I403" s="2" t="s">
        <v>26</v>
      </c>
      <c r="J403" s="2" t="s">
        <v>26</v>
      </c>
      <c r="K403" s="2" t="s">
        <v>8</v>
      </c>
      <c r="L403" s="2" t="s">
        <v>27</v>
      </c>
      <c r="M403" s="2" t="s">
        <v>28</v>
      </c>
      <c r="N403" s="2" t="s">
        <v>1103</v>
      </c>
      <c r="O403" s="2" t="s">
        <v>114</v>
      </c>
      <c r="P403" s="5">
        <v>615792609</v>
      </c>
      <c r="R403" s="2" t="s">
        <v>1104</v>
      </c>
      <c r="S403" s="2" t="s">
        <v>37</v>
      </c>
      <c r="T403" s="2" t="s">
        <v>102</v>
      </c>
      <c r="U403" s="2">
        <v>2012</v>
      </c>
      <c r="V403" s="6">
        <v>42803</v>
      </c>
      <c r="W403" s="3" t="s">
        <v>155</v>
      </c>
      <c r="X403" s="23">
        <v>0</v>
      </c>
    </row>
    <row r="404" spans="1:24" x14ac:dyDescent="0.2">
      <c r="A404" s="2">
        <v>1705001</v>
      </c>
      <c r="B404" s="6">
        <v>42857</v>
      </c>
      <c r="C404" s="6">
        <v>42857</v>
      </c>
      <c r="D404" s="6">
        <v>42868</v>
      </c>
      <c r="E404" s="6">
        <v>42868.622553819441</v>
      </c>
      <c r="F404" s="2" t="s">
        <v>26</v>
      </c>
      <c r="G404" s="2" t="s">
        <v>26</v>
      </c>
      <c r="H404" s="2" t="s">
        <v>26</v>
      </c>
      <c r="I404" s="2" t="s">
        <v>26</v>
      </c>
      <c r="J404" s="2" t="s">
        <v>26</v>
      </c>
      <c r="K404" s="2" t="s">
        <v>8</v>
      </c>
      <c r="L404" s="2" t="s">
        <v>27</v>
      </c>
      <c r="R404" s="2" t="s">
        <v>1105</v>
      </c>
      <c r="S404" s="2" t="s">
        <v>55</v>
      </c>
      <c r="T404" s="2" t="s">
        <v>76</v>
      </c>
      <c r="U404" s="2">
        <v>2010</v>
      </c>
      <c r="V404" s="6">
        <v>43007</v>
      </c>
      <c r="W404" s="3" t="s">
        <v>57</v>
      </c>
      <c r="X404" s="23">
        <v>14808.2</v>
      </c>
    </row>
    <row r="405" spans="1:24" x14ac:dyDescent="0.2">
      <c r="A405" s="2">
        <v>1705002</v>
      </c>
      <c r="B405" s="6">
        <v>42857</v>
      </c>
      <c r="C405" s="6">
        <v>42857</v>
      </c>
      <c r="D405" s="6">
        <v>42865</v>
      </c>
      <c r="E405" s="6">
        <v>42871.604718055554</v>
      </c>
      <c r="F405" s="2" t="s">
        <v>26</v>
      </c>
      <c r="G405" s="2" t="s">
        <v>26</v>
      </c>
      <c r="H405" s="2" t="s">
        <v>26</v>
      </c>
      <c r="I405" s="2" t="s">
        <v>26</v>
      </c>
      <c r="J405" s="2" t="s">
        <v>26</v>
      </c>
      <c r="K405" s="2" t="s">
        <v>8</v>
      </c>
      <c r="L405" s="2" t="s">
        <v>27</v>
      </c>
      <c r="M405" s="2" t="s">
        <v>88</v>
      </c>
      <c r="R405" s="2" t="s">
        <v>1106</v>
      </c>
      <c r="S405" s="2" t="s">
        <v>70</v>
      </c>
      <c r="T405" s="2" t="s">
        <v>880</v>
      </c>
      <c r="U405" s="2">
        <v>2012</v>
      </c>
      <c r="V405" s="6">
        <v>43064</v>
      </c>
      <c r="W405" s="3" t="s">
        <v>44</v>
      </c>
    </row>
    <row r="406" spans="1:24" x14ac:dyDescent="0.2">
      <c r="A406" s="2">
        <v>1705003</v>
      </c>
      <c r="B406" s="6">
        <v>42857</v>
      </c>
      <c r="C406" s="6">
        <v>42857</v>
      </c>
      <c r="D406" s="6">
        <v>42882</v>
      </c>
      <c r="E406" s="6">
        <v>42893.720229513892</v>
      </c>
      <c r="F406" s="2" t="s">
        <v>26</v>
      </c>
      <c r="G406" s="2" t="s">
        <v>26</v>
      </c>
      <c r="H406" s="2" t="s">
        <v>26</v>
      </c>
      <c r="I406" s="2" t="s">
        <v>26</v>
      </c>
      <c r="J406" s="2" t="s">
        <v>26</v>
      </c>
      <c r="K406" s="2" t="s">
        <v>8</v>
      </c>
      <c r="L406" s="2" t="s">
        <v>73</v>
      </c>
      <c r="R406" s="2" t="s">
        <v>1107</v>
      </c>
      <c r="S406" s="2" t="s">
        <v>70</v>
      </c>
      <c r="T406" s="2" t="s">
        <v>71</v>
      </c>
      <c r="U406" s="2">
        <v>2012</v>
      </c>
      <c r="V406" s="6">
        <v>42501</v>
      </c>
      <c r="W406" s="3" t="s">
        <v>1108</v>
      </c>
      <c r="X406" s="23">
        <v>2824.8</v>
      </c>
    </row>
    <row r="407" spans="1:24" x14ac:dyDescent="0.2">
      <c r="A407" s="2">
        <v>1705004</v>
      </c>
      <c r="B407" s="6">
        <v>42857</v>
      </c>
      <c r="C407" s="6">
        <v>42934.705209375003</v>
      </c>
      <c r="D407" s="6">
        <v>42941</v>
      </c>
      <c r="E407" s="6">
        <v>42945</v>
      </c>
      <c r="F407" s="2" t="s">
        <v>26</v>
      </c>
      <c r="G407" s="2" t="s">
        <v>26</v>
      </c>
      <c r="H407" s="2" t="s">
        <v>26</v>
      </c>
      <c r="I407" s="2" t="s">
        <v>26</v>
      </c>
      <c r="J407" s="2" t="s">
        <v>26</v>
      </c>
      <c r="K407" s="2" t="s">
        <v>8</v>
      </c>
      <c r="L407" s="2" t="s">
        <v>27</v>
      </c>
      <c r="M407" s="2" t="s">
        <v>295</v>
      </c>
      <c r="R407" s="2" t="s">
        <v>1110</v>
      </c>
      <c r="S407" s="2" t="s">
        <v>49</v>
      </c>
      <c r="T407" s="2" t="s">
        <v>79</v>
      </c>
      <c r="U407" s="2">
        <v>2013</v>
      </c>
      <c r="V407" s="6">
        <v>43088</v>
      </c>
      <c r="W407" s="3" t="s">
        <v>57</v>
      </c>
      <c r="X407" s="23">
        <v>17760.75</v>
      </c>
    </row>
    <row r="408" spans="1:24" x14ac:dyDescent="0.2">
      <c r="A408" s="2">
        <v>1705005</v>
      </c>
      <c r="B408" s="6">
        <v>42857</v>
      </c>
      <c r="F408" s="2" t="s">
        <v>126</v>
      </c>
      <c r="G408" s="2" t="s">
        <v>126</v>
      </c>
      <c r="H408" s="2" t="s">
        <v>126</v>
      </c>
      <c r="I408" s="2" t="s">
        <v>126</v>
      </c>
      <c r="J408" s="2" t="s">
        <v>126</v>
      </c>
      <c r="K408" s="2" t="s">
        <v>8</v>
      </c>
      <c r="L408" s="2" t="s">
        <v>981</v>
      </c>
      <c r="R408" s="2" t="s">
        <v>745</v>
      </c>
      <c r="S408" s="2" t="s">
        <v>31</v>
      </c>
      <c r="T408" s="2" t="s">
        <v>834</v>
      </c>
      <c r="U408" s="2">
        <v>2012</v>
      </c>
      <c r="V408" s="6">
        <v>42925</v>
      </c>
      <c r="W408" s="3" t="s">
        <v>266</v>
      </c>
      <c r="X408" s="23">
        <v>0</v>
      </c>
    </row>
    <row r="409" spans="1:24" x14ac:dyDescent="0.2">
      <c r="A409" s="2">
        <v>1705006</v>
      </c>
      <c r="B409" s="6">
        <v>42857</v>
      </c>
      <c r="F409" s="2" t="s">
        <v>126</v>
      </c>
      <c r="G409" s="2" t="s">
        <v>126</v>
      </c>
      <c r="H409" s="2" t="s">
        <v>126</v>
      </c>
      <c r="I409" s="2" t="s">
        <v>126</v>
      </c>
      <c r="J409" s="2" t="s">
        <v>126</v>
      </c>
      <c r="K409" s="2" t="s">
        <v>8</v>
      </c>
      <c r="L409" s="2" t="s">
        <v>27</v>
      </c>
      <c r="R409" s="2" t="s">
        <v>1109</v>
      </c>
      <c r="S409" s="2" t="s">
        <v>70</v>
      </c>
      <c r="T409" s="2" t="s">
        <v>317</v>
      </c>
      <c r="U409" s="2">
        <v>2011</v>
      </c>
      <c r="V409" s="6" t="s">
        <v>72</v>
      </c>
    </row>
    <row r="410" spans="1:24" x14ac:dyDescent="0.2">
      <c r="A410" s="2">
        <v>1705007</v>
      </c>
      <c r="B410" s="6">
        <v>42858</v>
      </c>
      <c r="C410" s="6">
        <v>42858</v>
      </c>
      <c r="D410" s="6">
        <v>42863</v>
      </c>
      <c r="E410" s="6" t="s">
        <v>1511</v>
      </c>
      <c r="F410" s="2">
        <v>5</v>
      </c>
      <c r="G410" s="2" t="s">
        <v>11</v>
      </c>
      <c r="H410" s="2" t="s">
        <v>93</v>
      </c>
      <c r="I410" s="2" t="s">
        <v>95</v>
      </c>
      <c r="J410" s="2" t="s">
        <v>95</v>
      </c>
      <c r="K410" s="2" t="s">
        <v>269</v>
      </c>
      <c r="L410" s="2" t="s">
        <v>34</v>
      </c>
      <c r="R410" s="2" t="s">
        <v>1113</v>
      </c>
      <c r="S410" s="2" t="s">
        <v>49</v>
      </c>
      <c r="T410" s="2" t="s">
        <v>79</v>
      </c>
      <c r="X410" s="23">
        <v>7050</v>
      </c>
    </row>
    <row r="411" spans="1:24" x14ac:dyDescent="0.2">
      <c r="A411" s="2">
        <v>1705008</v>
      </c>
      <c r="B411" s="6">
        <v>42858</v>
      </c>
      <c r="C411" s="6">
        <v>42855</v>
      </c>
      <c r="D411" s="6">
        <v>0</v>
      </c>
      <c r="E411" s="6" t="s">
        <v>1511</v>
      </c>
      <c r="F411" s="2">
        <v>-42855</v>
      </c>
      <c r="G411" s="2" t="s">
        <v>11</v>
      </c>
      <c r="H411" s="2" t="s">
        <v>93</v>
      </c>
      <c r="I411" s="2" t="s">
        <v>94</v>
      </c>
      <c r="J411" s="2" t="s">
        <v>95</v>
      </c>
      <c r="K411" s="2" t="s">
        <v>8</v>
      </c>
      <c r="L411" s="2" t="s">
        <v>170</v>
      </c>
      <c r="R411" s="2" t="s">
        <v>1111</v>
      </c>
      <c r="S411" s="2" t="s">
        <v>55</v>
      </c>
      <c r="T411" s="2" t="s">
        <v>76</v>
      </c>
      <c r="U411" s="2">
        <v>2000</v>
      </c>
      <c r="V411" s="6">
        <v>42916</v>
      </c>
      <c r="W411" s="3" t="s">
        <v>143</v>
      </c>
    </row>
    <row r="412" spans="1:24" x14ac:dyDescent="0.2">
      <c r="A412" s="2">
        <v>1705009</v>
      </c>
      <c r="B412" s="6">
        <v>42858</v>
      </c>
      <c r="C412" s="6">
        <v>42858</v>
      </c>
      <c r="D412" s="6">
        <v>0</v>
      </c>
      <c r="E412" s="6">
        <v>42905.371207291668</v>
      </c>
      <c r="F412" s="2" t="s">
        <v>26</v>
      </c>
      <c r="G412" s="2" t="s">
        <v>26</v>
      </c>
      <c r="H412" s="2" t="s">
        <v>26</v>
      </c>
      <c r="I412" s="2" t="s">
        <v>26</v>
      </c>
      <c r="J412" s="2" t="s">
        <v>26</v>
      </c>
      <c r="K412" s="2" t="s">
        <v>8</v>
      </c>
      <c r="L412" s="2" t="s">
        <v>51</v>
      </c>
      <c r="R412" s="2" t="s">
        <v>1112</v>
      </c>
      <c r="S412" s="2" t="s">
        <v>70</v>
      </c>
      <c r="T412" s="2" t="s">
        <v>290</v>
      </c>
      <c r="U412" s="2">
        <v>2015</v>
      </c>
      <c r="V412" s="6" t="s">
        <v>72</v>
      </c>
      <c r="X412" s="23">
        <v>15433.2</v>
      </c>
    </row>
    <row r="413" spans="1:24" x14ac:dyDescent="0.2">
      <c r="A413" s="2">
        <v>1705010</v>
      </c>
      <c r="B413" s="6">
        <v>42858</v>
      </c>
      <c r="C413" s="6">
        <v>42856</v>
      </c>
      <c r="D413" s="6">
        <v>0</v>
      </c>
      <c r="E413" s="6" t="s">
        <v>1511</v>
      </c>
      <c r="F413" s="2" t="s">
        <v>26</v>
      </c>
      <c r="G413" s="2" t="s">
        <v>26</v>
      </c>
      <c r="H413" s="2" t="s">
        <v>26</v>
      </c>
      <c r="I413" s="2" t="s">
        <v>26</v>
      </c>
      <c r="J413" s="2" t="s">
        <v>26</v>
      </c>
      <c r="K413" s="2" t="s">
        <v>8</v>
      </c>
      <c r="L413" s="2" t="s">
        <v>170</v>
      </c>
      <c r="M413" s="2" t="s">
        <v>28</v>
      </c>
      <c r="R413" s="2" t="s">
        <v>1115</v>
      </c>
      <c r="S413" s="2" t="s">
        <v>49</v>
      </c>
      <c r="T413" s="2" t="s">
        <v>50</v>
      </c>
      <c r="U413" s="2">
        <v>2006</v>
      </c>
      <c r="V413" s="6" t="s">
        <v>72</v>
      </c>
      <c r="X413" s="23">
        <v>11900</v>
      </c>
    </row>
    <row r="414" spans="1:24" x14ac:dyDescent="0.2">
      <c r="A414" s="2">
        <v>1705011</v>
      </c>
      <c r="B414" s="6">
        <v>42858</v>
      </c>
      <c r="C414" s="6">
        <v>42867.46511041667</v>
      </c>
      <c r="D414" s="6">
        <v>42878</v>
      </c>
      <c r="E414" s="6">
        <v>42885.672124305558</v>
      </c>
      <c r="F414" s="2" t="s">
        <v>26</v>
      </c>
      <c r="G414" s="2" t="s">
        <v>26</v>
      </c>
      <c r="H414" s="2" t="s">
        <v>26</v>
      </c>
      <c r="I414" s="2" t="s">
        <v>26</v>
      </c>
      <c r="J414" s="2" t="s">
        <v>26</v>
      </c>
      <c r="K414" s="2" t="s">
        <v>8</v>
      </c>
      <c r="L414" s="2" t="s">
        <v>27</v>
      </c>
      <c r="R414" s="2" t="s">
        <v>1116</v>
      </c>
      <c r="S414" s="2" t="s">
        <v>49</v>
      </c>
      <c r="T414" s="2" t="s">
        <v>50</v>
      </c>
      <c r="U414" s="2">
        <v>2010</v>
      </c>
      <c r="V414" s="6">
        <v>43121</v>
      </c>
      <c r="W414" s="3" t="s">
        <v>232</v>
      </c>
      <c r="X414" s="23">
        <v>0</v>
      </c>
    </row>
    <row r="415" spans="1:24" x14ac:dyDescent="0.2">
      <c r="A415" s="2">
        <v>1705012</v>
      </c>
      <c r="B415" s="6">
        <v>42858</v>
      </c>
      <c r="C415" s="6">
        <v>42858</v>
      </c>
      <c r="D415" s="6">
        <v>42856</v>
      </c>
      <c r="E415" s="6">
        <v>42868.418221527776</v>
      </c>
      <c r="F415" s="2" t="s">
        <v>26</v>
      </c>
      <c r="G415" s="2" t="s">
        <v>26</v>
      </c>
      <c r="H415" s="2" t="s">
        <v>26</v>
      </c>
      <c r="I415" s="2" t="s">
        <v>26</v>
      </c>
      <c r="J415" s="2" t="s">
        <v>26</v>
      </c>
      <c r="K415" s="2" t="s">
        <v>8</v>
      </c>
      <c r="L415" s="2" t="s">
        <v>27</v>
      </c>
      <c r="R415" s="2" t="s">
        <v>816</v>
      </c>
      <c r="S415" s="2" t="s">
        <v>49</v>
      </c>
      <c r="T415" s="2" t="s">
        <v>130</v>
      </c>
      <c r="U415" s="2">
        <v>2005</v>
      </c>
      <c r="V415" s="6">
        <v>43098</v>
      </c>
      <c r="W415" s="3" t="s">
        <v>310</v>
      </c>
    </row>
    <row r="416" spans="1:24" x14ac:dyDescent="0.2">
      <c r="A416" s="2">
        <v>1705013</v>
      </c>
      <c r="B416" s="6">
        <v>42858</v>
      </c>
      <c r="F416" s="2" t="s">
        <v>126</v>
      </c>
      <c r="G416" s="2" t="s">
        <v>126</v>
      </c>
      <c r="H416" s="2" t="s">
        <v>126</v>
      </c>
      <c r="I416" s="2" t="s">
        <v>126</v>
      </c>
      <c r="J416" s="2" t="s">
        <v>126</v>
      </c>
      <c r="K416" s="2" t="s">
        <v>8</v>
      </c>
      <c r="L416" s="2" t="s">
        <v>981</v>
      </c>
      <c r="R416" s="2" t="s">
        <v>1114</v>
      </c>
      <c r="S416" s="2" t="s">
        <v>70</v>
      </c>
      <c r="T416" s="2" t="s">
        <v>193</v>
      </c>
      <c r="U416" s="2">
        <v>2012</v>
      </c>
      <c r="V416" s="6">
        <v>43092</v>
      </c>
      <c r="W416" s="3" t="s">
        <v>44</v>
      </c>
      <c r="X416" s="23">
        <v>2430</v>
      </c>
    </row>
    <row r="417" spans="1:24" x14ac:dyDescent="0.2">
      <c r="A417" s="2">
        <v>1705014</v>
      </c>
      <c r="B417" s="6">
        <v>42859</v>
      </c>
      <c r="C417" s="6">
        <v>42903.59440671296</v>
      </c>
      <c r="D417" s="6">
        <v>42910</v>
      </c>
      <c r="E417" s="6">
        <v>42913.671649421296</v>
      </c>
      <c r="F417" s="2" t="s">
        <v>26</v>
      </c>
      <c r="G417" s="2" t="s">
        <v>26</v>
      </c>
      <c r="H417" s="2" t="s">
        <v>26</v>
      </c>
      <c r="I417" s="2" t="s">
        <v>26</v>
      </c>
      <c r="J417" s="2" t="s">
        <v>26</v>
      </c>
      <c r="K417" s="2" t="s">
        <v>8</v>
      </c>
      <c r="L417" s="2" t="s">
        <v>981</v>
      </c>
      <c r="R417" s="2" t="s">
        <v>1117</v>
      </c>
      <c r="S417" s="2" t="s">
        <v>49</v>
      </c>
      <c r="T417" s="2" t="s">
        <v>111</v>
      </c>
      <c r="U417" s="2">
        <v>2009</v>
      </c>
      <c r="V417" s="6">
        <v>43095</v>
      </c>
      <c r="W417" s="3" t="s">
        <v>226</v>
      </c>
    </row>
    <row r="418" spans="1:24" x14ac:dyDescent="0.2">
      <c r="A418" s="2">
        <v>1705015</v>
      </c>
      <c r="B418" s="6">
        <v>42860.474879513888</v>
      </c>
      <c r="C418" s="6">
        <v>42875.603623495372</v>
      </c>
      <c r="D418" s="6">
        <v>42885</v>
      </c>
      <c r="E418" s="6">
        <v>42892.720161689816</v>
      </c>
      <c r="F418" s="2" t="s">
        <v>26</v>
      </c>
      <c r="G418" s="2" t="s">
        <v>26</v>
      </c>
      <c r="H418" s="2" t="s">
        <v>26</v>
      </c>
      <c r="I418" s="2" t="s">
        <v>26</v>
      </c>
      <c r="J418" s="2" t="s">
        <v>26</v>
      </c>
      <c r="K418" s="2" t="s">
        <v>8</v>
      </c>
      <c r="L418" s="2" t="s">
        <v>34</v>
      </c>
      <c r="M418" s="2" t="s">
        <v>45</v>
      </c>
      <c r="N418" s="2" t="s">
        <v>1118</v>
      </c>
      <c r="P418" s="5">
        <v>817120628</v>
      </c>
      <c r="R418" s="2" t="s">
        <v>1119</v>
      </c>
      <c r="S418" s="2" t="s">
        <v>49</v>
      </c>
      <c r="T418" s="2" t="s">
        <v>670</v>
      </c>
      <c r="U418" s="2">
        <v>2012</v>
      </c>
      <c r="V418" s="6" t="s">
        <v>72</v>
      </c>
      <c r="X418" s="23">
        <v>0</v>
      </c>
    </row>
    <row r="419" spans="1:24" x14ac:dyDescent="0.2">
      <c r="A419" s="2">
        <v>1705016</v>
      </c>
      <c r="B419" s="6">
        <v>42860.7128212963</v>
      </c>
      <c r="C419" s="6">
        <v>42860.714010300922</v>
      </c>
      <c r="D419" s="6">
        <v>42868</v>
      </c>
      <c r="E419" s="6">
        <v>42871.714488773148</v>
      </c>
      <c r="F419" s="2" t="s">
        <v>26</v>
      </c>
      <c r="G419" s="2" t="s">
        <v>26</v>
      </c>
      <c r="H419" s="2" t="s">
        <v>26</v>
      </c>
      <c r="I419" s="2" t="s">
        <v>26</v>
      </c>
      <c r="J419" s="2" t="s">
        <v>26</v>
      </c>
      <c r="K419" s="2" t="s">
        <v>269</v>
      </c>
      <c r="L419" s="2" t="s">
        <v>27</v>
      </c>
      <c r="M419" s="2" t="s">
        <v>126</v>
      </c>
      <c r="N419" s="2" t="s">
        <v>1120</v>
      </c>
      <c r="P419" s="5">
        <v>884913861</v>
      </c>
      <c r="R419" s="2" t="s">
        <v>1121</v>
      </c>
      <c r="S419" s="2" t="s">
        <v>31</v>
      </c>
      <c r="T419" s="2" t="s">
        <v>283</v>
      </c>
      <c r="V419" s="6" t="s">
        <v>72</v>
      </c>
      <c r="X419" s="23">
        <v>0</v>
      </c>
    </row>
    <row r="420" spans="1:24" x14ac:dyDescent="0.2">
      <c r="A420" s="2">
        <v>1705017</v>
      </c>
      <c r="B420" s="6">
        <v>42861.55836678241</v>
      </c>
      <c r="C420" s="6">
        <v>42933.490761458335</v>
      </c>
      <c r="D420" s="6">
        <v>42936</v>
      </c>
      <c r="E420" s="6">
        <v>42948</v>
      </c>
      <c r="F420" s="2" t="s">
        <v>26</v>
      </c>
      <c r="G420" s="2" t="s">
        <v>26</v>
      </c>
      <c r="H420" s="2" t="s">
        <v>26</v>
      </c>
      <c r="I420" s="2" t="s">
        <v>26</v>
      </c>
      <c r="J420" s="2" t="s">
        <v>26</v>
      </c>
      <c r="K420" s="2" t="s">
        <v>8</v>
      </c>
      <c r="L420" s="2" t="s">
        <v>981</v>
      </c>
      <c r="M420" s="2" t="s">
        <v>416</v>
      </c>
      <c r="N420" s="2" t="s">
        <v>1122</v>
      </c>
      <c r="O420" s="2" t="s">
        <v>128</v>
      </c>
      <c r="P420" s="5">
        <v>877153255</v>
      </c>
      <c r="R420" s="2" t="s">
        <v>1123</v>
      </c>
      <c r="S420" s="2" t="s">
        <v>70</v>
      </c>
      <c r="T420" s="2" t="s">
        <v>1124</v>
      </c>
      <c r="U420" s="2">
        <v>1995</v>
      </c>
      <c r="V420" s="6" t="s">
        <v>72</v>
      </c>
      <c r="X420" s="23">
        <v>0</v>
      </c>
    </row>
    <row r="421" spans="1:24" x14ac:dyDescent="0.2">
      <c r="A421" s="2">
        <v>1705018</v>
      </c>
      <c r="B421" s="6">
        <v>42861.560330208333</v>
      </c>
      <c r="C421" s="6">
        <v>42905.606249305558</v>
      </c>
      <c r="D421" s="6">
        <v>42910</v>
      </c>
      <c r="E421" s="6">
        <v>42910.411891550924</v>
      </c>
      <c r="F421" s="2" t="s">
        <v>26</v>
      </c>
      <c r="G421" s="2" t="s">
        <v>26</v>
      </c>
      <c r="H421" s="2" t="s">
        <v>26</v>
      </c>
      <c r="I421" s="2" t="s">
        <v>26</v>
      </c>
      <c r="J421" s="2" t="s">
        <v>26</v>
      </c>
      <c r="K421" s="2" t="s">
        <v>8</v>
      </c>
      <c r="L421" s="2" t="s">
        <v>981</v>
      </c>
      <c r="M421" s="2" t="s">
        <v>28</v>
      </c>
      <c r="N421" s="2" t="s">
        <v>1125</v>
      </c>
      <c r="O421" s="2" t="s">
        <v>128</v>
      </c>
      <c r="P421" s="5">
        <v>997588600</v>
      </c>
      <c r="R421" s="2" t="s">
        <v>1126</v>
      </c>
      <c r="S421" s="2" t="s">
        <v>55</v>
      </c>
      <c r="T421" s="2" t="s">
        <v>142</v>
      </c>
      <c r="U421" s="2">
        <v>2004</v>
      </c>
      <c r="V421" s="6">
        <v>43099</v>
      </c>
      <c r="W421" s="3" t="s">
        <v>219</v>
      </c>
      <c r="X421" s="23">
        <v>6000</v>
      </c>
    </row>
    <row r="422" spans="1:24" x14ac:dyDescent="0.2">
      <c r="A422" s="2">
        <v>1705019</v>
      </c>
      <c r="B422" s="6">
        <v>42861.703780671298</v>
      </c>
      <c r="C422" s="6">
        <v>42891.426973263886</v>
      </c>
      <c r="D422" s="6">
        <v>42891</v>
      </c>
      <c r="E422" s="6" t="s">
        <v>1511</v>
      </c>
      <c r="F422" s="2">
        <v>-0.42697326388588408</v>
      </c>
      <c r="G422" s="2" t="s">
        <v>11</v>
      </c>
      <c r="H422" s="2" t="s">
        <v>93</v>
      </c>
      <c r="I422" s="2" t="s">
        <v>95</v>
      </c>
      <c r="J422" s="2" t="s">
        <v>95</v>
      </c>
      <c r="K422" s="2" t="s">
        <v>8</v>
      </c>
      <c r="L422" s="2" t="s">
        <v>981</v>
      </c>
      <c r="M422" s="2" t="s">
        <v>45</v>
      </c>
      <c r="N422" s="2" t="s">
        <v>1127</v>
      </c>
      <c r="O422" s="2" t="s">
        <v>68</v>
      </c>
      <c r="P422" s="5">
        <v>813131544</v>
      </c>
      <c r="R422" s="2" t="s">
        <v>1128</v>
      </c>
      <c r="S422" s="2" t="s">
        <v>183</v>
      </c>
      <c r="T422" s="2" t="s">
        <v>373</v>
      </c>
      <c r="U422" s="2">
        <v>2014</v>
      </c>
      <c r="V422" s="6" t="s">
        <v>72</v>
      </c>
      <c r="X422" s="23">
        <v>2383</v>
      </c>
    </row>
    <row r="423" spans="1:24" x14ac:dyDescent="0.2">
      <c r="A423" s="2">
        <v>1705020</v>
      </c>
      <c r="B423" s="6">
        <v>42861.705629745367</v>
      </c>
      <c r="F423" s="2" t="s">
        <v>126</v>
      </c>
      <c r="G423" s="2" t="s">
        <v>126</v>
      </c>
      <c r="H423" s="2" t="s">
        <v>126</v>
      </c>
      <c r="I423" s="2" t="s">
        <v>126</v>
      </c>
      <c r="J423" s="2" t="s">
        <v>126</v>
      </c>
      <c r="K423" s="2" t="s">
        <v>8</v>
      </c>
      <c r="L423" s="2" t="s">
        <v>27</v>
      </c>
      <c r="M423" s="2" t="s">
        <v>295</v>
      </c>
      <c r="N423" s="2" t="s">
        <v>1129</v>
      </c>
      <c r="P423" s="5">
        <v>879109839</v>
      </c>
      <c r="R423" s="2" t="s">
        <v>1130</v>
      </c>
      <c r="S423" s="2" t="s">
        <v>55</v>
      </c>
      <c r="T423" s="2" t="s">
        <v>76</v>
      </c>
      <c r="U423" s="2">
        <v>2011</v>
      </c>
      <c r="V423" s="6">
        <v>43175</v>
      </c>
      <c r="W423" s="3" t="s">
        <v>457</v>
      </c>
      <c r="X423" s="23">
        <v>1747.66</v>
      </c>
    </row>
    <row r="424" spans="1:24" x14ac:dyDescent="0.2">
      <c r="A424" s="2">
        <v>1705021</v>
      </c>
      <c r="B424" s="6">
        <v>42861.718711921298</v>
      </c>
      <c r="C424" s="6">
        <v>42877.692855555557</v>
      </c>
      <c r="D424" s="6">
        <v>42881</v>
      </c>
      <c r="E424" s="6">
        <v>42881.715385532407</v>
      </c>
      <c r="F424" s="2" t="s">
        <v>26</v>
      </c>
      <c r="G424" s="2" t="s">
        <v>26</v>
      </c>
      <c r="H424" s="2" t="s">
        <v>26</v>
      </c>
      <c r="I424" s="2" t="s">
        <v>26</v>
      </c>
      <c r="J424" s="2" t="s">
        <v>26</v>
      </c>
      <c r="K424" s="2" t="s">
        <v>8</v>
      </c>
      <c r="L424" s="2" t="s">
        <v>981</v>
      </c>
      <c r="M424" s="2" t="s">
        <v>28</v>
      </c>
      <c r="N424" s="2" t="s">
        <v>1131</v>
      </c>
      <c r="O424" s="2" t="s">
        <v>114</v>
      </c>
      <c r="P424" s="5">
        <v>800781655</v>
      </c>
      <c r="R424" s="2" t="s">
        <v>1132</v>
      </c>
      <c r="S424" s="2" t="s">
        <v>49</v>
      </c>
      <c r="T424" s="2" t="s">
        <v>130</v>
      </c>
      <c r="U424" s="2">
        <v>2012</v>
      </c>
      <c r="V424" s="6">
        <v>42875</v>
      </c>
      <c r="W424" s="3" t="s">
        <v>39</v>
      </c>
    </row>
    <row r="425" spans="1:24" x14ac:dyDescent="0.2">
      <c r="A425" s="2">
        <v>1705022</v>
      </c>
      <c r="B425" s="6">
        <v>42861.72143020833</v>
      </c>
      <c r="C425" s="6">
        <v>43004.561975925928</v>
      </c>
      <c r="D425" s="6">
        <v>42998</v>
      </c>
      <c r="F425" s="2">
        <v>-6.5619759259279817</v>
      </c>
      <c r="G425" s="2" t="s">
        <v>11</v>
      </c>
      <c r="H425" s="2" t="s">
        <v>93</v>
      </c>
      <c r="I425" s="2" t="s">
        <v>95</v>
      </c>
      <c r="J425" s="2" t="s">
        <v>95</v>
      </c>
      <c r="K425" s="2" t="s">
        <v>8</v>
      </c>
      <c r="L425" s="2" t="s">
        <v>27</v>
      </c>
      <c r="M425" s="2" t="s">
        <v>295</v>
      </c>
      <c r="N425" s="2" t="s">
        <v>1133</v>
      </c>
      <c r="P425" s="5">
        <v>886583440</v>
      </c>
      <c r="Q425" s="5">
        <v>918726669</v>
      </c>
      <c r="R425" s="2" t="s">
        <v>1134</v>
      </c>
      <c r="S425" s="2" t="s">
        <v>37</v>
      </c>
      <c r="T425" s="2" t="s">
        <v>1135</v>
      </c>
      <c r="U425" s="2">
        <v>2009</v>
      </c>
      <c r="V425" s="6" t="s">
        <v>72</v>
      </c>
      <c r="X425" s="23">
        <v>0</v>
      </c>
    </row>
    <row r="426" spans="1:24" x14ac:dyDescent="0.2">
      <c r="A426" s="2">
        <v>1705023</v>
      </c>
      <c r="B426" s="6">
        <v>42861.72283298611</v>
      </c>
      <c r="C426" s="6">
        <v>42896.760878703702</v>
      </c>
      <c r="D426" s="6">
        <v>42916</v>
      </c>
      <c r="E426" s="6">
        <v>42921.383933449077</v>
      </c>
      <c r="F426" s="2" t="s">
        <v>26</v>
      </c>
      <c r="G426" s="2" t="s">
        <v>26</v>
      </c>
      <c r="H426" s="2" t="s">
        <v>26</v>
      </c>
      <c r="I426" s="2" t="s">
        <v>26</v>
      </c>
      <c r="J426" s="2" t="s">
        <v>26</v>
      </c>
      <c r="K426" s="2" t="s">
        <v>8</v>
      </c>
      <c r="L426" s="2" t="s">
        <v>73</v>
      </c>
      <c r="M426" s="2" t="s">
        <v>45</v>
      </c>
      <c r="N426" s="2" t="s">
        <v>1136</v>
      </c>
      <c r="O426" s="2" t="s">
        <v>1137</v>
      </c>
      <c r="P426" s="5">
        <v>891296091</v>
      </c>
      <c r="R426" s="2" t="s">
        <v>1138</v>
      </c>
      <c r="S426" s="2" t="s">
        <v>70</v>
      </c>
      <c r="T426" s="2" t="s">
        <v>1139</v>
      </c>
      <c r="U426" s="2">
        <v>2012</v>
      </c>
      <c r="V426" s="6">
        <v>42902</v>
      </c>
      <c r="W426" s="3" t="s">
        <v>974</v>
      </c>
      <c r="X426" s="23">
        <v>0</v>
      </c>
    </row>
    <row r="427" spans="1:24" x14ac:dyDescent="0.2">
      <c r="A427" s="2">
        <v>1705024</v>
      </c>
      <c r="B427" s="6">
        <v>42863.403651273147</v>
      </c>
      <c r="C427" s="6">
        <v>42863.406635185187</v>
      </c>
      <c r="D427" s="6">
        <v>42872</v>
      </c>
      <c r="E427" s="6">
        <v>42875.646182291668</v>
      </c>
      <c r="F427" s="2" t="s">
        <v>26</v>
      </c>
      <c r="G427" s="2" t="s">
        <v>26</v>
      </c>
      <c r="H427" s="2" t="s">
        <v>26</v>
      </c>
      <c r="I427" s="2" t="s">
        <v>26</v>
      </c>
      <c r="J427" s="2" t="s">
        <v>26</v>
      </c>
      <c r="K427" s="2" t="s">
        <v>8</v>
      </c>
      <c r="L427" s="2" t="s">
        <v>27</v>
      </c>
      <c r="M427" s="2" t="s">
        <v>28</v>
      </c>
      <c r="N427" s="2" t="s">
        <v>1140</v>
      </c>
      <c r="O427" s="2" t="s">
        <v>68</v>
      </c>
      <c r="P427" s="5">
        <v>882888988</v>
      </c>
      <c r="Q427" s="5">
        <v>882888898</v>
      </c>
      <c r="R427" s="2" t="s">
        <v>1141</v>
      </c>
      <c r="S427" s="2" t="s">
        <v>37</v>
      </c>
      <c r="T427" s="2" t="s">
        <v>1142</v>
      </c>
      <c r="U427" s="2">
        <v>2014</v>
      </c>
      <c r="V427" s="6">
        <v>43256</v>
      </c>
      <c r="W427" s="3" t="s">
        <v>138</v>
      </c>
      <c r="X427" s="23">
        <v>11700</v>
      </c>
    </row>
    <row r="428" spans="1:24" x14ac:dyDescent="0.2">
      <c r="A428" s="2">
        <v>1705025</v>
      </c>
      <c r="B428" s="6">
        <v>42863.443574652774</v>
      </c>
      <c r="C428" s="6">
        <v>42871.469323263889</v>
      </c>
      <c r="D428" s="6">
        <v>42874</v>
      </c>
      <c r="E428" s="6">
        <v>42875.646713425929</v>
      </c>
      <c r="F428" s="2" t="s">
        <v>26</v>
      </c>
      <c r="G428" s="2" t="s">
        <v>26</v>
      </c>
      <c r="H428" s="2" t="s">
        <v>26</v>
      </c>
      <c r="I428" s="2" t="s">
        <v>26</v>
      </c>
      <c r="J428" s="2" t="s">
        <v>26</v>
      </c>
      <c r="K428" s="2" t="s">
        <v>8</v>
      </c>
      <c r="L428" s="2" t="s">
        <v>27</v>
      </c>
      <c r="M428" s="2" t="s">
        <v>28</v>
      </c>
      <c r="N428" s="2" t="s">
        <v>1143</v>
      </c>
      <c r="O428" s="2" t="s">
        <v>47</v>
      </c>
      <c r="P428" s="5">
        <v>897752403</v>
      </c>
      <c r="R428" s="2" t="s">
        <v>1144</v>
      </c>
      <c r="S428" s="2" t="s">
        <v>31</v>
      </c>
      <c r="T428" s="2" t="s">
        <v>116</v>
      </c>
      <c r="U428" s="2">
        <v>2016</v>
      </c>
      <c r="V428" s="6">
        <v>43115</v>
      </c>
      <c r="W428" s="3" t="s">
        <v>33</v>
      </c>
      <c r="X428" s="23">
        <v>3668.75</v>
      </c>
    </row>
    <row r="429" spans="1:24" x14ac:dyDescent="0.2">
      <c r="A429" s="2">
        <v>1705026</v>
      </c>
      <c r="B429" s="6">
        <v>42863.455049074073</v>
      </c>
      <c r="C429" s="6">
        <v>42863.456396875001</v>
      </c>
      <c r="D429" s="6">
        <v>0</v>
      </c>
      <c r="E429" s="6">
        <v>42891.401272800926</v>
      </c>
      <c r="F429" s="2" t="s">
        <v>26</v>
      </c>
      <c r="G429" s="2" t="s">
        <v>26</v>
      </c>
      <c r="H429" s="2" t="s">
        <v>26</v>
      </c>
      <c r="I429" s="2" t="s">
        <v>26</v>
      </c>
      <c r="J429" s="2" t="s">
        <v>26</v>
      </c>
      <c r="K429" s="2" t="s">
        <v>8</v>
      </c>
      <c r="L429" s="2" t="s">
        <v>27</v>
      </c>
      <c r="M429" s="2" t="s">
        <v>61</v>
      </c>
      <c r="N429" s="2" t="s">
        <v>1145</v>
      </c>
      <c r="O429" s="2" t="s">
        <v>41</v>
      </c>
      <c r="P429" s="5">
        <v>818032118</v>
      </c>
      <c r="R429" s="2" t="s">
        <v>1146</v>
      </c>
      <c r="S429" s="2" t="s">
        <v>55</v>
      </c>
      <c r="T429" s="2" t="s">
        <v>76</v>
      </c>
      <c r="U429" s="2">
        <v>2009</v>
      </c>
      <c r="V429" s="6">
        <v>42532</v>
      </c>
      <c r="W429" s="3" t="s">
        <v>877</v>
      </c>
      <c r="X429" s="23">
        <v>0</v>
      </c>
    </row>
    <row r="430" spans="1:24" x14ac:dyDescent="0.2">
      <c r="A430" s="2">
        <v>1705027</v>
      </c>
      <c r="B430" s="6">
        <v>42863.595047222225</v>
      </c>
      <c r="C430" s="6">
        <v>42887.663641666666</v>
      </c>
      <c r="D430" s="6">
        <v>42861</v>
      </c>
      <c r="E430" s="6">
        <v>42893.666541782404</v>
      </c>
      <c r="F430" s="2" t="s">
        <v>26</v>
      </c>
      <c r="G430" s="2" t="s">
        <v>26</v>
      </c>
      <c r="H430" s="2" t="s">
        <v>26</v>
      </c>
      <c r="I430" s="2" t="s">
        <v>26</v>
      </c>
      <c r="J430" s="2" t="s">
        <v>26</v>
      </c>
      <c r="K430" s="2" t="s">
        <v>8</v>
      </c>
      <c r="L430" s="2" t="s">
        <v>981</v>
      </c>
      <c r="M430" s="2" t="s">
        <v>28</v>
      </c>
      <c r="N430" s="2" t="s">
        <v>1147</v>
      </c>
      <c r="O430" s="2" t="s">
        <v>186</v>
      </c>
      <c r="P430" s="5">
        <v>910097224</v>
      </c>
      <c r="R430" s="2" t="s">
        <v>1148</v>
      </c>
      <c r="S430" s="2" t="s">
        <v>55</v>
      </c>
      <c r="T430" s="2" t="s">
        <v>142</v>
      </c>
      <c r="U430" s="2">
        <v>2016</v>
      </c>
      <c r="V430" s="6">
        <v>43129</v>
      </c>
      <c r="W430" s="3" t="s">
        <v>44</v>
      </c>
      <c r="X430" s="23">
        <v>5700</v>
      </c>
    </row>
    <row r="431" spans="1:24" x14ac:dyDescent="0.2">
      <c r="A431" s="2">
        <v>1705028</v>
      </c>
      <c r="B431" s="6">
        <v>42863.710310300929</v>
      </c>
      <c r="C431" s="6">
        <v>42863.711041898147</v>
      </c>
      <c r="D431" s="6">
        <v>42842</v>
      </c>
      <c r="E431" s="6">
        <v>42881.721330555556</v>
      </c>
      <c r="F431" s="2" t="s">
        <v>26</v>
      </c>
      <c r="G431" s="2" t="s">
        <v>26</v>
      </c>
      <c r="H431" s="2" t="s">
        <v>26</v>
      </c>
      <c r="I431" s="2" t="s">
        <v>26</v>
      </c>
      <c r="J431" s="2" t="s">
        <v>26</v>
      </c>
      <c r="K431" s="2" t="s">
        <v>8</v>
      </c>
      <c r="L431" s="2" t="s">
        <v>170</v>
      </c>
      <c r="M431" s="2" t="s">
        <v>28</v>
      </c>
      <c r="N431" s="2" t="s">
        <v>1149</v>
      </c>
      <c r="O431" s="2" t="s">
        <v>208</v>
      </c>
      <c r="P431" s="5">
        <v>843309064</v>
      </c>
      <c r="R431" s="2" t="s">
        <v>1150</v>
      </c>
      <c r="S431" s="2" t="s">
        <v>49</v>
      </c>
      <c r="T431" s="2" t="s">
        <v>79</v>
      </c>
      <c r="U431" s="2">
        <v>2007</v>
      </c>
      <c r="V431" s="6">
        <v>43014</v>
      </c>
      <c r="W431" s="3" t="s">
        <v>361</v>
      </c>
      <c r="X431" s="23">
        <v>4000</v>
      </c>
    </row>
    <row r="432" spans="1:24" x14ac:dyDescent="0.2">
      <c r="A432" s="2">
        <v>1705029</v>
      </c>
      <c r="B432" s="6">
        <v>42863.714271180557</v>
      </c>
      <c r="C432" s="6">
        <v>42863.715299074072</v>
      </c>
      <c r="D432" s="6">
        <v>42885</v>
      </c>
      <c r="E432" s="6">
        <v>42888.73625671296</v>
      </c>
      <c r="F432" s="2" t="s">
        <v>26</v>
      </c>
      <c r="G432" s="2" t="s">
        <v>26</v>
      </c>
      <c r="H432" s="2" t="s">
        <v>26</v>
      </c>
      <c r="I432" s="2" t="s">
        <v>26</v>
      </c>
      <c r="J432" s="2" t="s">
        <v>26</v>
      </c>
      <c r="K432" s="2" t="s">
        <v>8</v>
      </c>
      <c r="L432" s="2" t="s">
        <v>73</v>
      </c>
      <c r="M432" s="2" t="s">
        <v>66</v>
      </c>
      <c r="N432" s="2" t="s">
        <v>1151</v>
      </c>
      <c r="O432" s="2" t="s">
        <v>41</v>
      </c>
      <c r="P432" s="5">
        <v>868977366</v>
      </c>
      <c r="R432" s="2" t="s">
        <v>1152</v>
      </c>
      <c r="S432" s="2" t="s">
        <v>49</v>
      </c>
      <c r="T432" s="2" t="s">
        <v>205</v>
      </c>
      <c r="U432" s="2">
        <v>2013</v>
      </c>
      <c r="V432" s="6">
        <v>43096</v>
      </c>
      <c r="W432" s="3" t="s">
        <v>250</v>
      </c>
      <c r="X432" s="23">
        <v>2065.42</v>
      </c>
    </row>
    <row r="433" spans="1:24" x14ac:dyDescent="0.2">
      <c r="A433" s="2">
        <v>1705030</v>
      </c>
      <c r="B433" s="6">
        <v>42864.418772800927</v>
      </c>
      <c r="C433" s="6">
        <v>42902.462093287038</v>
      </c>
      <c r="D433" s="6">
        <v>42902</v>
      </c>
      <c r="E433" s="6">
        <v>42902.462545833332</v>
      </c>
      <c r="F433" s="2" t="s">
        <v>26</v>
      </c>
      <c r="G433" s="2" t="s">
        <v>26</v>
      </c>
      <c r="H433" s="2" t="s">
        <v>26</v>
      </c>
      <c r="I433" s="2" t="s">
        <v>26</v>
      </c>
      <c r="J433" s="2" t="s">
        <v>26</v>
      </c>
      <c r="K433" s="2" t="s">
        <v>8</v>
      </c>
      <c r="L433" s="2" t="s">
        <v>981</v>
      </c>
      <c r="M433" s="2" t="s">
        <v>28</v>
      </c>
      <c r="N433" s="2" t="s">
        <v>786</v>
      </c>
      <c r="O433" s="2" t="s">
        <v>114</v>
      </c>
      <c r="P433" s="5">
        <v>875563966</v>
      </c>
      <c r="R433" s="2" t="s">
        <v>787</v>
      </c>
      <c r="S433" s="2" t="s">
        <v>31</v>
      </c>
      <c r="T433" s="2" t="s">
        <v>116</v>
      </c>
      <c r="U433" s="2">
        <v>2013</v>
      </c>
      <c r="V433" s="6">
        <v>42914</v>
      </c>
      <c r="W433" s="3" t="s">
        <v>117</v>
      </c>
      <c r="X433" s="23">
        <v>4833.08</v>
      </c>
    </row>
    <row r="434" spans="1:24" x14ac:dyDescent="0.2">
      <c r="A434" s="2">
        <v>1705031</v>
      </c>
      <c r="B434" s="6">
        <v>42864.465556712959</v>
      </c>
      <c r="C434" s="6">
        <v>42921.464567592593</v>
      </c>
      <c r="D434" s="6">
        <v>42921</v>
      </c>
      <c r="E434" s="6">
        <v>42921.465062268515</v>
      </c>
      <c r="F434" s="2" t="s">
        <v>26</v>
      </c>
      <c r="G434" s="2" t="s">
        <v>26</v>
      </c>
      <c r="H434" s="2" t="s">
        <v>26</v>
      </c>
      <c r="I434" s="2" t="s">
        <v>26</v>
      </c>
      <c r="J434" s="2" t="s">
        <v>26</v>
      </c>
      <c r="K434" s="2" t="s">
        <v>8</v>
      </c>
      <c r="L434" s="2" t="s">
        <v>981</v>
      </c>
      <c r="M434" s="2" t="s">
        <v>295</v>
      </c>
      <c r="N434" s="2" t="s">
        <v>1198</v>
      </c>
      <c r="O434" s="2" t="s">
        <v>120</v>
      </c>
      <c r="P434" s="5">
        <v>870808716</v>
      </c>
      <c r="R434" s="2" t="s">
        <v>1199</v>
      </c>
      <c r="S434" s="2" t="s">
        <v>31</v>
      </c>
      <c r="T434" s="2" t="s">
        <v>283</v>
      </c>
      <c r="U434" s="2">
        <v>2013</v>
      </c>
      <c r="V434" s="6">
        <v>43199</v>
      </c>
      <c r="W434" s="3" t="s">
        <v>135</v>
      </c>
      <c r="X434" s="23">
        <v>4150</v>
      </c>
    </row>
    <row r="435" spans="1:24" x14ac:dyDescent="0.2">
      <c r="A435" s="2">
        <v>1705032</v>
      </c>
      <c r="B435" s="6">
        <v>42864.630535879631</v>
      </c>
      <c r="C435" s="6">
        <v>42948.452908333333</v>
      </c>
      <c r="D435" s="6">
        <v>42955</v>
      </c>
      <c r="E435" s="6">
        <v>42961</v>
      </c>
      <c r="F435" s="2" t="s">
        <v>26</v>
      </c>
      <c r="G435" s="2" t="s">
        <v>26</v>
      </c>
      <c r="H435" s="2" t="s">
        <v>26</v>
      </c>
      <c r="I435" s="2" t="s">
        <v>26</v>
      </c>
      <c r="J435" s="2" t="s">
        <v>26</v>
      </c>
      <c r="K435" s="2" t="s">
        <v>8</v>
      </c>
      <c r="L435" s="2" t="s">
        <v>981</v>
      </c>
      <c r="M435" s="2" t="s">
        <v>61</v>
      </c>
      <c r="N435" s="2" t="s">
        <v>1200</v>
      </c>
      <c r="O435" s="2" t="s">
        <v>128</v>
      </c>
      <c r="P435" s="5">
        <v>929599899</v>
      </c>
      <c r="R435" s="2" t="s">
        <v>1201</v>
      </c>
      <c r="S435" s="2" t="s">
        <v>243</v>
      </c>
      <c r="T435" s="2" t="s">
        <v>1202</v>
      </c>
      <c r="U435" s="2">
        <v>2007</v>
      </c>
      <c r="V435" s="6">
        <v>42937</v>
      </c>
      <c r="W435" s="3" t="s">
        <v>573</v>
      </c>
    </row>
    <row r="436" spans="1:24" x14ac:dyDescent="0.2">
      <c r="A436" s="2">
        <v>1705033</v>
      </c>
      <c r="B436" s="6">
        <v>42864.717816550925</v>
      </c>
      <c r="C436" s="6">
        <v>42884.566388078703</v>
      </c>
      <c r="D436" s="6">
        <v>42896</v>
      </c>
      <c r="E436" s="6">
        <v>42898.71916226852</v>
      </c>
      <c r="F436" s="2" t="s">
        <v>26</v>
      </c>
      <c r="G436" s="2" t="s">
        <v>26</v>
      </c>
      <c r="H436" s="2" t="s">
        <v>26</v>
      </c>
      <c r="I436" s="2" t="s">
        <v>26</v>
      </c>
      <c r="J436" s="2" t="s">
        <v>26</v>
      </c>
      <c r="K436" s="2" t="s">
        <v>8</v>
      </c>
      <c r="L436" s="2" t="s">
        <v>27</v>
      </c>
      <c r="M436" s="2" t="s">
        <v>28</v>
      </c>
      <c r="N436" s="2" t="s">
        <v>1203</v>
      </c>
      <c r="O436" s="2" t="s">
        <v>68</v>
      </c>
      <c r="P436" s="5">
        <v>847772415</v>
      </c>
      <c r="R436" s="2" t="s">
        <v>1204</v>
      </c>
      <c r="S436" s="2" t="s">
        <v>49</v>
      </c>
      <c r="T436" s="2" t="s">
        <v>923</v>
      </c>
      <c r="U436" s="2">
        <v>2015</v>
      </c>
      <c r="V436" s="6">
        <v>42926</v>
      </c>
      <c r="W436" s="3" t="s">
        <v>33</v>
      </c>
      <c r="X436" s="23">
        <v>5042</v>
      </c>
    </row>
    <row r="437" spans="1:24" x14ac:dyDescent="0.2">
      <c r="A437" s="2">
        <v>1705034</v>
      </c>
      <c r="B437" s="6">
        <v>42864.71943449074</v>
      </c>
      <c r="C437" s="6">
        <v>42864.722101736108</v>
      </c>
      <c r="D437" s="6">
        <v>42885</v>
      </c>
      <c r="E437" s="6">
        <v>42921.385320370369</v>
      </c>
      <c r="F437" s="2" t="s">
        <v>26</v>
      </c>
      <c r="G437" s="2" t="s">
        <v>26</v>
      </c>
      <c r="H437" s="2" t="s">
        <v>26</v>
      </c>
      <c r="I437" s="2" t="s">
        <v>26</v>
      </c>
      <c r="J437" s="2" t="s">
        <v>26</v>
      </c>
      <c r="K437" s="2" t="s">
        <v>8</v>
      </c>
      <c r="L437" s="2" t="s">
        <v>73</v>
      </c>
      <c r="M437" s="2" t="s">
        <v>118</v>
      </c>
      <c r="N437" s="2" t="s">
        <v>1205</v>
      </c>
      <c r="O437" s="2" t="s">
        <v>186</v>
      </c>
      <c r="P437" s="5">
        <v>859206108</v>
      </c>
      <c r="R437" s="2" t="s">
        <v>1206</v>
      </c>
      <c r="S437" s="2" t="s">
        <v>31</v>
      </c>
      <c r="T437" s="2" t="s">
        <v>283</v>
      </c>
      <c r="U437" s="2">
        <v>2003</v>
      </c>
      <c r="V437" s="6">
        <v>42986</v>
      </c>
      <c r="W437" s="3" t="s">
        <v>1207</v>
      </c>
    </row>
    <row r="438" spans="1:24" x14ac:dyDescent="0.2">
      <c r="A438" s="2">
        <v>1705035</v>
      </c>
      <c r="B438" s="6">
        <v>42866.647799074075</v>
      </c>
      <c r="C438" s="6">
        <v>42948.462282523149</v>
      </c>
      <c r="D438" s="6">
        <v>42969</v>
      </c>
      <c r="E438" s="6">
        <v>42984</v>
      </c>
      <c r="F438" s="2" t="s">
        <v>26</v>
      </c>
      <c r="G438" s="2" t="s">
        <v>26</v>
      </c>
      <c r="H438" s="2" t="s">
        <v>26</v>
      </c>
      <c r="I438" s="2" t="s">
        <v>26</v>
      </c>
      <c r="J438" s="2" t="s">
        <v>26</v>
      </c>
      <c r="K438" s="2" t="s">
        <v>8</v>
      </c>
      <c r="L438" s="2" t="s">
        <v>73</v>
      </c>
      <c r="M438" s="2" t="s">
        <v>81</v>
      </c>
      <c r="N438" s="2" t="s">
        <v>1208</v>
      </c>
      <c r="O438" s="2" t="s">
        <v>208</v>
      </c>
      <c r="P438" s="5">
        <v>863291023</v>
      </c>
      <c r="R438" s="2" t="s">
        <v>1209</v>
      </c>
      <c r="S438" s="2" t="s">
        <v>37</v>
      </c>
      <c r="T438" s="2" t="s">
        <v>102</v>
      </c>
      <c r="U438" s="2">
        <v>2011</v>
      </c>
      <c r="V438" s="6">
        <v>43117</v>
      </c>
      <c r="W438" s="3" t="s">
        <v>556</v>
      </c>
      <c r="X438" s="23">
        <v>7627.57</v>
      </c>
    </row>
    <row r="439" spans="1:24" x14ac:dyDescent="0.2">
      <c r="A439" s="2">
        <v>1705036</v>
      </c>
      <c r="B439" s="6">
        <v>42866.652004282405</v>
      </c>
      <c r="C439" s="6">
        <v>42866.653124999997</v>
      </c>
      <c r="D439" s="6">
        <v>0</v>
      </c>
      <c r="E439" s="6">
        <v>42921.384803703702</v>
      </c>
      <c r="F439" s="2" t="s">
        <v>26</v>
      </c>
      <c r="G439" s="2" t="s">
        <v>26</v>
      </c>
      <c r="H439" s="2" t="s">
        <v>26</v>
      </c>
      <c r="I439" s="2" t="s">
        <v>26</v>
      </c>
      <c r="J439" s="2" t="s">
        <v>26</v>
      </c>
      <c r="K439" s="2" t="s">
        <v>8</v>
      </c>
      <c r="L439" s="2" t="s">
        <v>51</v>
      </c>
      <c r="M439" s="2" t="s">
        <v>295</v>
      </c>
      <c r="N439" s="2" t="s">
        <v>1211</v>
      </c>
      <c r="O439" s="2" t="s">
        <v>407</v>
      </c>
      <c r="P439" s="5">
        <v>944816875</v>
      </c>
      <c r="R439" s="2" t="s">
        <v>1212</v>
      </c>
      <c r="S439" s="2" t="s">
        <v>49</v>
      </c>
      <c r="T439" s="2" t="s">
        <v>79</v>
      </c>
      <c r="U439" s="2">
        <v>2014</v>
      </c>
      <c r="V439" s="6">
        <v>43099</v>
      </c>
      <c r="W439" s="3" t="s">
        <v>310</v>
      </c>
      <c r="X439" s="23">
        <v>24820</v>
      </c>
    </row>
    <row r="440" spans="1:24" x14ac:dyDescent="0.2">
      <c r="A440" s="2">
        <v>1705037</v>
      </c>
      <c r="B440" s="6">
        <v>42867.500786689816</v>
      </c>
      <c r="C440" s="6">
        <v>42868.411323842593</v>
      </c>
      <c r="D440" s="6">
        <v>42880</v>
      </c>
      <c r="E440" s="6">
        <v>42894.423081365741</v>
      </c>
      <c r="F440" s="2" t="s">
        <v>26</v>
      </c>
      <c r="G440" s="2" t="s">
        <v>26</v>
      </c>
      <c r="H440" s="2" t="s">
        <v>26</v>
      </c>
      <c r="I440" s="2" t="s">
        <v>26</v>
      </c>
      <c r="J440" s="2" t="s">
        <v>26</v>
      </c>
      <c r="K440" s="2" t="s">
        <v>8</v>
      </c>
      <c r="L440" s="2" t="s">
        <v>27</v>
      </c>
      <c r="M440" s="2" t="s">
        <v>28</v>
      </c>
      <c r="N440" s="2" t="s">
        <v>1213</v>
      </c>
      <c r="O440" s="2" t="s">
        <v>114</v>
      </c>
      <c r="P440" s="5">
        <v>927801895</v>
      </c>
      <c r="Q440" s="5">
        <v>922864703</v>
      </c>
      <c r="R440" s="2" t="s">
        <v>1214</v>
      </c>
      <c r="S440" s="2" t="s">
        <v>31</v>
      </c>
      <c r="T440" s="2" t="s">
        <v>283</v>
      </c>
      <c r="U440" s="2">
        <v>2012</v>
      </c>
      <c r="V440" s="6">
        <v>43183</v>
      </c>
      <c r="W440" s="3" t="s">
        <v>509</v>
      </c>
      <c r="X440" s="23">
        <v>11600</v>
      </c>
    </row>
    <row r="441" spans="1:24" x14ac:dyDescent="0.2">
      <c r="A441" s="2">
        <v>1705038</v>
      </c>
      <c r="B441" s="6">
        <v>42868.625122569443</v>
      </c>
      <c r="C441" s="6">
        <v>42914.393202314815</v>
      </c>
      <c r="D441" s="6">
        <v>42922</v>
      </c>
      <c r="E441" s="6">
        <v>42923.717916666668</v>
      </c>
      <c r="F441" s="2" t="s">
        <v>26</v>
      </c>
      <c r="G441" s="2" t="s">
        <v>26</v>
      </c>
      <c r="H441" s="2" t="s">
        <v>26</v>
      </c>
      <c r="I441" s="2" t="s">
        <v>26</v>
      </c>
      <c r="J441" s="2" t="s">
        <v>26</v>
      </c>
      <c r="K441" s="2" t="s">
        <v>8</v>
      </c>
      <c r="L441" s="2" t="s">
        <v>34</v>
      </c>
      <c r="M441" s="2" t="s">
        <v>45</v>
      </c>
      <c r="N441" s="2" t="s">
        <v>1215</v>
      </c>
      <c r="O441" s="2" t="s">
        <v>59</v>
      </c>
      <c r="P441" s="5">
        <v>897249911</v>
      </c>
      <c r="Q441" s="5">
        <v>979977287</v>
      </c>
      <c r="R441" s="2" t="s">
        <v>1216</v>
      </c>
      <c r="S441" s="2" t="s">
        <v>37</v>
      </c>
      <c r="T441" s="2" t="s">
        <v>102</v>
      </c>
      <c r="U441" s="2">
        <v>2013</v>
      </c>
      <c r="V441" s="6" t="s">
        <v>72</v>
      </c>
      <c r="X441" s="23">
        <v>18000</v>
      </c>
    </row>
    <row r="442" spans="1:24" x14ac:dyDescent="0.2">
      <c r="A442" s="2">
        <v>1705039</v>
      </c>
      <c r="B442" s="6">
        <v>42868.627482175929</v>
      </c>
      <c r="C442" s="6">
        <v>42868.631252662039</v>
      </c>
      <c r="D442" s="6">
        <v>42880</v>
      </c>
      <c r="E442" s="6">
        <v>42914.633097453705</v>
      </c>
      <c r="F442" s="2" t="s">
        <v>26</v>
      </c>
      <c r="G442" s="2" t="s">
        <v>26</v>
      </c>
      <c r="H442" s="2" t="s">
        <v>26</v>
      </c>
      <c r="I442" s="2" t="s">
        <v>26</v>
      </c>
      <c r="J442" s="2" t="s">
        <v>26</v>
      </c>
      <c r="K442" s="2" t="s">
        <v>8</v>
      </c>
      <c r="L442" s="2" t="s">
        <v>27</v>
      </c>
      <c r="M442" s="2" t="s">
        <v>28</v>
      </c>
      <c r="N442" s="2" t="s">
        <v>1217</v>
      </c>
      <c r="O442" s="2" t="s">
        <v>1218</v>
      </c>
      <c r="P442" s="5">
        <v>917782840</v>
      </c>
      <c r="R442" s="2" t="s">
        <v>1219</v>
      </c>
      <c r="S442" s="2" t="s">
        <v>49</v>
      </c>
      <c r="T442" s="2" t="s">
        <v>151</v>
      </c>
      <c r="U442" s="2">
        <v>2005</v>
      </c>
      <c r="V442" s="6" t="s">
        <v>72</v>
      </c>
      <c r="X442" s="23">
        <v>0</v>
      </c>
    </row>
    <row r="443" spans="1:24" x14ac:dyDescent="0.2">
      <c r="A443" s="2">
        <v>1705040</v>
      </c>
      <c r="B443" s="6">
        <v>42868.702786805552</v>
      </c>
      <c r="F443" s="2" t="s">
        <v>126</v>
      </c>
      <c r="G443" s="2" t="s">
        <v>126</v>
      </c>
      <c r="H443" s="2" t="s">
        <v>126</v>
      </c>
      <c r="I443" s="2" t="s">
        <v>126</v>
      </c>
      <c r="J443" s="2" t="s">
        <v>126</v>
      </c>
      <c r="K443" s="2" t="s">
        <v>8</v>
      </c>
      <c r="L443" s="2" t="s">
        <v>981</v>
      </c>
      <c r="M443" s="2" t="s">
        <v>338</v>
      </c>
      <c r="N443" s="2" t="s">
        <v>559</v>
      </c>
      <c r="O443" s="2" t="s">
        <v>47</v>
      </c>
      <c r="P443" s="5">
        <v>987825692</v>
      </c>
      <c r="R443" s="2" t="s">
        <v>560</v>
      </c>
      <c r="S443" s="2" t="s">
        <v>55</v>
      </c>
      <c r="T443" s="2" t="s">
        <v>1220</v>
      </c>
      <c r="U443" s="2">
        <v>2010</v>
      </c>
      <c r="V443" s="6">
        <v>43159</v>
      </c>
      <c r="W443" s="3" t="s">
        <v>39</v>
      </c>
    </row>
    <row r="444" spans="1:24" x14ac:dyDescent="0.2">
      <c r="A444" s="2">
        <v>1705041</v>
      </c>
      <c r="B444" s="6">
        <v>42870.442906018521</v>
      </c>
      <c r="C444" s="6">
        <v>42926.621621990744</v>
      </c>
      <c r="D444" s="6">
        <v>42931</v>
      </c>
      <c r="E444" s="6">
        <v>42935.358753587963</v>
      </c>
      <c r="F444" s="2" t="s">
        <v>26</v>
      </c>
      <c r="G444" s="2" t="s">
        <v>26</v>
      </c>
      <c r="H444" s="2" t="s">
        <v>26</v>
      </c>
      <c r="I444" s="2" t="s">
        <v>26</v>
      </c>
      <c r="J444" s="2" t="s">
        <v>26</v>
      </c>
      <c r="K444" s="2" t="s">
        <v>8</v>
      </c>
      <c r="L444" s="2" t="s">
        <v>34</v>
      </c>
      <c r="M444" s="2" t="s">
        <v>61</v>
      </c>
      <c r="N444" s="2" t="s">
        <v>318</v>
      </c>
      <c r="O444" s="2" t="s">
        <v>217</v>
      </c>
      <c r="P444" s="5">
        <v>917133317</v>
      </c>
      <c r="R444" s="2" t="s">
        <v>319</v>
      </c>
      <c r="S444" s="2" t="s">
        <v>49</v>
      </c>
      <c r="T444" s="2" t="s">
        <v>130</v>
      </c>
      <c r="U444" s="2">
        <v>2012</v>
      </c>
      <c r="V444" s="6" t="s">
        <v>1221</v>
      </c>
      <c r="X444" s="23">
        <v>976.64</v>
      </c>
    </row>
    <row r="445" spans="1:24" x14ac:dyDescent="0.2">
      <c r="A445" s="2">
        <v>1705042</v>
      </c>
      <c r="B445" s="6">
        <v>42870.712185300923</v>
      </c>
      <c r="C445" s="6">
        <v>42870.717254745374</v>
      </c>
      <c r="D445" s="6">
        <v>42877</v>
      </c>
      <c r="E445" s="6">
        <v>42881.722323726855</v>
      </c>
      <c r="F445" s="2" t="s">
        <v>26</v>
      </c>
      <c r="G445" s="2" t="s">
        <v>26</v>
      </c>
      <c r="H445" s="2" t="s">
        <v>26</v>
      </c>
      <c r="I445" s="2" t="s">
        <v>26</v>
      </c>
      <c r="J445" s="2" t="s">
        <v>26</v>
      </c>
      <c r="K445" s="2" t="s">
        <v>8</v>
      </c>
      <c r="L445" s="2" t="s">
        <v>27</v>
      </c>
      <c r="M445" s="2" t="s">
        <v>28</v>
      </c>
      <c r="N445" s="2" t="s">
        <v>1222</v>
      </c>
      <c r="O445" s="2" t="s">
        <v>1223</v>
      </c>
      <c r="P445" s="5">
        <v>875584791</v>
      </c>
      <c r="R445" s="2" t="s">
        <v>1224</v>
      </c>
      <c r="S445" s="2" t="s">
        <v>49</v>
      </c>
      <c r="T445" s="2" t="s">
        <v>50</v>
      </c>
      <c r="U445" s="2">
        <v>2006</v>
      </c>
      <c r="V445" s="6" t="s">
        <v>72</v>
      </c>
      <c r="X445" s="23">
        <v>0</v>
      </c>
    </row>
    <row r="446" spans="1:24" x14ac:dyDescent="0.2">
      <c r="A446" s="2">
        <v>1705043</v>
      </c>
      <c r="B446" s="6">
        <v>42871.407636805554</v>
      </c>
      <c r="C446" s="6">
        <v>42937.41636909722</v>
      </c>
      <c r="D446" s="6">
        <v>42947</v>
      </c>
      <c r="E446" s="6">
        <v>42948</v>
      </c>
      <c r="F446" s="2" t="s">
        <v>26</v>
      </c>
      <c r="G446" s="2" t="s">
        <v>26</v>
      </c>
      <c r="H446" s="2" t="s">
        <v>26</v>
      </c>
      <c r="I446" s="2" t="s">
        <v>26</v>
      </c>
      <c r="J446" s="2" t="s">
        <v>26</v>
      </c>
      <c r="K446" s="2" t="s">
        <v>8</v>
      </c>
      <c r="L446" s="2" t="s">
        <v>27</v>
      </c>
      <c r="M446" s="2" t="s">
        <v>81</v>
      </c>
      <c r="N446" s="2" t="s">
        <v>1225</v>
      </c>
      <c r="O446" s="2" t="s">
        <v>107</v>
      </c>
      <c r="P446" s="5">
        <v>813428444</v>
      </c>
      <c r="Q446" s="5">
        <v>814468151</v>
      </c>
      <c r="R446" s="2" t="s">
        <v>1226</v>
      </c>
      <c r="S446" s="2" t="s">
        <v>37</v>
      </c>
      <c r="T446" s="2" t="s">
        <v>102</v>
      </c>
      <c r="U446" s="2">
        <v>2012</v>
      </c>
      <c r="V446" s="6">
        <v>43155</v>
      </c>
      <c r="W446" s="3" t="s">
        <v>517</v>
      </c>
      <c r="X446" s="23">
        <v>23000</v>
      </c>
    </row>
    <row r="447" spans="1:24" x14ac:dyDescent="0.2">
      <c r="A447" s="2">
        <v>1705044</v>
      </c>
      <c r="B447" s="6">
        <v>42871.410959375004</v>
      </c>
      <c r="C447" s="6">
        <v>42895.626171180556</v>
      </c>
      <c r="D447" s="6">
        <v>42906</v>
      </c>
      <c r="E447" s="6">
        <v>42903.627742245371</v>
      </c>
      <c r="F447" s="2" t="s">
        <v>26</v>
      </c>
      <c r="G447" s="2" t="s">
        <v>26</v>
      </c>
      <c r="H447" s="2" t="s">
        <v>26</v>
      </c>
      <c r="I447" s="2" t="s">
        <v>26</v>
      </c>
      <c r="J447" s="2" t="s">
        <v>26</v>
      </c>
      <c r="K447" s="2" t="s">
        <v>8</v>
      </c>
      <c r="L447" s="2" t="s">
        <v>27</v>
      </c>
      <c r="M447" s="2" t="s">
        <v>81</v>
      </c>
      <c r="N447" s="2" t="s">
        <v>1227</v>
      </c>
      <c r="O447" s="2" t="s">
        <v>407</v>
      </c>
      <c r="P447" s="5">
        <v>959864457</v>
      </c>
      <c r="R447" s="2" t="s">
        <v>1228</v>
      </c>
      <c r="S447" s="2" t="s">
        <v>37</v>
      </c>
      <c r="T447" s="2" t="s">
        <v>102</v>
      </c>
      <c r="U447" s="2">
        <v>2009</v>
      </c>
      <c r="V447" s="6">
        <v>42877</v>
      </c>
      <c r="W447" s="3" t="s">
        <v>65</v>
      </c>
      <c r="X447" s="23">
        <v>300</v>
      </c>
    </row>
    <row r="448" spans="1:24" x14ac:dyDescent="0.2">
      <c r="A448" s="2">
        <v>1705045</v>
      </c>
      <c r="B448" s="6">
        <v>42871.496408333333</v>
      </c>
      <c r="C448" s="6">
        <v>42950.683801273146</v>
      </c>
      <c r="D448" s="6">
        <v>42962</v>
      </c>
      <c r="E448" s="6">
        <v>42963</v>
      </c>
      <c r="F448" s="2" t="s">
        <v>26</v>
      </c>
      <c r="G448" s="2" t="s">
        <v>26</v>
      </c>
      <c r="H448" s="2" t="s">
        <v>26</v>
      </c>
      <c r="I448" s="2" t="s">
        <v>26</v>
      </c>
      <c r="J448" s="2" t="s">
        <v>26</v>
      </c>
      <c r="K448" s="2" t="s">
        <v>8</v>
      </c>
      <c r="L448" s="2" t="s">
        <v>34</v>
      </c>
      <c r="M448" s="2" t="s">
        <v>61</v>
      </c>
      <c r="N448" s="2" t="s">
        <v>1266</v>
      </c>
      <c r="O448" s="2" t="s">
        <v>128</v>
      </c>
      <c r="P448" s="5">
        <v>890370158</v>
      </c>
      <c r="Q448" s="5">
        <v>891089575</v>
      </c>
      <c r="R448" s="2" t="s">
        <v>1267</v>
      </c>
      <c r="S448" s="2" t="s">
        <v>55</v>
      </c>
      <c r="T448" s="2" t="s">
        <v>697</v>
      </c>
      <c r="U448" s="2">
        <v>2012</v>
      </c>
      <c r="V448" s="6">
        <v>43124</v>
      </c>
      <c r="W448" s="3" t="s">
        <v>1018</v>
      </c>
      <c r="X448" s="23">
        <v>2500</v>
      </c>
    </row>
    <row r="449" spans="1:24" x14ac:dyDescent="0.2">
      <c r="A449" s="2">
        <v>1705046</v>
      </c>
      <c r="B449" s="6">
        <v>42872.643193981479</v>
      </c>
      <c r="C449" s="6">
        <v>43010.48687453704</v>
      </c>
      <c r="D449" s="6">
        <v>43019</v>
      </c>
      <c r="E449" s="6">
        <v>43022</v>
      </c>
      <c r="F449" s="2" t="s">
        <v>26</v>
      </c>
      <c r="G449" s="2" t="s">
        <v>26</v>
      </c>
      <c r="H449" s="2" t="s">
        <v>26</v>
      </c>
      <c r="I449" s="2" t="s">
        <v>26</v>
      </c>
      <c r="J449" s="2" t="s">
        <v>26</v>
      </c>
      <c r="K449" s="2" t="s">
        <v>8</v>
      </c>
      <c r="L449" s="2" t="s">
        <v>34</v>
      </c>
      <c r="M449" s="2" t="s">
        <v>66</v>
      </c>
      <c r="N449" s="2" t="s">
        <v>85</v>
      </c>
      <c r="O449" s="2" t="s">
        <v>41</v>
      </c>
      <c r="P449" s="5">
        <v>891222680</v>
      </c>
      <c r="R449" s="2" t="s">
        <v>1268</v>
      </c>
      <c r="S449" s="2" t="s">
        <v>64</v>
      </c>
      <c r="T449" s="2">
        <v>3</v>
      </c>
      <c r="U449" s="2">
        <v>2013</v>
      </c>
      <c r="V449" s="6">
        <v>43131</v>
      </c>
      <c r="W449" s="3" t="s">
        <v>148</v>
      </c>
      <c r="X449" s="23">
        <v>0</v>
      </c>
    </row>
    <row r="450" spans="1:24" x14ac:dyDescent="0.2">
      <c r="A450" s="2">
        <v>1705047</v>
      </c>
      <c r="B450" s="6">
        <v>42873.567012037034</v>
      </c>
      <c r="C450" s="6">
        <v>42921.376958564812</v>
      </c>
      <c r="D450" s="6">
        <v>42929</v>
      </c>
      <c r="E450" s="6">
        <v>42935.360754745372</v>
      </c>
      <c r="F450" s="2" t="s">
        <v>26</v>
      </c>
      <c r="G450" s="2" t="s">
        <v>26</v>
      </c>
      <c r="H450" s="2" t="s">
        <v>26</v>
      </c>
      <c r="I450" s="2" t="s">
        <v>26</v>
      </c>
      <c r="J450" s="2" t="s">
        <v>26</v>
      </c>
      <c r="K450" s="2" t="s">
        <v>8</v>
      </c>
      <c r="L450" s="2" t="s">
        <v>27</v>
      </c>
      <c r="M450" s="2" t="s">
        <v>45</v>
      </c>
      <c r="N450" s="2" t="s">
        <v>1269</v>
      </c>
      <c r="O450" s="2" t="s">
        <v>208</v>
      </c>
      <c r="P450" s="5">
        <v>816122690</v>
      </c>
      <c r="Q450" s="5" t="s">
        <v>1270</v>
      </c>
      <c r="R450" s="2" t="s">
        <v>1271</v>
      </c>
      <c r="S450" s="2" t="s">
        <v>49</v>
      </c>
      <c r="T450" s="2" t="s">
        <v>79</v>
      </c>
      <c r="U450" s="2">
        <v>2008</v>
      </c>
      <c r="V450" s="6">
        <v>43063</v>
      </c>
      <c r="W450" s="3" t="s">
        <v>106</v>
      </c>
      <c r="X450" s="23">
        <v>0</v>
      </c>
    </row>
    <row r="451" spans="1:24" x14ac:dyDescent="0.2">
      <c r="A451" s="2">
        <v>1705048</v>
      </c>
      <c r="B451" s="6">
        <v>42874.392964699073</v>
      </c>
      <c r="C451" s="6">
        <v>42877.689841087966</v>
      </c>
      <c r="D451" s="6">
        <v>42885</v>
      </c>
      <c r="E451" s="6">
        <v>42893.720671759256</v>
      </c>
      <c r="F451" s="2" t="s">
        <v>26</v>
      </c>
      <c r="G451" s="2" t="s">
        <v>26</v>
      </c>
      <c r="H451" s="2" t="s">
        <v>26</v>
      </c>
      <c r="I451" s="2" t="s">
        <v>26</v>
      </c>
      <c r="J451" s="2" t="s">
        <v>26</v>
      </c>
      <c r="K451" s="2" t="s">
        <v>8</v>
      </c>
      <c r="L451" s="2" t="s">
        <v>981</v>
      </c>
      <c r="M451" s="2" t="s">
        <v>28</v>
      </c>
      <c r="N451" s="2" t="s">
        <v>1272</v>
      </c>
      <c r="O451" s="2" t="s">
        <v>114</v>
      </c>
      <c r="P451" s="5">
        <v>888743984</v>
      </c>
      <c r="R451" s="2" t="s">
        <v>1273</v>
      </c>
      <c r="S451" s="2" t="s">
        <v>524</v>
      </c>
      <c r="T451" s="2" t="s">
        <v>1274</v>
      </c>
      <c r="U451" s="2">
        <v>2009</v>
      </c>
      <c r="V451" s="6">
        <v>42876</v>
      </c>
      <c r="W451" s="3" t="s">
        <v>1275</v>
      </c>
      <c r="X451" s="23">
        <v>0</v>
      </c>
    </row>
    <row r="452" spans="1:24" x14ac:dyDescent="0.2">
      <c r="A452" s="2">
        <v>1705049</v>
      </c>
      <c r="B452" s="6">
        <v>42874.399010763889</v>
      </c>
      <c r="C452" s="6">
        <v>42906.473581597224</v>
      </c>
      <c r="D452" s="6">
        <v>42916</v>
      </c>
      <c r="E452" s="6">
        <v>42921.383489930558</v>
      </c>
      <c r="F452" s="2" t="s">
        <v>26</v>
      </c>
      <c r="G452" s="2" t="s">
        <v>26</v>
      </c>
      <c r="H452" s="2" t="s">
        <v>26</v>
      </c>
      <c r="I452" s="2" t="s">
        <v>26</v>
      </c>
      <c r="J452" s="2" t="s">
        <v>26</v>
      </c>
      <c r="K452" s="2" t="s">
        <v>8</v>
      </c>
      <c r="L452" s="2" t="s">
        <v>27</v>
      </c>
      <c r="M452" s="2" t="s">
        <v>88</v>
      </c>
      <c r="N452" s="2" t="s">
        <v>1276</v>
      </c>
      <c r="O452" s="2" t="s">
        <v>68</v>
      </c>
      <c r="P452" s="5">
        <v>814421709</v>
      </c>
      <c r="R452" s="2" t="s">
        <v>1277</v>
      </c>
      <c r="S452" s="2" t="s">
        <v>64</v>
      </c>
      <c r="T452" s="2">
        <v>2</v>
      </c>
      <c r="U452" s="2">
        <v>2013</v>
      </c>
      <c r="V452" s="6">
        <v>43214</v>
      </c>
      <c r="W452" s="3" t="s">
        <v>219</v>
      </c>
      <c r="X452" s="23">
        <v>0</v>
      </c>
    </row>
    <row r="453" spans="1:24" x14ac:dyDescent="0.2">
      <c r="A453" s="2">
        <v>1705050</v>
      </c>
      <c r="B453" s="6">
        <v>42874.49054097222</v>
      </c>
      <c r="C453" s="6">
        <v>42894.60767928241</v>
      </c>
      <c r="D453" s="6">
        <v>42903</v>
      </c>
      <c r="E453" s="6">
        <v>42906.661892245371</v>
      </c>
      <c r="F453" s="2" t="s">
        <v>26</v>
      </c>
      <c r="G453" s="2" t="s">
        <v>26</v>
      </c>
      <c r="H453" s="2" t="s">
        <v>26</v>
      </c>
      <c r="I453" s="2" t="s">
        <v>26</v>
      </c>
      <c r="J453" s="2" t="s">
        <v>26</v>
      </c>
      <c r="K453" s="2" t="s">
        <v>8</v>
      </c>
      <c r="L453" s="2" t="s">
        <v>34</v>
      </c>
      <c r="M453" s="2" t="s">
        <v>66</v>
      </c>
      <c r="N453" s="2" t="s">
        <v>1278</v>
      </c>
      <c r="O453" s="2" t="s">
        <v>239</v>
      </c>
      <c r="P453" s="5">
        <v>914104009</v>
      </c>
      <c r="R453" s="2" t="s">
        <v>1279</v>
      </c>
      <c r="S453" s="2" t="s">
        <v>49</v>
      </c>
      <c r="T453" s="2" t="s">
        <v>79</v>
      </c>
      <c r="U453" s="2">
        <v>2013</v>
      </c>
      <c r="V453" s="6">
        <v>43087</v>
      </c>
      <c r="W453" s="3" t="s">
        <v>632</v>
      </c>
      <c r="X453" s="23">
        <v>30720</v>
      </c>
    </row>
    <row r="454" spans="1:24" x14ac:dyDescent="0.2">
      <c r="A454" s="2">
        <v>1705051</v>
      </c>
      <c r="B454" s="6">
        <v>42874.493556944442</v>
      </c>
      <c r="C454" s="6">
        <v>42903.590465162037</v>
      </c>
      <c r="D454" s="6">
        <v>42912</v>
      </c>
      <c r="E454" s="6">
        <v>42910.489528472222</v>
      </c>
      <c r="F454" s="2" t="s">
        <v>26</v>
      </c>
      <c r="G454" s="2" t="s">
        <v>26</v>
      </c>
      <c r="H454" s="2" t="s">
        <v>26</v>
      </c>
      <c r="I454" s="2" t="s">
        <v>26</v>
      </c>
      <c r="J454" s="2" t="s">
        <v>26</v>
      </c>
      <c r="K454" s="2" t="s">
        <v>8</v>
      </c>
      <c r="L454" s="2" t="s">
        <v>34</v>
      </c>
      <c r="M454" s="2" t="s">
        <v>28</v>
      </c>
      <c r="N454" s="2" t="s">
        <v>1280</v>
      </c>
      <c r="O454" s="2" t="s">
        <v>114</v>
      </c>
      <c r="P454" s="5">
        <v>815671844</v>
      </c>
      <c r="Q454" s="5">
        <v>917061206</v>
      </c>
      <c r="R454" s="2" t="s">
        <v>1281</v>
      </c>
      <c r="S454" s="2" t="s">
        <v>37</v>
      </c>
      <c r="T454" s="2" t="s">
        <v>102</v>
      </c>
      <c r="U454" s="2">
        <v>2016</v>
      </c>
      <c r="V454" s="6">
        <v>43104</v>
      </c>
      <c r="W454" s="3" t="s">
        <v>1282</v>
      </c>
      <c r="X454" s="23">
        <v>0</v>
      </c>
    </row>
    <row r="455" spans="1:24" x14ac:dyDescent="0.2">
      <c r="A455" s="2">
        <v>1705052</v>
      </c>
      <c r="B455" s="6">
        <v>42874.57899548611</v>
      </c>
      <c r="C455" s="6">
        <v>42874.635825462959</v>
      </c>
      <c r="D455" s="6">
        <v>42896</v>
      </c>
      <c r="E455" s="6">
        <v>42899.721555902775</v>
      </c>
      <c r="F455" s="2" t="s">
        <v>26</v>
      </c>
      <c r="G455" s="2" t="s">
        <v>26</v>
      </c>
      <c r="H455" s="2" t="s">
        <v>26</v>
      </c>
      <c r="I455" s="2" t="s">
        <v>26</v>
      </c>
      <c r="J455" s="2" t="s">
        <v>26</v>
      </c>
      <c r="K455" s="2" t="s">
        <v>8</v>
      </c>
      <c r="L455" s="2" t="s">
        <v>73</v>
      </c>
      <c r="M455" s="2" t="s">
        <v>45</v>
      </c>
      <c r="N455" s="2" t="s">
        <v>1283</v>
      </c>
      <c r="O455" s="2" t="s">
        <v>1284</v>
      </c>
      <c r="P455" s="5">
        <v>879115544</v>
      </c>
      <c r="R455" s="2" t="s">
        <v>1285</v>
      </c>
      <c r="S455" s="2" t="s">
        <v>55</v>
      </c>
      <c r="T455" s="2" t="s">
        <v>56</v>
      </c>
      <c r="U455" s="2">
        <v>2005</v>
      </c>
      <c r="V455" s="6">
        <v>42936</v>
      </c>
      <c r="W455" s="3" t="s">
        <v>768</v>
      </c>
      <c r="X455" s="23">
        <v>0</v>
      </c>
    </row>
    <row r="456" spans="1:24" x14ac:dyDescent="0.2">
      <c r="A456" s="2">
        <v>1705053</v>
      </c>
      <c r="B456" s="6">
        <v>42875.594417708337</v>
      </c>
      <c r="C456" s="6">
        <v>42898.709167013891</v>
      </c>
      <c r="D456" s="6">
        <v>42898</v>
      </c>
      <c r="E456" s="6">
        <v>42898.710065624997</v>
      </c>
      <c r="F456" s="2" t="s">
        <v>26</v>
      </c>
      <c r="G456" s="2" t="s">
        <v>26</v>
      </c>
      <c r="H456" s="2" t="s">
        <v>26</v>
      </c>
      <c r="I456" s="2" t="s">
        <v>26</v>
      </c>
      <c r="J456" s="2" t="s">
        <v>26</v>
      </c>
      <c r="K456" s="2" t="s">
        <v>8</v>
      </c>
      <c r="L456" s="2" t="s">
        <v>981</v>
      </c>
      <c r="M456" s="2" t="s">
        <v>45</v>
      </c>
      <c r="N456" s="2" t="s">
        <v>1286</v>
      </c>
      <c r="O456" s="2" t="s">
        <v>47</v>
      </c>
      <c r="P456" s="5">
        <v>858373383</v>
      </c>
      <c r="R456" s="2" t="s">
        <v>1287</v>
      </c>
      <c r="S456" s="2" t="s">
        <v>243</v>
      </c>
      <c r="T456" s="2" t="s">
        <v>1288</v>
      </c>
      <c r="U456" s="2">
        <v>2015</v>
      </c>
      <c r="V456" s="6">
        <v>43081</v>
      </c>
      <c r="W456" s="3" t="s">
        <v>1289</v>
      </c>
      <c r="X456" s="23">
        <v>2922.25</v>
      </c>
    </row>
    <row r="457" spans="1:24" x14ac:dyDescent="0.2">
      <c r="A457" s="2">
        <v>1705054</v>
      </c>
      <c r="B457" s="6">
        <v>42877.616118055557</v>
      </c>
      <c r="C457" s="6">
        <v>42903.699123495368</v>
      </c>
      <c r="D457" s="6">
        <v>42914</v>
      </c>
      <c r="E457" s="6">
        <v>42924.698538078701</v>
      </c>
      <c r="F457" s="2" t="s">
        <v>26</v>
      </c>
      <c r="G457" s="2" t="s">
        <v>26</v>
      </c>
      <c r="H457" s="2" t="s">
        <v>26</v>
      </c>
      <c r="I457" s="2" t="s">
        <v>26</v>
      </c>
      <c r="J457" s="2" t="s">
        <v>26</v>
      </c>
      <c r="K457" s="2" t="s">
        <v>8</v>
      </c>
      <c r="L457" s="2" t="s">
        <v>27</v>
      </c>
      <c r="M457" s="2" t="s">
        <v>118</v>
      </c>
      <c r="N457" s="2" t="s">
        <v>1290</v>
      </c>
      <c r="O457" s="2" t="s">
        <v>41</v>
      </c>
      <c r="P457" s="5">
        <v>865577611</v>
      </c>
      <c r="R457" s="2" t="s">
        <v>1291</v>
      </c>
      <c r="S457" s="2" t="s">
        <v>55</v>
      </c>
      <c r="T457" s="2" t="s">
        <v>56</v>
      </c>
      <c r="U457" s="2">
        <v>2011</v>
      </c>
      <c r="V457" s="6" t="s">
        <v>72</v>
      </c>
      <c r="X457" s="23">
        <v>0</v>
      </c>
    </row>
    <row r="458" spans="1:24" x14ac:dyDescent="0.2">
      <c r="A458" s="2">
        <v>1705055</v>
      </c>
      <c r="B458" s="6">
        <v>42877.702700578702</v>
      </c>
      <c r="C458" s="6">
        <v>42891.573571759262</v>
      </c>
      <c r="D458" s="6">
        <v>42894</v>
      </c>
      <c r="E458" s="6">
        <v>42896.743391435186</v>
      </c>
      <c r="F458" s="2" t="s">
        <v>26</v>
      </c>
      <c r="G458" s="2" t="s">
        <v>26</v>
      </c>
      <c r="H458" s="2" t="s">
        <v>26</v>
      </c>
      <c r="I458" s="2" t="s">
        <v>26</v>
      </c>
      <c r="J458" s="2" t="s">
        <v>26</v>
      </c>
      <c r="K458" s="2" t="s">
        <v>8</v>
      </c>
      <c r="L458" s="2" t="s">
        <v>34</v>
      </c>
      <c r="M458" s="2" t="s">
        <v>88</v>
      </c>
      <c r="N458" s="2" t="s">
        <v>1292</v>
      </c>
      <c r="O458" s="2" t="s">
        <v>128</v>
      </c>
      <c r="P458" s="5">
        <v>631058622</v>
      </c>
      <c r="Q458" s="5">
        <v>929502459</v>
      </c>
      <c r="R458" s="2" t="s">
        <v>1293</v>
      </c>
      <c r="S458" s="2" t="s">
        <v>49</v>
      </c>
      <c r="T458" s="2" t="s">
        <v>111</v>
      </c>
      <c r="U458" s="2">
        <v>2010</v>
      </c>
      <c r="V458" s="6">
        <v>43015</v>
      </c>
      <c r="W458" s="3" t="s">
        <v>143</v>
      </c>
    </row>
    <row r="459" spans="1:24" x14ac:dyDescent="0.2">
      <c r="A459" s="2">
        <v>1705056</v>
      </c>
      <c r="B459" s="6">
        <v>42878.689765856485</v>
      </c>
      <c r="E459" s="6">
        <v>42938.055243750001</v>
      </c>
      <c r="F459" s="2" t="s">
        <v>26</v>
      </c>
      <c r="G459" s="2" t="s">
        <v>26</v>
      </c>
      <c r="H459" s="2" t="s">
        <v>26</v>
      </c>
      <c r="I459" s="2" t="s">
        <v>26</v>
      </c>
      <c r="J459" s="2" t="s">
        <v>26</v>
      </c>
      <c r="K459" s="2" t="s">
        <v>8</v>
      </c>
      <c r="L459" s="2" t="s">
        <v>981</v>
      </c>
      <c r="M459" s="2" t="s">
        <v>28</v>
      </c>
      <c r="N459" s="2" t="s">
        <v>1294</v>
      </c>
      <c r="O459" s="2" t="s">
        <v>128</v>
      </c>
      <c r="P459" s="5">
        <v>628430270</v>
      </c>
      <c r="R459" s="2" t="s">
        <v>1295</v>
      </c>
      <c r="S459" s="2" t="s">
        <v>49</v>
      </c>
      <c r="T459" s="2" t="s">
        <v>111</v>
      </c>
      <c r="U459" s="2">
        <v>2004</v>
      </c>
      <c r="V459" s="6">
        <v>43002</v>
      </c>
      <c r="W459" s="3" t="s">
        <v>1296</v>
      </c>
      <c r="X459" s="23">
        <v>3300</v>
      </c>
    </row>
    <row r="460" spans="1:24" x14ac:dyDescent="0.2">
      <c r="A460" s="2">
        <v>1705057</v>
      </c>
      <c r="B460" s="6">
        <v>42881.476996064812</v>
      </c>
      <c r="C460" s="6">
        <v>42947.609288657404</v>
      </c>
      <c r="D460" s="6">
        <v>42957</v>
      </c>
      <c r="E460" s="6">
        <v>42958</v>
      </c>
      <c r="F460" s="2" t="s">
        <v>26</v>
      </c>
      <c r="G460" s="2" t="s">
        <v>26</v>
      </c>
      <c r="H460" s="2" t="s">
        <v>26</v>
      </c>
      <c r="I460" s="2" t="s">
        <v>26</v>
      </c>
      <c r="J460" s="2" t="s">
        <v>26</v>
      </c>
      <c r="K460" s="2" t="s">
        <v>8</v>
      </c>
      <c r="L460" s="2" t="s">
        <v>981</v>
      </c>
      <c r="M460" s="2" t="s">
        <v>66</v>
      </c>
      <c r="N460" s="2" t="s">
        <v>1297</v>
      </c>
      <c r="O460" s="2" t="s">
        <v>181</v>
      </c>
      <c r="P460" s="5">
        <v>810020122</v>
      </c>
      <c r="R460" s="2" t="s">
        <v>1298</v>
      </c>
      <c r="S460" s="2" t="s">
        <v>49</v>
      </c>
      <c r="T460" s="2" t="s">
        <v>79</v>
      </c>
      <c r="U460" s="2">
        <v>2013</v>
      </c>
      <c r="V460" s="6">
        <v>43010</v>
      </c>
      <c r="W460" s="3" t="s">
        <v>1299</v>
      </c>
      <c r="X460" s="23">
        <v>13509.34</v>
      </c>
    </row>
    <row r="461" spans="1:24" x14ac:dyDescent="0.2">
      <c r="A461" s="2">
        <v>1705058</v>
      </c>
      <c r="B461" s="6">
        <v>42881.646654398151</v>
      </c>
      <c r="C461" s="6">
        <v>42902.554199652775</v>
      </c>
      <c r="D461" s="6">
        <v>42910</v>
      </c>
      <c r="E461" s="6">
        <v>42908.710754050924</v>
      </c>
      <c r="F461" s="2" t="s">
        <v>26</v>
      </c>
      <c r="G461" s="2" t="s">
        <v>26</v>
      </c>
      <c r="H461" s="2" t="s">
        <v>26</v>
      </c>
      <c r="I461" s="2" t="s">
        <v>26</v>
      </c>
      <c r="J461" s="2" t="s">
        <v>26</v>
      </c>
      <c r="K461" s="2" t="s">
        <v>8</v>
      </c>
      <c r="L461" s="2" t="s">
        <v>981</v>
      </c>
      <c r="M461" s="2" t="s">
        <v>45</v>
      </c>
      <c r="N461" s="2" t="s">
        <v>1300</v>
      </c>
      <c r="O461" s="2" t="s">
        <v>128</v>
      </c>
      <c r="P461" s="5">
        <v>815638323</v>
      </c>
      <c r="R461" s="2" t="s">
        <v>1301</v>
      </c>
      <c r="S461" s="2" t="s">
        <v>49</v>
      </c>
      <c r="T461" s="2" t="s">
        <v>50</v>
      </c>
      <c r="U461" s="2">
        <v>2010</v>
      </c>
      <c r="V461" s="6">
        <v>42868</v>
      </c>
      <c r="W461" s="3" t="s">
        <v>1289</v>
      </c>
      <c r="X461" s="23">
        <v>4180</v>
      </c>
    </row>
    <row r="462" spans="1:24" x14ac:dyDescent="0.2">
      <c r="A462" s="2">
        <v>1705059</v>
      </c>
      <c r="B462" s="6">
        <v>42882.398649421295</v>
      </c>
      <c r="C462" s="6">
        <v>42882.401189699071</v>
      </c>
      <c r="D462" s="6">
        <v>42894</v>
      </c>
      <c r="E462" s="6">
        <v>42896.425893749998</v>
      </c>
      <c r="F462" s="2" t="s">
        <v>26</v>
      </c>
      <c r="G462" s="2" t="s">
        <v>26</v>
      </c>
      <c r="H462" s="2" t="s">
        <v>26</v>
      </c>
      <c r="I462" s="2" t="s">
        <v>26</v>
      </c>
      <c r="J462" s="2" t="s">
        <v>26</v>
      </c>
      <c r="K462" s="2" t="s">
        <v>8</v>
      </c>
      <c r="L462" s="2" t="s">
        <v>34</v>
      </c>
      <c r="M462" s="2" t="s">
        <v>295</v>
      </c>
      <c r="N462" s="2" t="s">
        <v>1302</v>
      </c>
      <c r="O462" s="2" t="s">
        <v>47</v>
      </c>
      <c r="P462" s="5">
        <v>812861394</v>
      </c>
      <c r="R462" s="2" t="s">
        <v>1303</v>
      </c>
      <c r="S462" s="2" t="s">
        <v>31</v>
      </c>
      <c r="T462" s="2" t="s">
        <v>283</v>
      </c>
      <c r="U462" s="2">
        <v>2007</v>
      </c>
      <c r="V462" s="6">
        <v>42876</v>
      </c>
      <c r="W462" s="3" t="s">
        <v>194</v>
      </c>
      <c r="X462" s="23">
        <v>9400</v>
      </c>
    </row>
    <row r="463" spans="1:24" x14ac:dyDescent="0.2">
      <c r="A463" s="2">
        <v>1705060</v>
      </c>
      <c r="B463" s="6">
        <v>42882.556328587962</v>
      </c>
      <c r="C463" s="6">
        <v>42896.75433773148</v>
      </c>
      <c r="D463" s="6">
        <v>42908</v>
      </c>
      <c r="E463" s="6">
        <v>42908.410480208331</v>
      </c>
      <c r="F463" s="2" t="s">
        <v>26</v>
      </c>
      <c r="G463" s="2" t="s">
        <v>26</v>
      </c>
      <c r="H463" s="2" t="s">
        <v>26</v>
      </c>
      <c r="I463" s="2" t="s">
        <v>26</v>
      </c>
      <c r="J463" s="2" t="s">
        <v>26</v>
      </c>
      <c r="K463" s="2" t="s">
        <v>8</v>
      </c>
      <c r="L463" s="2" t="s">
        <v>27</v>
      </c>
      <c r="M463" s="2" t="s">
        <v>66</v>
      </c>
      <c r="N463" s="2" t="s">
        <v>1304</v>
      </c>
      <c r="O463" s="2" t="s">
        <v>1305</v>
      </c>
      <c r="P463" s="5">
        <v>819073252</v>
      </c>
      <c r="Q463" s="5">
        <v>893008389</v>
      </c>
      <c r="R463" s="2" t="s">
        <v>1306</v>
      </c>
      <c r="S463" s="2" t="s">
        <v>49</v>
      </c>
      <c r="T463" s="2" t="s">
        <v>111</v>
      </c>
      <c r="U463" s="2">
        <v>2009</v>
      </c>
      <c r="V463" s="6">
        <v>43023</v>
      </c>
      <c r="W463" s="3" t="s">
        <v>457</v>
      </c>
      <c r="X463" s="23">
        <v>11885</v>
      </c>
    </row>
    <row r="464" spans="1:24" x14ac:dyDescent="0.2">
      <c r="A464" s="2">
        <v>1705061</v>
      </c>
      <c r="B464" s="6">
        <v>42882.560107175923</v>
      </c>
      <c r="C464" s="6">
        <v>42913.6736662037</v>
      </c>
      <c r="D464" s="6" t="s">
        <v>1512</v>
      </c>
      <c r="E464" s="6">
        <v>42921.718329050927</v>
      </c>
      <c r="F464" s="2" t="s">
        <v>26</v>
      </c>
      <c r="G464" s="2" t="s">
        <v>26</v>
      </c>
      <c r="H464" s="2" t="s">
        <v>26</v>
      </c>
      <c r="I464" s="2" t="s">
        <v>26</v>
      </c>
      <c r="J464" s="2" t="s">
        <v>26</v>
      </c>
      <c r="K464" s="2" t="s">
        <v>8</v>
      </c>
      <c r="L464" s="2" t="s">
        <v>34</v>
      </c>
      <c r="M464" s="2" t="s">
        <v>45</v>
      </c>
      <c r="N464" s="2" t="s">
        <v>1307</v>
      </c>
      <c r="O464" s="2" t="s">
        <v>47</v>
      </c>
      <c r="P464" s="5">
        <v>870235666</v>
      </c>
      <c r="R464" s="2" t="s">
        <v>1308</v>
      </c>
      <c r="S464" s="2" t="s">
        <v>49</v>
      </c>
      <c r="T464" s="2" t="s">
        <v>50</v>
      </c>
      <c r="U464" s="2">
        <v>2013</v>
      </c>
      <c r="V464" s="6">
        <v>43109</v>
      </c>
      <c r="W464" s="3" t="s">
        <v>1309</v>
      </c>
    </row>
    <row r="465" spans="1:24" x14ac:dyDescent="0.2">
      <c r="A465" s="2">
        <v>1705062</v>
      </c>
      <c r="B465" s="6">
        <v>42884.569835995368</v>
      </c>
      <c r="F465" s="2" t="s">
        <v>126</v>
      </c>
      <c r="G465" s="2" t="s">
        <v>126</v>
      </c>
      <c r="H465" s="2" t="s">
        <v>126</v>
      </c>
      <c r="I465" s="2" t="s">
        <v>126</v>
      </c>
      <c r="J465" s="2" t="s">
        <v>126</v>
      </c>
      <c r="K465" s="2" t="s">
        <v>8</v>
      </c>
      <c r="L465" s="2" t="s">
        <v>27</v>
      </c>
      <c r="M465" s="2" t="s">
        <v>45</v>
      </c>
      <c r="N465" s="2" t="s">
        <v>1310</v>
      </c>
      <c r="O465" s="2" t="s">
        <v>128</v>
      </c>
      <c r="P465" s="5">
        <v>891143876</v>
      </c>
      <c r="R465" s="2" t="s">
        <v>1311</v>
      </c>
      <c r="S465" s="2" t="s">
        <v>55</v>
      </c>
      <c r="T465" s="2" t="s">
        <v>1312</v>
      </c>
      <c r="U465" s="2">
        <v>2014</v>
      </c>
      <c r="V465" s="6">
        <v>42881</v>
      </c>
      <c r="W465" s="3" t="s">
        <v>1018</v>
      </c>
      <c r="X465" s="23">
        <v>0</v>
      </c>
    </row>
    <row r="466" spans="1:24" x14ac:dyDescent="0.2">
      <c r="A466" s="2">
        <v>1705063</v>
      </c>
      <c r="B466" s="6">
        <v>42885.444906249999</v>
      </c>
      <c r="C466" s="6">
        <v>42930.583979282404</v>
      </c>
      <c r="D466" s="6">
        <v>42941</v>
      </c>
      <c r="E466" s="6">
        <v>42945</v>
      </c>
      <c r="F466" s="2" t="s">
        <v>26</v>
      </c>
      <c r="G466" s="2" t="s">
        <v>26</v>
      </c>
      <c r="H466" s="2" t="s">
        <v>26</v>
      </c>
      <c r="I466" s="2" t="s">
        <v>26</v>
      </c>
      <c r="J466" s="2" t="s">
        <v>26</v>
      </c>
      <c r="K466" s="2" t="s">
        <v>8</v>
      </c>
      <c r="L466" s="2" t="s">
        <v>34</v>
      </c>
      <c r="M466" s="2" t="s">
        <v>118</v>
      </c>
      <c r="N466" s="2" t="s">
        <v>1313</v>
      </c>
      <c r="O466" s="2" t="s">
        <v>128</v>
      </c>
      <c r="P466" s="5">
        <v>888697015</v>
      </c>
      <c r="R466" s="2" t="s">
        <v>1314</v>
      </c>
      <c r="S466" s="2" t="s">
        <v>70</v>
      </c>
      <c r="T466" s="2" t="s">
        <v>317</v>
      </c>
      <c r="U466" s="2">
        <v>2011</v>
      </c>
      <c r="V466" s="6">
        <v>42818</v>
      </c>
      <c r="W466" s="3" t="s">
        <v>1315</v>
      </c>
      <c r="X466" s="23">
        <v>14806</v>
      </c>
    </row>
    <row r="467" spans="1:24" x14ac:dyDescent="0.2">
      <c r="A467" s="2">
        <v>1706001</v>
      </c>
      <c r="B467" s="6">
        <v>42887.556055555557</v>
      </c>
      <c r="C467" s="6">
        <v>42906.59334861111</v>
      </c>
      <c r="D467" s="6">
        <v>42915</v>
      </c>
      <c r="E467" s="6">
        <v>42906.625832986108</v>
      </c>
      <c r="F467" s="2" t="s">
        <v>26</v>
      </c>
      <c r="G467" s="2" t="s">
        <v>26</v>
      </c>
      <c r="H467" s="2" t="s">
        <v>26</v>
      </c>
      <c r="I467" s="2" t="s">
        <v>26</v>
      </c>
      <c r="J467" s="2" t="s">
        <v>26</v>
      </c>
      <c r="K467" s="2" t="s">
        <v>8</v>
      </c>
      <c r="L467" s="2" t="s">
        <v>981</v>
      </c>
      <c r="M467" s="2" t="s">
        <v>28</v>
      </c>
      <c r="N467" s="2" t="s">
        <v>1346</v>
      </c>
      <c r="O467" s="2" t="s">
        <v>47</v>
      </c>
      <c r="P467" s="5">
        <v>847279129</v>
      </c>
      <c r="Q467" s="5">
        <v>820790360</v>
      </c>
      <c r="R467" s="2" t="s">
        <v>1347</v>
      </c>
      <c r="S467" s="2" t="s">
        <v>49</v>
      </c>
      <c r="T467" s="2" t="s">
        <v>79</v>
      </c>
      <c r="U467" s="2">
        <v>2012</v>
      </c>
      <c r="V467" s="6" t="s">
        <v>72</v>
      </c>
      <c r="X467" s="23">
        <v>0</v>
      </c>
    </row>
    <row r="468" spans="1:24" x14ac:dyDescent="0.2">
      <c r="A468" s="2">
        <v>1706002</v>
      </c>
      <c r="B468" s="6">
        <v>42887.567009606479</v>
      </c>
      <c r="C468" s="6">
        <v>42922.440946527779</v>
      </c>
      <c r="D468" s="6">
        <v>42930</v>
      </c>
      <c r="E468" s="6">
        <v>42935.362057523147</v>
      </c>
      <c r="F468" s="2" t="s">
        <v>26</v>
      </c>
      <c r="G468" s="2" t="s">
        <v>26</v>
      </c>
      <c r="H468" s="2" t="s">
        <v>26</v>
      </c>
      <c r="I468" s="2" t="s">
        <v>26</v>
      </c>
      <c r="J468" s="2" t="s">
        <v>26</v>
      </c>
      <c r="K468" s="2" t="s">
        <v>8</v>
      </c>
      <c r="L468" s="2" t="s">
        <v>34</v>
      </c>
      <c r="M468" s="2" t="s">
        <v>28</v>
      </c>
      <c r="N468" s="2" t="s">
        <v>1348</v>
      </c>
      <c r="O468" s="2" t="s">
        <v>47</v>
      </c>
      <c r="P468" s="5">
        <v>890186482</v>
      </c>
      <c r="R468" s="2" t="s">
        <v>1349</v>
      </c>
      <c r="S468" s="2" t="s">
        <v>37</v>
      </c>
      <c r="T468" s="2" t="s">
        <v>354</v>
      </c>
      <c r="U468" s="2">
        <v>2002</v>
      </c>
      <c r="V468" s="6">
        <v>43036</v>
      </c>
      <c r="W468" s="3" t="s">
        <v>1350</v>
      </c>
      <c r="X468" s="23">
        <v>10800</v>
      </c>
    </row>
    <row r="469" spans="1:24" x14ac:dyDescent="0.2">
      <c r="A469" s="2">
        <v>1706003</v>
      </c>
      <c r="B469" s="6">
        <v>42887.570138310184</v>
      </c>
      <c r="F469" s="2" t="s">
        <v>126</v>
      </c>
      <c r="G469" s="2" t="s">
        <v>126</v>
      </c>
      <c r="H469" s="2" t="s">
        <v>126</v>
      </c>
      <c r="I469" s="2" t="s">
        <v>126</v>
      </c>
      <c r="J469" s="2" t="s">
        <v>126</v>
      </c>
      <c r="K469" s="2" t="s">
        <v>8</v>
      </c>
      <c r="L469" s="2" t="s">
        <v>981</v>
      </c>
      <c r="M469" s="2" t="s">
        <v>28</v>
      </c>
      <c r="N469" s="2" t="s">
        <v>1351</v>
      </c>
      <c r="O469" s="2" t="s">
        <v>128</v>
      </c>
      <c r="P469" s="5">
        <v>980162267</v>
      </c>
      <c r="R469" s="2" t="s">
        <v>1352</v>
      </c>
      <c r="S469" s="2" t="s">
        <v>70</v>
      </c>
      <c r="T469" s="2" t="s">
        <v>193</v>
      </c>
      <c r="U469" s="2">
        <v>2016</v>
      </c>
      <c r="V469" s="6" t="s">
        <v>72</v>
      </c>
      <c r="X469" s="23">
        <v>6092</v>
      </c>
    </row>
    <row r="470" spans="1:24" x14ac:dyDescent="0.2">
      <c r="A470" s="2">
        <v>1706004</v>
      </c>
      <c r="B470" s="6">
        <v>42888.62268252315</v>
      </c>
      <c r="C470" s="6">
        <v>42929.461068055556</v>
      </c>
      <c r="D470" s="6">
        <v>42929</v>
      </c>
      <c r="E470" s="6">
        <v>42935.361128356482</v>
      </c>
      <c r="F470" s="2" t="s">
        <v>26</v>
      </c>
      <c r="G470" s="2" t="s">
        <v>26</v>
      </c>
      <c r="H470" s="2" t="s">
        <v>26</v>
      </c>
      <c r="I470" s="2" t="s">
        <v>26</v>
      </c>
      <c r="J470" s="2" t="s">
        <v>26</v>
      </c>
      <c r="K470" s="2" t="s">
        <v>8</v>
      </c>
      <c r="L470" s="2" t="s">
        <v>981</v>
      </c>
      <c r="M470" s="2" t="s">
        <v>28</v>
      </c>
      <c r="N470" s="2" t="s">
        <v>1353</v>
      </c>
      <c r="O470" s="2" t="s">
        <v>47</v>
      </c>
      <c r="P470" s="5">
        <v>879949954</v>
      </c>
      <c r="R470" s="2" t="s">
        <v>1354</v>
      </c>
      <c r="S470" s="2" t="s">
        <v>64</v>
      </c>
      <c r="T470" s="2" t="s">
        <v>445</v>
      </c>
      <c r="U470" s="2">
        <v>2015</v>
      </c>
      <c r="V470" s="6">
        <v>42920</v>
      </c>
      <c r="W470" s="3" t="s">
        <v>509</v>
      </c>
      <c r="X470" s="23">
        <v>5400</v>
      </c>
    </row>
    <row r="471" spans="1:24" x14ac:dyDescent="0.2">
      <c r="A471" s="2">
        <v>1706005</v>
      </c>
      <c r="B471" s="6">
        <v>42888.624483680556</v>
      </c>
      <c r="F471" s="2" t="s">
        <v>126</v>
      </c>
      <c r="G471" s="2" t="s">
        <v>126</v>
      </c>
      <c r="H471" s="2" t="s">
        <v>126</v>
      </c>
      <c r="I471" s="2" t="s">
        <v>126</v>
      </c>
      <c r="J471" s="2" t="s">
        <v>126</v>
      </c>
      <c r="K471" s="2" t="s">
        <v>8</v>
      </c>
      <c r="L471" s="2" t="s">
        <v>34</v>
      </c>
      <c r="M471" s="2" t="s">
        <v>295</v>
      </c>
      <c r="N471" s="2" t="s">
        <v>1355</v>
      </c>
      <c r="O471" s="2" t="s">
        <v>208</v>
      </c>
      <c r="P471" s="5">
        <v>860656164</v>
      </c>
      <c r="R471" s="2" t="s">
        <v>1356</v>
      </c>
      <c r="S471" s="2" t="s">
        <v>37</v>
      </c>
      <c r="T471" s="2" t="s">
        <v>102</v>
      </c>
      <c r="U471" s="2">
        <v>2012</v>
      </c>
      <c r="V471" s="6">
        <v>42931</v>
      </c>
      <c r="W471" s="3" t="s">
        <v>405</v>
      </c>
      <c r="X471" s="23">
        <v>23000</v>
      </c>
    </row>
    <row r="472" spans="1:24" x14ac:dyDescent="0.2">
      <c r="A472" s="2">
        <v>1706006</v>
      </c>
      <c r="B472" s="6">
        <v>42888.627407523149</v>
      </c>
      <c r="C472" s="6">
        <v>42888.629254282409</v>
      </c>
      <c r="D472" s="6">
        <v>42910</v>
      </c>
      <c r="E472" s="6">
        <v>42923.631094675926</v>
      </c>
      <c r="F472" s="2" t="s">
        <v>26</v>
      </c>
      <c r="G472" s="2" t="s">
        <v>26</v>
      </c>
      <c r="H472" s="2" t="s">
        <v>26</v>
      </c>
      <c r="I472" s="2" t="s">
        <v>26</v>
      </c>
      <c r="J472" s="2" t="s">
        <v>26</v>
      </c>
      <c r="K472" s="2" t="s">
        <v>8</v>
      </c>
      <c r="L472" s="2" t="s">
        <v>73</v>
      </c>
      <c r="M472" s="2" t="s">
        <v>28</v>
      </c>
      <c r="N472" s="2" t="s">
        <v>1357</v>
      </c>
      <c r="O472" s="2" t="s">
        <v>520</v>
      </c>
      <c r="P472" s="5">
        <v>896699232</v>
      </c>
      <c r="R472" s="2" t="s">
        <v>1358</v>
      </c>
      <c r="S472" s="2" t="s">
        <v>37</v>
      </c>
      <c r="T472" s="2" t="s">
        <v>102</v>
      </c>
      <c r="U472" s="2">
        <v>2012</v>
      </c>
      <c r="V472" s="6">
        <v>43151</v>
      </c>
      <c r="W472" s="3" t="s">
        <v>342</v>
      </c>
      <c r="X472" s="23">
        <v>1747.66</v>
      </c>
    </row>
    <row r="473" spans="1:24" x14ac:dyDescent="0.2">
      <c r="A473" s="2">
        <v>1706007</v>
      </c>
      <c r="B473" s="6">
        <v>42888.735675115742</v>
      </c>
      <c r="C473" s="6">
        <v>42912.43513726852</v>
      </c>
      <c r="D473" s="6">
        <v>42887</v>
      </c>
      <c r="E473" s="6">
        <v>42921.662118055552</v>
      </c>
      <c r="F473" s="2" t="s">
        <v>26</v>
      </c>
      <c r="G473" s="2" t="s">
        <v>26</v>
      </c>
      <c r="H473" s="2" t="s">
        <v>26</v>
      </c>
      <c r="I473" s="2" t="s">
        <v>26</v>
      </c>
      <c r="J473" s="2" t="s">
        <v>26</v>
      </c>
      <c r="K473" s="2" t="s">
        <v>8</v>
      </c>
      <c r="L473" s="2" t="s">
        <v>27</v>
      </c>
      <c r="M473" s="2" t="s">
        <v>45</v>
      </c>
      <c r="N473" s="2" t="s">
        <v>1359</v>
      </c>
      <c r="O473" s="2" t="s">
        <v>47</v>
      </c>
      <c r="P473" s="5">
        <v>819851847</v>
      </c>
      <c r="R473" s="2" t="s">
        <v>1360</v>
      </c>
      <c r="S473" s="2" t="s">
        <v>49</v>
      </c>
      <c r="T473" s="2" t="s">
        <v>79</v>
      </c>
      <c r="U473" s="2">
        <v>2014</v>
      </c>
      <c r="V473" s="6">
        <v>43160</v>
      </c>
      <c r="W473" s="3" t="s">
        <v>106</v>
      </c>
      <c r="X473" s="23">
        <v>0</v>
      </c>
    </row>
    <row r="474" spans="1:24" x14ac:dyDescent="0.2">
      <c r="A474" s="2">
        <v>1706008</v>
      </c>
      <c r="B474" s="6">
        <v>42891.41850428241</v>
      </c>
      <c r="C474" s="6">
        <v>42912.432711921298</v>
      </c>
      <c r="D474" s="6">
        <v>42924</v>
      </c>
      <c r="E474" s="6">
        <v>42927.484991898149</v>
      </c>
      <c r="F474" s="2" t="s">
        <v>26</v>
      </c>
      <c r="G474" s="2" t="s">
        <v>26</v>
      </c>
      <c r="H474" s="2" t="s">
        <v>26</v>
      </c>
      <c r="I474" s="2" t="s">
        <v>26</v>
      </c>
      <c r="J474" s="2" t="s">
        <v>26</v>
      </c>
      <c r="K474" s="2" t="s">
        <v>8</v>
      </c>
      <c r="L474" s="2" t="s">
        <v>27</v>
      </c>
      <c r="M474" s="2" t="s">
        <v>61</v>
      </c>
      <c r="N474" s="2" t="s">
        <v>1361</v>
      </c>
      <c r="O474" s="2" t="s">
        <v>41</v>
      </c>
      <c r="P474" s="5">
        <v>812983932</v>
      </c>
      <c r="R474" s="2" t="s">
        <v>1362</v>
      </c>
      <c r="S474" s="2" t="s">
        <v>64</v>
      </c>
      <c r="T474" s="2">
        <v>2</v>
      </c>
      <c r="U474" s="2">
        <v>2012</v>
      </c>
      <c r="V474" s="6">
        <v>43069</v>
      </c>
      <c r="W474" s="3" t="s">
        <v>106</v>
      </c>
      <c r="X474" s="23">
        <v>300</v>
      </c>
    </row>
    <row r="475" spans="1:24" x14ac:dyDescent="0.2">
      <c r="A475" s="2">
        <v>1706009</v>
      </c>
      <c r="B475" s="6">
        <v>42891.420237384256</v>
      </c>
      <c r="F475" s="2" t="s">
        <v>126</v>
      </c>
      <c r="G475" s="2" t="s">
        <v>126</v>
      </c>
      <c r="H475" s="2" t="s">
        <v>126</v>
      </c>
      <c r="I475" s="2" t="s">
        <v>126</v>
      </c>
      <c r="J475" s="2" t="s">
        <v>126</v>
      </c>
      <c r="K475" s="2" t="s">
        <v>8</v>
      </c>
      <c r="L475" s="2" t="s">
        <v>34</v>
      </c>
      <c r="M475" s="2" t="s">
        <v>66</v>
      </c>
      <c r="N475" s="2" t="s">
        <v>1363</v>
      </c>
      <c r="O475" s="2" t="s">
        <v>128</v>
      </c>
      <c r="P475" s="5">
        <v>945471127</v>
      </c>
      <c r="R475" s="2" t="s">
        <v>1364</v>
      </c>
      <c r="S475" s="2" t="s">
        <v>49</v>
      </c>
      <c r="T475" s="2" t="s">
        <v>79</v>
      </c>
      <c r="U475" s="2">
        <v>2009</v>
      </c>
      <c r="V475" s="6">
        <v>43025</v>
      </c>
      <c r="W475" s="3" t="s">
        <v>457</v>
      </c>
      <c r="X475" s="23">
        <v>0</v>
      </c>
    </row>
    <row r="476" spans="1:24" x14ac:dyDescent="0.2">
      <c r="A476" s="2">
        <v>1706010</v>
      </c>
      <c r="B476" s="6">
        <v>42891.424277662038</v>
      </c>
      <c r="C476" s="6">
        <v>42938.574116782409</v>
      </c>
      <c r="D476" s="6">
        <v>42943</v>
      </c>
      <c r="E476" s="6">
        <v>42945</v>
      </c>
      <c r="F476" s="2" t="s">
        <v>26</v>
      </c>
      <c r="G476" s="2" t="s">
        <v>26</v>
      </c>
      <c r="H476" s="2" t="s">
        <v>26</v>
      </c>
      <c r="I476" s="2" t="s">
        <v>26</v>
      </c>
      <c r="J476" s="2" t="s">
        <v>26</v>
      </c>
      <c r="K476" s="2" t="s">
        <v>8</v>
      </c>
      <c r="L476" s="2" t="s">
        <v>34</v>
      </c>
      <c r="M476" s="2" t="s">
        <v>45</v>
      </c>
      <c r="N476" s="2" t="s">
        <v>1365</v>
      </c>
      <c r="O476" s="2" t="s">
        <v>239</v>
      </c>
      <c r="P476" s="5">
        <v>817999801</v>
      </c>
      <c r="Q476" s="5">
        <v>927023995</v>
      </c>
      <c r="R476" s="2" t="s">
        <v>1366</v>
      </c>
      <c r="S476" s="2" t="s">
        <v>49</v>
      </c>
      <c r="T476" s="2" t="s">
        <v>178</v>
      </c>
      <c r="V476" s="6" t="s">
        <v>72</v>
      </c>
      <c r="X476" s="23">
        <v>5360</v>
      </c>
    </row>
    <row r="477" spans="1:24" x14ac:dyDescent="0.2">
      <c r="A477" s="2">
        <v>1706011</v>
      </c>
      <c r="B477" s="6">
        <v>42891.427984027781</v>
      </c>
      <c r="E477" s="6">
        <v>42913.671198032411</v>
      </c>
      <c r="F477" s="2" t="s">
        <v>26</v>
      </c>
      <c r="G477" s="2" t="s">
        <v>26</v>
      </c>
      <c r="H477" s="2" t="s">
        <v>26</v>
      </c>
      <c r="I477" s="2" t="s">
        <v>26</v>
      </c>
      <c r="J477" s="2" t="s">
        <v>26</v>
      </c>
      <c r="K477" s="2" t="s">
        <v>8</v>
      </c>
      <c r="L477" s="2" t="s">
        <v>73</v>
      </c>
      <c r="M477" s="2" t="s">
        <v>28</v>
      </c>
      <c r="N477" s="2" t="s">
        <v>1367</v>
      </c>
      <c r="P477" s="5">
        <v>892683040</v>
      </c>
      <c r="R477" s="2" t="s">
        <v>1368</v>
      </c>
      <c r="S477" s="2" t="s">
        <v>64</v>
      </c>
      <c r="T477" s="2">
        <v>3</v>
      </c>
      <c r="X477" s="23">
        <v>2500</v>
      </c>
    </row>
    <row r="478" spans="1:24" x14ac:dyDescent="0.2">
      <c r="A478" s="2">
        <v>1706012</v>
      </c>
      <c r="B478" s="6">
        <v>42891.566648032407</v>
      </c>
      <c r="C478" s="6">
        <v>42928.43635520833</v>
      </c>
      <c r="D478" s="6">
        <v>42936</v>
      </c>
      <c r="E478" s="6">
        <v>42948</v>
      </c>
      <c r="F478" s="2" t="s">
        <v>26</v>
      </c>
      <c r="G478" s="2" t="s">
        <v>26</v>
      </c>
      <c r="H478" s="2" t="s">
        <v>26</v>
      </c>
      <c r="I478" s="2" t="s">
        <v>26</v>
      </c>
      <c r="J478" s="2" t="s">
        <v>26</v>
      </c>
      <c r="K478" s="2" t="s">
        <v>8</v>
      </c>
      <c r="L478" s="2" t="s">
        <v>27</v>
      </c>
      <c r="M478" s="2" t="s">
        <v>61</v>
      </c>
      <c r="N478" s="2" t="s">
        <v>1369</v>
      </c>
      <c r="P478" s="5">
        <v>874209503</v>
      </c>
      <c r="R478" s="2" t="s">
        <v>1370</v>
      </c>
      <c r="S478" s="2" t="s">
        <v>49</v>
      </c>
      <c r="T478" s="2" t="s">
        <v>79</v>
      </c>
      <c r="U478" s="2">
        <v>2008</v>
      </c>
      <c r="V478" s="6">
        <v>42990</v>
      </c>
      <c r="W478" s="3" t="s">
        <v>226</v>
      </c>
    </row>
    <row r="479" spans="1:24" x14ac:dyDescent="0.2">
      <c r="A479" s="2">
        <v>1706013</v>
      </c>
      <c r="B479" s="6">
        <v>42891.65225590278</v>
      </c>
      <c r="C479" s="6">
        <v>42891.654026273151</v>
      </c>
      <c r="D479" s="6">
        <v>42899</v>
      </c>
      <c r="E479" s="6">
        <v>42901.727004976849</v>
      </c>
      <c r="F479" s="2" t="s">
        <v>26</v>
      </c>
      <c r="G479" s="2" t="s">
        <v>26</v>
      </c>
      <c r="H479" s="2" t="s">
        <v>26</v>
      </c>
      <c r="I479" s="2" t="s">
        <v>26</v>
      </c>
      <c r="J479" s="2" t="s">
        <v>26</v>
      </c>
      <c r="K479" s="2" t="s">
        <v>8</v>
      </c>
      <c r="L479" s="2" t="s">
        <v>27</v>
      </c>
      <c r="M479" s="2" t="s">
        <v>416</v>
      </c>
      <c r="N479" s="2" t="s">
        <v>1371</v>
      </c>
      <c r="O479" s="2" t="s">
        <v>849</v>
      </c>
      <c r="P479" s="5">
        <v>849018439</v>
      </c>
      <c r="R479" s="2" t="s">
        <v>1372</v>
      </c>
      <c r="S479" s="2" t="s">
        <v>49</v>
      </c>
      <c r="T479" s="2" t="s">
        <v>79</v>
      </c>
      <c r="U479" s="2">
        <v>2013</v>
      </c>
      <c r="V479" s="6" t="s">
        <v>72</v>
      </c>
      <c r="X479" s="23">
        <v>25560</v>
      </c>
    </row>
    <row r="480" spans="1:24" x14ac:dyDescent="0.2">
      <c r="A480" s="2">
        <v>1706014</v>
      </c>
      <c r="B480" s="6">
        <v>42892.435457754633</v>
      </c>
      <c r="C480" s="6">
        <v>42913.382002893515</v>
      </c>
      <c r="D480" s="6">
        <v>42913</v>
      </c>
      <c r="E480" s="6">
        <v>42913.674569097224</v>
      </c>
      <c r="F480" s="2" t="s">
        <v>26</v>
      </c>
      <c r="G480" s="2" t="s">
        <v>26</v>
      </c>
      <c r="H480" s="2" t="s">
        <v>26</v>
      </c>
      <c r="I480" s="2" t="s">
        <v>26</v>
      </c>
      <c r="J480" s="2" t="s">
        <v>26</v>
      </c>
      <c r="K480" s="2" t="s">
        <v>8</v>
      </c>
      <c r="L480" s="2" t="s">
        <v>34</v>
      </c>
      <c r="M480" s="2" t="s">
        <v>61</v>
      </c>
      <c r="N480" s="2" t="s">
        <v>1373</v>
      </c>
      <c r="O480" s="2" t="s">
        <v>47</v>
      </c>
      <c r="P480" s="5">
        <v>23828969</v>
      </c>
      <c r="R480" s="2" t="s">
        <v>1374</v>
      </c>
      <c r="S480" s="2" t="s">
        <v>49</v>
      </c>
      <c r="T480" s="2" t="s">
        <v>79</v>
      </c>
      <c r="U480" s="2">
        <v>2006</v>
      </c>
      <c r="V480" s="6">
        <v>43184</v>
      </c>
      <c r="W480" s="3" t="s">
        <v>1375</v>
      </c>
      <c r="X480" s="23">
        <v>5000</v>
      </c>
    </row>
    <row r="481" spans="1:24" x14ac:dyDescent="0.2">
      <c r="A481" s="2">
        <v>1706015</v>
      </c>
      <c r="B481" s="6">
        <v>42892.642840162036</v>
      </c>
      <c r="C481" s="6">
        <v>42913.385134374999</v>
      </c>
      <c r="D481" s="6">
        <v>42921</v>
      </c>
      <c r="E481" s="6" t="s">
        <v>1511</v>
      </c>
      <c r="F481" s="2">
        <v>7.6148656250006752</v>
      </c>
      <c r="G481" s="2" t="s">
        <v>11</v>
      </c>
      <c r="H481" s="2" t="s">
        <v>93</v>
      </c>
      <c r="I481" s="2" t="s">
        <v>94</v>
      </c>
      <c r="J481" s="2" t="s">
        <v>95</v>
      </c>
      <c r="K481" s="2" t="s">
        <v>8</v>
      </c>
      <c r="L481" s="2" t="s">
        <v>27</v>
      </c>
      <c r="M481" s="2" t="s">
        <v>28</v>
      </c>
      <c r="N481" s="2" t="s">
        <v>1376</v>
      </c>
      <c r="O481" s="2" t="s">
        <v>47</v>
      </c>
      <c r="P481" s="5">
        <v>897990629</v>
      </c>
      <c r="R481" s="2" t="s">
        <v>1377</v>
      </c>
      <c r="S481" s="2" t="s">
        <v>55</v>
      </c>
      <c r="T481" s="2" t="s">
        <v>697</v>
      </c>
      <c r="U481" s="2">
        <v>2007</v>
      </c>
      <c r="V481" s="6">
        <v>43035</v>
      </c>
      <c r="W481" s="3" t="s">
        <v>1378</v>
      </c>
      <c r="X481" s="23">
        <v>3000</v>
      </c>
    </row>
    <row r="482" spans="1:24" x14ac:dyDescent="0.2">
      <c r="A482" s="2">
        <v>1706016</v>
      </c>
      <c r="B482" s="6">
        <v>42893.630922800927</v>
      </c>
      <c r="C482" s="6">
        <v>42927.49193113426</v>
      </c>
      <c r="D482" s="6">
        <v>42936</v>
      </c>
      <c r="E482" s="6">
        <v>42938</v>
      </c>
      <c r="F482" s="2" t="s">
        <v>26</v>
      </c>
      <c r="G482" s="2" t="s">
        <v>26</v>
      </c>
      <c r="H482" s="2" t="s">
        <v>26</v>
      </c>
      <c r="I482" s="2" t="s">
        <v>26</v>
      </c>
      <c r="J482" s="2" t="s">
        <v>26</v>
      </c>
      <c r="K482" s="2" t="s">
        <v>8</v>
      </c>
      <c r="L482" s="2" t="s">
        <v>27</v>
      </c>
      <c r="M482" s="2" t="s">
        <v>61</v>
      </c>
      <c r="N482" s="2" t="s">
        <v>1379</v>
      </c>
      <c r="O482" s="2" t="s">
        <v>120</v>
      </c>
      <c r="P482" s="5">
        <v>837556765</v>
      </c>
      <c r="R482" s="2" t="s">
        <v>1380</v>
      </c>
      <c r="S482" s="2" t="s">
        <v>49</v>
      </c>
      <c r="T482" s="2" t="s">
        <v>79</v>
      </c>
      <c r="U482" s="2">
        <v>2012</v>
      </c>
      <c r="V482" s="6">
        <v>43206</v>
      </c>
      <c r="W482" s="3" t="s">
        <v>457</v>
      </c>
      <c r="X482" s="23">
        <v>3937.6</v>
      </c>
    </row>
    <row r="483" spans="1:24" x14ac:dyDescent="0.2">
      <c r="A483" s="2">
        <v>1706017</v>
      </c>
      <c r="B483" s="6">
        <v>42893.634604976854</v>
      </c>
      <c r="C483" s="6">
        <v>42893.64559270833</v>
      </c>
      <c r="D483" s="6">
        <v>42914</v>
      </c>
      <c r="E483" s="6">
        <v>42922.646377893521</v>
      </c>
      <c r="F483" s="2" t="s">
        <v>26</v>
      </c>
      <c r="G483" s="2" t="s">
        <v>26</v>
      </c>
      <c r="H483" s="2" t="s">
        <v>26</v>
      </c>
      <c r="I483" s="2" t="s">
        <v>26</v>
      </c>
      <c r="J483" s="2" t="s">
        <v>26</v>
      </c>
      <c r="K483" s="2" t="s">
        <v>8</v>
      </c>
      <c r="L483" s="2" t="s">
        <v>73</v>
      </c>
      <c r="M483" s="2" t="s">
        <v>66</v>
      </c>
      <c r="N483" s="2" t="s">
        <v>1381</v>
      </c>
      <c r="O483" s="2" t="s">
        <v>68</v>
      </c>
      <c r="P483" s="5">
        <v>997358796</v>
      </c>
      <c r="R483" s="2" t="s">
        <v>1382</v>
      </c>
      <c r="S483" s="2" t="s">
        <v>133</v>
      </c>
      <c r="T483" s="2" t="s">
        <v>1099</v>
      </c>
      <c r="U483" s="2">
        <v>2012</v>
      </c>
      <c r="V483" s="6" t="s">
        <v>72</v>
      </c>
      <c r="X483" s="23">
        <v>0</v>
      </c>
    </row>
    <row r="484" spans="1:24" x14ac:dyDescent="0.2">
      <c r="A484" s="2">
        <v>1706018</v>
      </c>
      <c r="B484" s="6">
        <v>42893.668987268517</v>
      </c>
      <c r="F484" s="2" t="s">
        <v>126</v>
      </c>
      <c r="G484" s="2" t="s">
        <v>126</v>
      </c>
      <c r="H484" s="2" t="s">
        <v>126</v>
      </c>
      <c r="I484" s="2" t="s">
        <v>126</v>
      </c>
      <c r="J484" s="2" t="s">
        <v>126</v>
      </c>
      <c r="K484" s="2" t="s">
        <v>8</v>
      </c>
      <c r="L484" s="2" t="s">
        <v>170</v>
      </c>
      <c r="M484" s="2" t="s">
        <v>61</v>
      </c>
      <c r="N484" s="2" t="s">
        <v>1383</v>
      </c>
      <c r="O484" s="2" t="s">
        <v>657</v>
      </c>
      <c r="P484" s="5">
        <v>623705661</v>
      </c>
      <c r="R484" s="2" t="s">
        <v>1384</v>
      </c>
      <c r="S484" s="2" t="s">
        <v>64</v>
      </c>
      <c r="T484" s="2">
        <v>2</v>
      </c>
      <c r="U484" s="2">
        <v>2013</v>
      </c>
      <c r="V484" s="6">
        <v>43289</v>
      </c>
      <c r="W484" s="3" t="s">
        <v>361</v>
      </c>
      <c r="X484" s="23">
        <v>0</v>
      </c>
    </row>
    <row r="485" spans="1:24" x14ac:dyDescent="0.2">
      <c r="A485" s="2">
        <v>1706019</v>
      </c>
      <c r="B485" s="6">
        <v>42894.402217824078</v>
      </c>
      <c r="C485" s="6">
        <v>42912.505140162037</v>
      </c>
      <c r="D485" s="6">
        <v>42921</v>
      </c>
      <c r="E485" s="6">
        <v>42922.712185648146</v>
      </c>
      <c r="F485" s="2" t="s">
        <v>26</v>
      </c>
      <c r="G485" s="2" t="s">
        <v>26</v>
      </c>
      <c r="H485" s="2" t="s">
        <v>26</v>
      </c>
      <c r="I485" s="2" t="s">
        <v>26</v>
      </c>
      <c r="J485" s="2" t="s">
        <v>26</v>
      </c>
      <c r="K485" s="2" t="s">
        <v>8</v>
      </c>
      <c r="L485" s="2" t="s">
        <v>34</v>
      </c>
      <c r="M485" s="2" t="s">
        <v>28</v>
      </c>
      <c r="N485" s="2" t="s">
        <v>1385</v>
      </c>
      <c r="O485" s="2" t="s">
        <v>114</v>
      </c>
      <c r="P485" s="5">
        <v>909916735</v>
      </c>
      <c r="Q485" s="5">
        <v>923350550</v>
      </c>
      <c r="R485" s="2" t="s">
        <v>1386</v>
      </c>
      <c r="S485" s="2" t="s">
        <v>133</v>
      </c>
      <c r="T485" s="2" t="s">
        <v>1387</v>
      </c>
      <c r="U485" s="2">
        <v>2012</v>
      </c>
      <c r="V485" s="6">
        <v>43031</v>
      </c>
      <c r="W485" s="3" t="s">
        <v>509</v>
      </c>
      <c r="X485" s="23">
        <v>5700</v>
      </c>
    </row>
    <row r="486" spans="1:24" x14ac:dyDescent="0.2">
      <c r="A486" s="2">
        <v>1706020</v>
      </c>
      <c r="B486" s="6">
        <v>42894.569884027776</v>
      </c>
      <c r="C486" s="6">
        <v>42950.659720023148</v>
      </c>
      <c r="D486" s="6">
        <v>42963</v>
      </c>
      <c r="E486" s="6">
        <v>42931</v>
      </c>
      <c r="F486" s="2" t="s">
        <v>26</v>
      </c>
      <c r="G486" s="2" t="s">
        <v>26</v>
      </c>
      <c r="H486" s="2" t="s">
        <v>26</v>
      </c>
      <c r="I486" s="2" t="s">
        <v>26</v>
      </c>
      <c r="J486" s="2" t="s">
        <v>26</v>
      </c>
      <c r="K486" s="2" t="s">
        <v>8</v>
      </c>
      <c r="L486" s="2" t="s">
        <v>27</v>
      </c>
      <c r="M486" s="2" t="s">
        <v>295</v>
      </c>
      <c r="N486" s="2" t="s">
        <v>1388</v>
      </c>
      <c r="O486" s="2" t="s">
        <v>120</v>
      </c>
      <c r="P486" s="5">
        <v>287909040</v>
      </c>
      <c r="R486" s="2" t="s">
        <v>1389</v>
      </c>
      <c r="S486" s="2" t="s">
        <v>31</v>
      </c>
      <c r="T486" s="2" t="s">
        <v>283</v>
      </c>
      <c r="U486" s="2">
        <v>2011</v>
      </c>
      <c r="V486" s="6">
        <v>43106</v>
      </c>
      <c r="W486" s="3" t="s">
        <v>457</v>
      </c>
    </row>
    <row r="487" spans="1:24" x14ac:dyDescent="0.2">
      <c r="A487" s="2">
        <v>1706021</v>
      </c>
      <c r="B487" s="6">
        <v>42894.591602777778</v>
      </c>
      <c r="F487" s="2" t="s">
        <v>126</v>
      </c>
      <c r="G487" s="2" t="s">
        <v>126</v>
      </c>
      <c r="H487" s="2" t="s">
        <v>126</v>
      </c>
      <c r="I487" s="2" t="s">
        <v>126</v>
      </c>
      <c r="J487" s="2" t="s">
        <v>126</v>
      </c>
      <c r="K487" s="2" t="s">
        <v>8</v>
      </c>
      <c r="L487" s="2" t="s">
        <v>981</v>
      </c>
      <c r="M487" s="2" t="s">
        <v>28</v>
      </c>
      <c r="N487" s="2" t="s">
        <v>1390</v>
      </c>
      <c r="O487" s="2" t="s">
        <v>128</v>
      </c>
      <c r="P487" s="5">
        <v>972834165</v>
      </c>
      <c r="R487" s="2" t="s">
        <v>1391</v>
      </c>
      <c r="S487" s="2" t="s">
        <v>49</v>
      </c>
      <c r="T487" s="2" t="s">
        <v>79</v>
      </c>
      <c r="U487" s="2">
        <v>2009</v>
      </c>
      <c r="V487" s="6" t="s">
        <v>72</v>
      </c>
      <c r="X487" s="23">
        <v>1466.1</v>
      </c>
    </row>
    <row r="488" spans="1:24" x14ac:dyDescent="0.2">
      <c r="A488" s="2">
        <v>1706022</v>
      </c>
      <c r="B488" s="6">
        <v>42894.594303587961</v>
      </c>
      <c r="C488" s="6">
        <v>42907.419306597221</v>
      </c>
      <c r="D488" s="6">
        <v>42914</v>
      </c>
      <c r="E488" s="6">
        <v>42922.622983796296</v>
      </c>
      <c r="F488" s="2" t="s">
        <v>26</v>
      </c>
      <c r="G488" s="2" t="s">
        <v>26</v>
      </c>
      <c r="H488" s="2" t="s">
        <v>26</v>
      </c>
      <c r="I488" s="2" t="s">
        <v>26</v>
      </c>
      <c r="J488" s="2" t="s">
        <v>26</v>
      </c>
      <c r="K488" s="2" t="s">
        <v>8</v>
      </c>
      <c r="L488" s="2" t="s">
        <v>27</v>
      </c>
      <c r="M488" s="2" t="s">
        <v>88</v>
      </c>
      <c r="N488" s="2" t="s">
        <v>1392</v>
      </c>
      <c r="O488" s="2" t="s">
        <v>520</v>
      </c>
      <c r="P488" s="5">
        <v>846749102</v>
      </c>
      <c r="R488" s="2" t="s">
        <v>1393</v>
      </c>
      <c r="S488" s="2" t="s">
        <v>49</v>
      </c>
      <c r="T488" s="2" t="s">
        <v>79</v>
      </c>
      <c r="U488" s="2">
        <v>2011</v>
      </c>
      <c r="V488" s="6">
        <v>43243</v>
      </c>
      <c r="W488" s="3" t="s">
        <v>143</v>
      </c>
      <c r="X488" s="23">
        <v>7560</v>
      </c>
    </row>
    <row r="489" spans="1:24" x14ac:dyDescent="0.2">
      <c r="A489" s="2">
        <v>1706023</v>
      </c>
      <c r="B489" s="6">
        <v>42895.372866550926</v>
      </c>
      <c r="F489" s="2" t="s">
        <v>126</v>
      </c>
      <c r="G489" s="2" t="s">
        <v>126</v>
      </c>
      <c r="H489" s="2" t="s">
        <v>126</v>
      </c>
      <c r="I489" s="2" t="s">
        <v>126</v>
      </c>
      <c r="J489" s="2" t="s">
        <v>126</v>
      </c>
      <c r="K489" s="2" t="s">
        <v>8</v>
      </c>
      <c r="L489" s="2" t="s">
        <v>27</v>
      </c>
      <c r="M489" s="2" t="s">
        <v>28</v>
      </c>
      <c r="N489" s="2" t="s">
        <v>1394</v>
      </c>
      <c r="O489" s="2" t="s">
        <v>68</v>
      </c>
      <c r="P489" s="5">
        <v>875623895</v>
      </c>
      <c r="R489" s="2" t="s">
        <v>1395</v>
      </c>
      <c r="S489" s="2" t="s">
        <v>49</v>
      </c>
      <c r="T489" s="2" t="s">
        <v>205</v>
      </c>
      <c r="U489" s="2">
        <v>2014</v>
      </c>
      <c r="V489" s="6">
        <v>43098</v>
      </c>
      <c r="W489" s="3" t="s">
        <v>39</v>
      </c>
      <c r="X489" s="23">
        <v>4051.25</v>
      </c>
    </row>
    <row r="490" spans="1:24" x14ac:dyDescent="0.2">
      <c r="A490" s="2">
        <v>1706024</v>
      </c>
      <c r="B490" s="6">
        <v>42896.428063078703</v>
      </c>
      <c r="F490" s="2" t="s">
        <v>126</v>
      </c>
      <c r="G490" s="2" t="s">
        <v>126</v>
      </c>
      <c r="H490" s="2" t="s">
        <v>126</v>
      </c>
      <c r="I490" s="2" t="s">
        <v>126</v>
      </c>
      <c r="J490" s="2" t="s">
        <v>126</v>
      </c>
      <c r="K490" s="2" t="s">
        <v>8</v>
      </c>
      <c r="L490" s="2" t="s">
        <v>73</v>
      </c>
      <c r="M490" s="2" t="s">
        <v>295</v>
      </c>
      <c r="N490" s="2" t="s">
        <v>1396</v>
      </c>
      <c r="O490" s="2" t="s">
        <v>128</v>
      </c>
      <c r="P490" s="5">
        <v>817524032</v>
      </c>
      <c r="R490" s="2" t="s">
        <v>1397</v>
      </c>
      <c r="S490" s="2" t="s">
        <v>37</v>
      </c>
      <c r="T490" s="2" t="s">
        <v>102</v>
      </c>
      <c r="U490" s="2">
        <v>2013</v>
      </c>
      <c r="V490" s="6">
        <v>43223</v>
      </c>
      <c r="W490" s="3" t="s">
        <v>266</v>
      </c>
      <c r="X490" s="23">
        <v>2364.4899999999998</v>
      </c>
    </row>
    <row r="491" spans="1:24" x14ac:dyDescent="0.2">
      <c r="A491" s="2">
        <v>1706025</v>
      </c>
      <c r="B491" s="6">
        <v>42896.43061354167</v>
      </c>
      <c r="C491" s="6">
        <v>42933.693978703704</v>
      </c>
      <c r="D491" s="6">
        <v>42942</v>
      </c>
      <c r="E491" s="6">
        <v>42945</v>
      </c>
      <c r="F491" s="2" t="s">
        <v>26</v>
      </c>
      <c r="G491" s="2" t="s">
        <v>26</v>
      </c>
      <c r="H491" s="2" t="s">
        <v>26</v>
      </c>
      <c r="I491" s="2" t="s">
        <v>26</v>
      </c>
      <c r="J491" s="2" t="s">
        <v>26</v>
      </c>
      <c r="K491" s="2" t="s">
        <v>8</v>
      </c>
      <c r="L491" s="2" t="s">
        <v>27</v>
      </c>
      <c r="M491" s="2" t="s">
        <v>61</v>
      </c>
      <c r="N491" s="2" t="s">
        <v>1398</v>
      </c>
      <c r="O491" s="2" t="s">
        <v>41</v>
      </c>
      <c r="P491" s="5">
        <v>626044615</v>
      </c>
      <c r="R491" s="2" t="s">
        <v>1399</v>
      </c>
      <c r="S491" s="2" t="s">
        <v>49</v>
      </c>
      <c r="T491" s="2" t="s">
        <v>205</v>
      </c>
      <c r="U491" s="2">
        <v>2016</v>
      </c>
      <c r="V491" s="6" t="s">
        <v>72</v>
      </c>
      <c r="X491" s="23">
        <v>500</v>
      </c>
    </row>
    <row r="492" spans="1:24" x14ac:dyDescent="0.2">
      <c r="A492" s="2">
        <v>1706026</v>
      </c>
      <c r="B492" s="6">
        <v>42896.757134375002</v>
      </c>
      <c r="C492" s="6">
        <v>42896.758156481483</v>
      </c>
      <c r="D492" s="6">
        <v>42903</v>
      </c>
      <c r="E492" s="6">
        <v>42906.671697569443</v>
      </c>
      <c r="F492" s="2" t="s">
        <v>26</v>
      </c>
      <c r="G492" s="2" t="s">
        <v>26</v>
      </c>
      <c r="H492" s="2" t="s">
        <v>26</v>
      </c>
      <c r="I492" s="2" t="s">
        <v>26</v>
      </c>
      <c r="J492" s="2" t="s">
        <v>26</v>
      </c>
      <c r="K492" s="2" t="s">
        <v>8</v>
      </c>
      <c r="L492" s="2" t="s">
        <v>34</v>
      </c>
      <c r="M492" s="2" t="s">
        <v>28</v>
      </c>
      <c r="N492" s="2" t="s">
        <v>1400</v>
      </c>
      <c r="O492" s="2" t="s">
        <v>68</v>
      </c>
      <c r="P492" s="5">
        <v>870525877</v>
      </c>
      <c r="R492" s="2" t="s">
        <v>1401</v>
      </c>
      <c r="S492" s="2" t="s">
        <v>37</v>
      </c>
      <c r="T492" s="2" t="s">
        <v>341</v>
      </c>
      <c r="U492" s="2">
        <v>2012</v>
      </c>
      <c r="V492" s="6">
        <v>42664</v>
      </c>
      <c r="W492" s="3" t="s">
        <v>1402</v>
      </c>
      <c r="X492" s="23">
        <v>5838.27</v>
      </c>
    </row>
    <row r="493" spans="1:24" x14ac:dyDescent="0.2">
      <c r="A493" s="2">
        <v>1706027</v>
      </c>
      <c r="B493" s="6">
        <v>42899.398713657407</v>
      </c>
      <c r="F493" s="2" t="s">
        <v>126</v>
      </c>
      <c r="G493" s="2" t="s">
        <v>126</v>
      </c>
      <c r="H493" s="2" t="s">
        <v>126</v>
      </c>
      <c r="I493" s="2" t="s">
        <v>126</v>
      </c>
      <c r="J493" s="2" t="s">
        <v>126</v>
      </c>
      <c r="K493" s="2" t="s">
        <v>8</v>
      </c>
      <c r="L493" s="2" t="s">
        <v>73</v>
      </c>
      <c r="M493" s="2" t="s">
        <v>28</v>
      </c>
      <c r="N493" s="2" t="s">
        <v>1403</v>
      </c>
      <c r="O493" s="2" t="s">
        <v>68</v>
      </c>
      <c r="P493" s="5">
        <v>869202082</v>
      </c>
      <c r="R493" s="2" t="s">
        <v>1404</v>
      </c>
      <c r="S493" s="2" t="s">
        <v>524</v>
      </c>
      <c r="T493" s="2" t="s">
        <v>1405</v>
      </c>
      <c r="U493" s="2">
        <v>2010</v>
      </c>
      <c r="V493" s="6">
        <v>43170</v>
      </c>
      <c r="W493" s="3" t="s">
        <v>194</v>
      </c>
      <c r="X493" s="23">
        <v>21437.86</v>
      </c>
    </row>
    <row r="494" spans="1:24" x14ac:dyDescent="0.2">
      <c r="A494" s="2">
        <v>1706028</v>
      </c>
      <c r="B494" s="6">
        <v>42899.402318981483</v>
      </c>
      <c r="C494" s="6">
        <v>42923.559916666665</v>
      </c>
      <c r="D494" s="6">
        <v>42933</v>
      </c>
      <c r="E494" s="6">
        <v>42938</v>
      </c>
      <c r="F494" s="2" t="s">
        <v>26</v>
      </c>
      <c r="G494" s="2" t="s">
        <v>26</v>
      </c>
      <c r="H494" s="2" t="s">
        <v>26</v>
      </c>
      <c r="I494" s="2" t="s">
        <v>26</v>
      </c>
      <c r="J494" s="2" t="s">
        <v>26</v>
      </c>
      <c r="K494" s="2" t="s">
        <v>8</v>
      </c>
      <c r="L494" s="2" t="s">
        <v>27</v>
      </c>
      <c r="M494" s="2" t="s">
        <v>28</v>
      </c>
      <c r="N494" s="2" t="s">
        <v>1406</v>
      </c>
      <c r="P494" s="5">
        <v>945341415</v>
      </c>
      <c r="R494" s="2" t="s">
        <v>1407</v>
      </c>
      <c r="S494" s="2" t="s">
        <v>49</v>
      </c>
      <c r="T494" s="2" t="s">
        <v>214</v>
      </c>
      <c r="U494" s="2">
        <v>1997</v>
      </c>
      <c r="V494" s="6" t="s">
        <v>72</v>
      </c>
    </row>
    <row r="495" spans="1:24" x14ac:dyDescent="0.2">
      <c r="A495" s="2">
        <v>1706029</v>
      </c>
      <c r="B495" s="6">
        <v>42899.405673611109</v>
      </c>
      <c r="F495" s="2" t="s">
        <v>126</v>
      </c>
      <c r="G495" s="2" t="s">
        <v>126</v>
      </c>
      <c r="H495" s="2" t="s">
        <v>126</v>
      </c>
      <c r="I495" s="2" t="s">
        <v>126</v>
      </c>
      <c r="J495" s="2" t="s">
        <v>126</v>
      </c>
      <c r="K495" s="2" t="s">
        <v>8</v>
      </c>
      <c r="L495" s="2" t="s">
        <v>27</v>
      </c>
      <c r="M495" s="2" t="s">
        <v>295</v>
      </c>
      <c r="N495" s="2" t="s">
        <v>682</v>
      </c>
      <c r="O495" s="2" t="s">
        <v>208</v>
      </c>
      <c r="P495" s="5">
        <v>814358605</v>
      </c>
      <c r="Q495" s="5">
        <v>814975516</v>
      </c>
      <c r="R495" s="2" t="s">
        <v>683</v>
      </c>
      <c r="S495" s="2" t="s">
        <v>49</v>
      </c>
      <c r="T495" s="2" t="s">
        <v>50</v>
      </c>
      <c r="U495" s="2">
        <v>2010</v>
      </c>
      <c r="V495" s="6">
        <v>42902</v>
      </c>
      <c r="W495" s="3" t="s">
        <v>509</v>
      </c>
      <c r="X495" s="23">
        <v>0</v>
      </c>
    </row>
    <row r="496" spans="1:24" x14ac:dyDescent="0.2">
      <c r="A496" s="2">
        <v>1706030</v>
      </c>
      <c r="B496" s="6">
        <v>42899.408955324077</v>
      </c>
      <c r="F496" s="2" t="s">
        <v>126</v>
      </c>
      <c r="G496" s="2" t="s">
        <v>126</v>
      </c>
      <c r="H496" s="2" t="s">
        <v>126</v>
      </c>
      <c r="I496" s="2" t="s">
        <v>126</v>
      </c>
      <c r="J496" s="2" t="s">
        <v>126</v>
      </c>
      <c r="K496" s="2" t="s">
        <v>8</v>
      </c>
      <c r="L496" s="2" t="s">
        <v>981</v>
      </c>
      <c r="M496" s="2" t="s">
        <v>28</v>
      </c>
      <c r="N496" s="2" t="s">
        <v>1408</v>
      </c>
      <c r="O496" s="2" t="s">
        <v>128</v>
      </c>
      <c r="P496" s="5">
        <v>917399234</v>
      </c>
      <c r="R496" s="2" t="s">
        <v>1409</v>
      </c>
      <c r="S496" s="2" t="s">
        <v>55</v>
      </c>
      <c r="T496" s="2" t="s">
        <v>142</v>
      </c>
      <c r="U496" s="2">
        <v>2000</v>
      </c>
      <c r="V496" s="6" t="s">
        <v>72</v>
      </c>
      <c r="X496" s="23">
        <v>0</v>
      </c>
    </row>
    <row r="497" spans="1:24" x14ac:dyDescent="0.2">
      <c r="A497" s="2">
        <v>1706031</v>
      </c>
      <c r="B497" s="6">
        <v>42899.411050925926</v>
      </c>
      <c r="C497" s="6">
        <v>42912.428648958332</v>
      </c>
      <c r="D497" s="6">
        <v>42931</v>
      </c>
      <c r="E497" s="6">
        <v>42948</v>
      </c>
      <c r="F497" s="2" t="s">
        <v>26</v>
      </c>
      <c r="G497" s="2" t="s">
        <v>26</v>
      </c>
      <c r="H497" s="2" t="s">
        <v>26</v>
      </c>
      <c r="I497" s="2" t="s">
        <v>26</v>
      </c>
      <c r="J497" s="2" t="s">
        <v>26</v>
      </c>
      <c r="K497" s="2" t="s">
        <v>8</v>
      </c>
      <c r="L497" s="2" t="s">
        <v>73</v>
      </c>
      <c r="M497" s="2" t="s">
        <v>45</v>
      </c>
      <c r="N497" s="2" t="s">
        <v>1410</v>
      </c>
      <c r="O497" s="2" t="s">
        <v>47</v>
      </c>
      <c r="P497" s="5">
        <v>820866336</v>
      </c>
      <c r="Q497" s="5">
        <v>825413477</v>
      </c>
      <c r="R497" s="2" t="s">
        <v>1411</v>
      </c>
      <c r="S497" s="2" t="s">
        <v>49</v>
      </c>
      <c r="T497" s="2" t="s">
        <v>151</v>
      </c>
      <c r="U497" s="2">
        <v>2006</v>
      </c>
      <c r="V497" s="6">
        <v>42978</v>
      </c>
      <c r="W497" s="3" t="s">
        <v>974</v>
      </c>
      <c r="X497" s="23">
        <v>0</v>
      </c>
    </row>
    <row r="498" spans="1:24" x14ac:dyDescent="0.2">
      <c r="A498" s="2">
        <v>1706032</v>
      </c>
      <c r="B498" s="6">
        <v>42899.413566087962</v>
      </c>
      <c r="C498" s="6">
        <v>42926.482281481483</v>
      </c>
      <c r="D498" s="6">
        <v>42933</v>
      </c>
      <c r="E498" s="6">
        <v>42936.85992141204</v>
      </c>
      <c r="F498" s="2" t="s">
        <v>26</v>
      </c>
      <c r="G498" s="2" t="s">
        <v>26</v>
      </c>
      <c r="H498" s="2" t="s">
        <v>26</v>
      </c>
      <c r="I498" s="2" t="s">
        <v>26</v>
      </c>
      <c r="J498" s="2" t="s">
        <v>26</v>
      </c>
      <c r="K498" s="2" t="s">
        <v>8</v>
      </c>
      <c r="L498" s="2" t="s">
        <v>126</v>
      </c>
      <c r="M498" s="2" t="s">
        <v>28</v>
      </c>
      <c r="N498" s="2" t="s">
        <v>1412</v>
      </c>
      <c r="O498" s="2" t="s">
        <v>41</v>
      </c>
      <c r="P498" s="5">
        <v>917282266</v>
      </c>
      <c r="Q498" s="5">
        <v>814564086</v>
      </c>
      <c r="R498" s="2" t="s">
        <v>1413</v>
      </c>
      <c r="S498" s="2" t="s">
        <v>49</v>
      </c>
      <c r="T498" s="2" t="s">
        <v>79</v>
      </c>
      <c r="U498" s="2">
        <v>2014</v>
      </c>
      <c r="V498" s="6">
        <v>43056</v>
      </c>
      <c r="W498" s="3" t="s">
        <v>457</v>
      </c>
    </row>
    <row r="499" spans="1:24" x14ac:dyDescent="0.2">
      <c r="A499" s="2">
        <v>1706033</v>
      </c>
      <c r="B499" s="6">
        <v>42899.41467997685</v>
      </c>
      <c r="C499" s="6">
        <v>42912.464024652778</v>
      </c>
      <c r="D499" s="6">
        <v>42942</v>
      </c>
      <c r="E499" s="6">
        <v>42915.442069791665</v>
      </c>
      <c r="F499" s="2" t="s">
        <v>26</v>
      </c>
      <c r="G499" s="2" t="s">
        <v>26</v>
      </c>
      <c r="H499" s="2" t="s">
        <v>26</v>
      </c>
      <c r="I499" s="2" t="s">
        <v>26</v>
      </c>
      <c r="J499" s="2" t="s">
        <v>26</v>
      </c>
      <c r="K499" s="2" t="s">
        <v>8</v>
      </c>
      <c r="L499" s="2" t="s">
        <v>34</v>
      </c>
      <c r="M499" s="2" t="s">
        <v>28</v>
      </c>
      <c r="N499" s="2" t="s">
        <v>1414</v>
      </c>
      <c r="O499" s="2" t="s">
        <v>47</v>
      </c>
      <c r="P499" s="5">
        <v>832646063</v>
      </c>
      <c r="R499" s="2" t="s">
        <v>1415</v>
      </c>
      <c r="S499" s="2" t="s">
        <v>31</v>
      </c>
      <c r="T499" s="2" t="s">
        <v>283</v>
      </c>
      <c r="U499" s="2">
        <v>2007</v>
      </c>
      <c r="V499" s="6" t="s">
        <v>72</v>
      </c>
      <c r="X499" s="23">
        <v>0</v>
      </c>
    </row>
    <row r="500" spans="1:24" x14ac:dyDescent="0.2">
      <c r="A500" s="2">
        <v>1706034</v>
      </c>
      <c r="B500" s="6">
        <v>42899.469806250003</v>
      </c>
      <c r="C500" s="6">
        <v>42910.47610821759</v>
      </c>
      <c r="D500" s="6">
        <v>42891</v>
      </c>
      <c r="E500" s="6">
        <v>42938</v>
      </c>
      <c r="F500" s="2" t="s">
        <v>26</v>
      </c>
      <c r="G500" s="2" t="s">
        <v>26</v>
      </c>
      <c r="H500" s="2" t="s">
        <v>26</v>
      </c>
      <c r="I500" s="2" t="s">
        <v>26</v>
      </c>
      <c r="J500" s="2" t="s">
        <v>26</v>
      </c>
      <c r="K500" s="2" t="s">
        <v>8</v>
      </c>
      <c r="L500" s="2" t="s">
        <v>981</v>
      </c>
      <c r="M500" s="2" t="s">
        <v>28</v>
      </c>
      <c r="N500" s="2" t="s">
        <v>1416</v>
      </c>
      <c r="O500" s="2" t="s">
        <v>114</v>
      </c>
      <c r="P500" s="5">
        <v>909533636</v>
      </c>
      <c r="R500" s="2" t="s">
        <v>1417</v>
      </c>
      <c r="S500" s="2" t="s">
        <v>55</v>
      </c>
      <c r="T500" s="2" t="s">
        <v>56</v>
      </c>
      <c r="U500" s="2">
        <v>2000</v>
      </c>
      <c r="V500" s="6" t="s">
        <v>72</v>
      </c>
      <c r="X500" s="23">
        <v>7300</v>
      </c>
    </row>
    <row r="501" spans="1:24" x14ac:dyDescent="0.2">
      <c r="A501" s="2">
        <v>1706035</v>
      </c>
      <c r="B501" s="6">
        <v>42899.475126041667</v>
      </c>
      <c r="F501" s="2" t="s">
        <v>126</v>
      </c>
      <c r="G501" s="2" t="s">
        <v>126</v>
      </c>
      <c r="H501" s="2" t="s">
        <v>126</v>
      </c>
      <c r="I501" s="2" t="s">
        <v>126</v>
      </c>
      <c r="J501" s="2" t="s">
        <v>126</v>
      </c>
      <c r="K501" s="2" t="s">
        <v>8</v>
      </c>
      <c r="L501" s="2" t="s">
        <v>27</v>
      </c>
      <c r="M501" s="2" t="s">
        <v>28</v>
      </c>
      <c r="N501" s="2" t="s">
        <v>1418</v>
      </c>
      <c r="O501" s="2" t="s">
        <v>47</v>
      </c>
      <c r="P501" s="5">
        <v>868983846</v>
      </c>
      <c r="R501" s="2" t="s">
        <v>1419</v>
      </c>
      <c r="S501" s="2" t="s">
        <v>70</v>
      </c>
      <c r="T501" s="2" t="s">
        <v>692</v>
      </c>
      <c r="U501" s="2">
        <v>2003</v>
      </c>
      <c r="V501" s="6">
        <v>43165</v>
      </c>
      <c r="W501" s="3" t="s">
        <v>44</v>
      </c>
      <c r="X501" s="23">
        <v>2395.37</v>
      </c>
    </row>
    <row r="502" spans="1:24" x14ac:dyDescent="0.2">
      <c r="A502" s="2">
        <v>1706036</v>
      </c>
      <c r="B502" s="6">
        <v>42899.496619328704</v>
      </c>
      <c r="C502" s="6">
        <v>42899.498851851851</v>
      </c>
      <c r="D502" s="6">
        <v>42910</v>
      </c>
      <c r="E502" s="6">
        <v>42909.548052893515</v>
      </c>
      <c r="F502" s="2" t="s">
        <v>26</v>
      </c>
      <c r="G502" s="2" t="s">
        <v>26</v>
      </c>
      <c r="H502" s="2" t="s">
        <v>26</v>
      </c>
      <c r="I502" s="2" t="s">
        <v>26</v>
      </c>
      <c r="J502" s="2" t="s">
        <v>26</v>
      </c>
      <c r="K502" s="2" t="s">
        <v>8</v>
      </c>
      <c r="L502" s="2" t="s">
        <v>27</v>
      </c>
      <c r="M502" s="2" t="s">
        <v>45</v>
      </c>
      <c r="N502" s="2" t="s">
        <v>1310</v>
      </c>
      <c r="O502" s="2" t="s">
        <v>128</v>
      </c>
      <c r="P502" s="5">
        <v>891143876</v>
      </c>
      <c r="R502" s="2" t="s">
        <v>1420</v>
      </c>
      <c r="S502" s="2" t="s">
        <v>55</v>
      </c>
      <c r="T502" s="2" t="s">
        <v>1312</v>
      </c>
      <c r="U502" s="2">
        <v>2014</v>
      </c>
      <c r="V502" s="6">
        <v>42881</v>
      </c>
      <c r="W502" s="3" t="s">
        <v>1018</v>
      </c>
      <c r="X502" s="23">
        <v>10000</v>
      </c>
    </row>
    <row r="503" spans="1:24" x14ac:dyDescent="0.2">
      <c r="A503" s="2">
        <v>1706037</v>
      </c>
      <c r="B503" s="6">
        <v>42899.552917476853</v>
      </c>
      <c r="C503" s="6">
        <v>42899.554264467595</v>
      </c>
      <c r="D503" s="6">
        <v>42910</v>
      </c>
      <c r="E503" s="6">
        <v>42910.415130555557</v>
      </c>
      <c r="F503" s="2" t="s">
        <v>26</v>
      </c>
      <c r="G503" s="2" t="s">
        <v>26</v>
      </c>
      <c r="H503" s="2" t="s">
        <v>26</v>
      </c>
      <c r="I503" s="2" t="s">
        <v>26</v>
      </c>
      <c r="J503" s="2" t="s">
        <v>26</v>
      </c>
      <c r="K503" s="2" t="s">
        <v>8</v>
      </c>
      <c r="L503" s="2" t="s">
        <v>27</v>
      </c>
      <c r="M503" s="2" t="s">
        <v>295</v>
      </c>
      <c r="N503" s="2" t="s">
        <v>1421</v>
      </c>
      <c r="O503" s="2" t="s">
        <v>208</v>
      </c>
      <c r="P503" s="5">
        <v>812423450</v>
      </c>
      <c r="R503" s="2" t="s">
        <v>1422</v>
      </c>
      <c r="S503" s="2" t="s">
        <v>55</v>
      </c>
      <c r="T503" s="2" t="s">
        <v>1312</v>
      </c>
      <c r="U503" s="2">
        <v>2014</v>
      </c>
      <c r="V503" s="6">
        <v>42730</v>
      </c>
      <c r="W503" s="3" t="s">
        <v>84</v>
      </c>
    </row>
    <row r="504" spans="1:24" x14ac:dyDescent="0.2">
      <c r="A504" s="2">
        <v>1706038</v>
      </c>
      <c r="B504" s="6">
        <v>42899.558235069446</v>
      </c>
      <c r="C504" s="6">
        <v>42899.559045833332</v>
      </c>
      <c r="D504" s="6">
        <v>0</v>
      </c>
      <c r="E504" s="6">
        <v>42902.399724421295</v>
      </c>
      <c r="F504" s="2" t="s">
        <v>26</v>
      </c>
      <c r="G504" s="2" t="s">
        <v>26</v>
      </c>
      <c r="H504" s="2" t="s">
        <v>26</v>
      </c>
      <c r="I504" s="2" t="s">
        <v>26</v>
      </c>
      <c r="J504" s="2" t="s">
        <v>26</v>
      </c>
      <c r="K504" s="2" t="s">
        <v>8</v>
      </c>
      <c r="L504" s="2" t="s">
        <v>51</v>
      </c>
      <c r="M504" s="2" t="s">
        <v>28</v>
      </c>
      <c r="N504" s="2" t="s">
        <v>1423</v>
      </c>
      <c r="O504" s="2" t="s">
        <v>47</v>
      </c>
      <c r="P504" s="5">
        <v>985653553</v>
      </c>
      <c r="Q504" s="5">
        <v>856863307</v>
      </c>
      <c r="R504" s="2" t="s">
        <v>1424</v>
      </c>
      <c r="S504" s="2" t="s">
        <v>49</v>
      </c>
      <c r="T504" s="2" t="s">
        <v>130</v>
      </c>
      <c r="U504" s="2">
        <v>2007</v>
      </c>
      <c r="V504" s="6">
        <v>42922</v>
      </c>
      <c r="W504" s="3" t="s">
        <v>1425</v>
      </c>
      <c r="X504" s="23">
        <v>1600</v>
      </c>
    </row>
    <row r="505" spans="1:24" x14ac:dyDescent="0.2">
      <c r="A505" s="2">
        <v>1706039</v>
      </c>
      <c r="B505" s="6">
        <v>42899.660904282406</v>
      </c>
      <c r="F505" s="2" t="s">
        <v>126</v>
      </c>
      <c r="G505" s="2" t="s">
        <v>126</v>
      </c>
      <c r="H505" s="2" t="s">
        <v>126</v>
      </c>
      <c r="I505" s="2" t="s">
        <v>126</v>
      </c>
      <c r="J505" s="2" t="s">
        <v>126</v>
      </c>
      <c r="K505" s="2" t="s">
        <v>8</v>
      </c>
      <c r="L505" s="2" t="s">
        <v>981</v>
      </c>
      <c r="M505" s="2" t="s">
        <v>118</v>
      </c>
      <c r="N505" s="2" t="s">
        <v>1426</v>
      </c>
      <c r="O505" s="2" t="s">
        <v>107</v>
      </c>
      <c r="P505" s="5">
        <v>816176889</v>
      </c>
      <c r="R505" s="2" t="s">
        <v>1427</v>
      </c>
      <c r="S505" s="2" t="s">
        <v>49</v>
      </c>
      <c r="T505" s="2" t="s">
        <v>586</v>
      </c>
      <c r="U505" s="2">
        <v>2007</v>
      </c>
      <c r="V505" s="6">
        <v>42901</v>
      </c>
      <c r="W505" s="3" t="s">
        <v>342</v>
      </c>
      <c r="X505" s="23">
        <v>5939.25</v>
      </c>
    </row>
    <row r="506" spans="1:24" x14ac:dyDescent="0.2">
      <c r="A506" s="2">
        <v>1706040</v>
      </c>
      <c r="B506" s="6">
        <v>42900.698208217589</v>
      </c>
      <c r="C506" s="6">
        <v>42938.577120138892</v>
      </c>
      <c r="D506" s="6">
        <v>42945</v>
      </c>
      <c r="E506" s="6">
        <v>42952</v>
      </c>
      <c r="F506" s="2" t="s">
        <v>26</v>
      </c>
      <c r="G506" s="2" t="s">
        <v>26</v>
      </c>
      <c r="H506" s="2" t="s">
        <v>26</v>
      </c>
      <c r="I506" s="2" t="s">
        <v>26</v>
      </c>
      <c r="J506" s="2" t="s">
        <v>26</v>
      </c>
      <c r="K506" s="2" t="s">
        <v>8</v>
      </c>
      <c r="L506" s="2" t="s">
        <v>27</v>
      </c>
      <c r="M506" s="2" t="s">
        <v>295</v>
      </c>
      <c r="N506" s="2" t="s">
        <v>1513</v>
      </c>
      <c r="P506" s="5">
        <v>917102942</v>
      </c>
      <c r="R506" s="2" t="s">
        <v>1514</v>
      </c>
      <c r="S506" s="2" t="s">
        <v>49</v>
      </c>
      <c r="T506" s="2" t="s">
        <v>130</v>
      </c>
      <c r="U506" s="2">
        <v>2010</v>
      </c>
      <c r="V506" s="6" t="s">
        <v>72</v>
      </c>
    </row>
    <row r="507" spans="1:24" x14ac:dyDescent="0.2">
      <c r="A507" s="2">
        <v>1706041</v>
      </c>
      <c r="B507" s="6">
        <v>42901.380635879628</v>
      </c>
      <c r="F507" s="2" t="s">
        <v>126</v>
      </c>
      <c r="G507" s="2" t="s">
        <v>126</v>
      </c>
      <c r="H507" s="2" t="s">
        <v>126</v>
      </c>
      <c r="I507" s="2" t="s">
        <v>126</v>
      </c>
      <c r="J507" s="2" t="s">
        <v>126</v>
      </c>
      <c r="K507" s="2" t="s">
        <v>8</v>
      </c>
      <c r="L507" s="2" t="s">
        <v>34</v>
      </c>
      <c r="M507" s="2" t="s">
        <v>28</v>
      </c>
      <c r="N507" s="2" t="s">
        <v>1515</v>
      </c>
      <c r="O507" s="2" t="s">
        <v>114</v>
      </c>
      <c r="P507" s="5">
        <v>958931614</v>
      </c>
      <c r="R507" s="2" t="s">
        <v>1516</v>
      </c>
      <c r="S507" s="2" t="s">
        <v>70</v>
      </c>
      <c r="T507" s="2" t="s">
        <v>193</v>
      </c>
      <c r="U507" s="2">
        <v>2012</v>
      </c>
      <c r="V507" s="6" t="s">
        <v>72</v>
      </c>
      <c r="X507" s="23">
        <v>0</v>
      </c>
    </row>
    <row r="508" spans="1:24" x14ac:dyDescent="0.2">
      <c r="A508" s="2">
        <v>1706042</v>
      </c>
      <c r="B508" s="6">
        <v>42902.388047800923</v>
      </c>
      <c r="F508" s="2" t="s">
        <v>126</v>
      </c>
      <c r="G508" s="2" t="s">
        <v>126</v>
      </c>
      <c r="H508" s="2" t="s">
        <v>126</v>
      </c>
      <c r="I508" s="2" t="s">
        <v>126</v>
      </c>
      <c r="J508" s="2" t="s">
        <v>126</v>
      </c>
      <c r="K508" s="2" t="s">
        <v>8</v>
      </c>
      <c r="L508" s="2" t="s">
        <v>34</v>
      </c>
      <c r="M508" s="2" t="s">
        <v>66</v>
      </c>
      <c r="N508" s="2" t="s">
        <v>618</v>
      </c>
      <c r="O508" s="2" t="s">
        <v>41</v>
      </c>
      <c r="P508" s="5">
        <v>994292293</v>
      </c>
      <c r="R508" s="2" t="s">
        <v>619</v>
      </c>
      <c r="S508" s="2" t="s">
        <v>49</v>
      </c>
      <c r="T508" s="2" t="s">
        <v>130</v>
      </c>
      <c r="V508" s="6" t="s">
        <v>72</v>
      </c>
    </row>
    <row r="509" spans="1:24" x14ac:dyDescent="0.2">
      <c r="A509" s="2">
        <v>1706043</v>
      </c>
      <c r="B509" s="6">
        <v>42902.393635763889</v>
      </c>
      <c r="C509" s="6">
        <v>42933.49565636574</v>
      </c>
      <c r="D509" s="6">
        <v>42952</v>
      </c>
      <c r="E509" s="6">
        <v>42958</v>
      </c>
      <c r="F509" s="2" t="s">
        <v>26</v>
      </c>
      <c r="G509" s="2" t="s">
        <v>26</v>
      </c>
      <c r="H509" s="2" t="s">
        <v>26</v>
      </c>
      <c r="I509" s="2" t="s">
        <v>26</v>
      </c>
      <c r="J509" s="2" t="s">
        <v>26</v>
      </c>
      <c r="K509" s="2" t="s">
        <v>8</v>
      </c>
      <c r="L509" s="2" t="s">
        <v>73</v>
      </c>
      <c r="M509" s="2" t="s">
        <v>45</v>
      </c>
      <c r="N509" s="2" t="s">
        <v>1517</v>
      </c>
      <c r="O509" s="2" t="s">
        <v>68</v>
      </c>
      <c r="P509" s="5">
        <v>649862829</v>
      </c>
      <c r="Q509" s="5">
        <v>879177736</v>
      </c>
      <c r="R509" s="2" t="s">
        <v>1518</v>
      </c>
      <c r="S509" s="2" t="s">
        <v>31</v>
      </c>
      <c r="T509" s="2" t="s">
        <v>116</v>
      </c>
      <c r="U509" s="2">
        <v>2007</v>
      </c>
      <c r="V509" s="6">
        <v>42963</v>
      </c>
      <c r="W509" s="3" t="s">
        <v>1519</v>
      </c>
      <c r="X509" s="23">
        <v>5720</v>
      </c>
    </row>
    <row r="510" spans="1:24" x14ac:dyDescent="0.2">
      <c r="A510" s="2">
        <v>1706044</v>
      </c>
      <c r="B510" s="6">
        <v>42902.398251967592</v>
      </c>
      <c r="C510" s="6">
        <v>42921.366833101849</v>
      </c>
      <c r="D510" s="6" t="s">
        <v>1520</v>
      </c>
      <c r="E510" s="6">
        <v>42927.379083449072</v>
      </c>
      <c r="F510" s="2" t="s">
        <v>26</v>
      </c>
      <c r="G510" s="2" t="s">
        <v>26</v>
      </c>
      <c r="H510" s="2" t="s">
        <v>26</v>
      </c>
      <c r="I510" s="2" t="s">
        <v>26</v>
      </c>
      <c r="J510" s="2" t="s">
        <v>26</v>
      </c>
      <c r="K510" s="2" t="s">
        <v>8</v>
      </c>
      <c r="L510" s="2" t="s">
        <v>34</v>
      </c>
      <c r="M510" s="2" t="s">
        <v>28</v>
      </c>
      <c r="N510" s="2" t="s">
        <v>1521</v>
      </c>
      <c r="O510" s="2" t="s">
        <v>68</v>
      </c>
      <c r="P510" s="5">
        <v>644577154</v>
      </c>
      <c r="R510" s="2" t="s">
        <v>1522</v>
      </c>
      <c r="S510" s="2" t="s">
        <v>64</v>
      </c>
      <c r="T510" s="2">
        <v>3</v>
      </c>
      <c r="U510" s="2">
        <v>2007</v>
      </c>
      <c r="V510" s="6">
        <v>43181</v>
      </c>
      <c r="W510" s="3" t="s">
        <v>226</v>
      </c>
      <c r="X510" s="23">
        <v>0</v>
      </c>
    </row>
    <row r="511" spans="1:24" x14ac:dyDescent="0.2">
      <c r="A511" s="2">
        <v>1706045</v>
      </c>
      <c r="B511" s="6">
        <v>42903.403873611111</v>
      </c>
      <c r="C511" s="6">
        <v>42923.606419675925</v>
      </c>
      <c r="D511" s="6">
        <v>0</v>
      </c>
      <c r="E511" s="6">
        <v>42938.057008333337</v>
      </c>
      <c r="F511" s="2" t="s">
        <v>26</v>
      </c>
      <c r="G511" s="2" t="s">
        <v>26</v>
      </c>
      <c r="H511" s="2" t="s">
        <v>26</v>
      </c>
      <c r="I511" s="2" t="s">
        <v>26</v>
      </c>
      <c r="J511" s="2" t="s">
        <v>26</v>
      </c>
      <c r="K511" s="2" t="s">
        <v>8</v>
      </c>
      <c r="L511" s="2" t="s">
        <v>34</v>
      </c>
      <c r="M511" s="2" t="s">
        <v>45</v>
      </c>
      <c r="N511" s="2" t="s">
        <v>1523</v>
      </c>
      <c r="P511" s="5">
        <v>844827321</v>
      </c>
      <c r="R511" s="2" t="s">
        <v>1524</v>
      </c>
      <c r="S511" s="2" t="s">
        <v>55</v>
      </c>
      <c r="T511" s="2" t="s">
        <v>76</v>
      </c>
      <c r="U511" s="2">
        <v>2010</v>
      </c>
      <c r="V511" s="6">
        <v>43071</v>
      </c>
      <c r="W511" s="3" t="s">
        <v>266</v>
      </c>
      <c r="X511" s="23">
        <v>1080</v>
      </c>
    </row>
    <row r="512" spans="1:24" x14ac:dyDescent="0.2">
      <c r="A512" s="2">
        <v>1706046</v>
      </c>
      <c r="B512" s="6">
        <v>42905.478445717592</v>
      </c>
      <c r="C512" s="6">
        <v>42929.459550694446</v>
      </c>
      <c r="D512" s="6">
        <v>42941</v>
      </c>
      <c r="E512" s="6">
        <v>42938</v>
      </c>
      <c r="F512" s="2" t="s">
        <v>26</v>
      </c>
      <c r="G512" s="2" t="s">
        <v>26</v>
      </c>
      <c r="H512" s="2" t="s">
        <v>26</v>
      </c>
      <c r="I512" s="2" t="s">
        <v>26</v>
      </c>
      <c r="J512" s="2" t="s">
        <v>26</v>
      </c>
      <c r="K512" s="2" t="s">
        <v>8</v>
      </c>
      <c r="L512" s="2" t="s">
        <v>27</v>
      </c>
      <c r="M512" s="2" t="s">
        <v>45</v>
      </c>
      <c r="N512" s="2" t="s">
        <v>1525</v>
      </c>
      <c r="O512" s="2" t="s">
        <v>68</v>
      </c>
      <c r="P512" s="5">
        <v>894501065</v>
      </c>
      <c r="R512" s="2" t="s">
        <v>1526</v>
      </c>
      <c r="S512" s="2" t="s">
        <v>49</v>
      </c>
      <c r="T512" s="2" t="s">
        <v>79</v>
      </c>
      <c r="U512" s="2">
        <v>2012</v>
      </c>
      <c r="V512" s="6">
        <v>43092</v>
      </c>
      <c r="W512" s="3" t="s">
        <v>117</v>
      </c>
      <c r="X512" s="23">
        <v>6672.9</v>
      </c>
    </row>
    <row r="513" spans="1:24" x14ac:dyDescent="0.2">
      <c r="A513" s="2">
        <v>1706047</v>
      </c>
      <c r="B513" s="6">
        <v>42905.492178472225</v>
      </c>
      <c r="C513" s="6">
        <v>42926.670393518521</v>
      </c>
      <c r="D513" s="6">
        <v>42936</v>
      </c>
      <c r="E513" s="6">
        <v>42938.055668865738</v>
      </c>
      <c r="F513" s="2" t="s">
        <v>26</v>
      </c>
      <c r="G513" s="2" t="s">
        <v>26</v>
      </c>
      <c r="H513" s="2" t="s">
        <v>26</v>
      </c>
      <c r="I513" s="2" t="s">
        <v>26</v>
      </c>
      <c r="J513" s="2" t="s">
        <v>26</v>
      </c>
      <c r="K513" s="2" t="s">
        <v>8</v>
      </c>
      <c r="L513" s="2" t="s">
        <v>27</v>
      </c>
      <c r="M513" s="2" t="s">
        <v>28</v>
      </c>
      <c r="N513" s="2" t="s">
        <v>1527</v>
      </c>
      <c r="O513" s="2" t="s">
        <v>68</v>
      </c>
      <c r="P513" s="5">
        <v>924454324</v>
      </c>
      <c r="R513" s="2" t="s">
        <v>1528</v>
      </c>
      <c r="S513" s="2" t="s">
        <v>49</v>
      </c>
      <c r="T513" s="2" t="s">
        <v>79</v>
      </c>
      <c r="U513" s="2">
        <v>2011</v>
      </c>
      <c r="V513" s="6">
        <v>43269</v>
      </c>
      <c r="W513" s="3" t="s">
        <v>106</v>
      </c>
      <c r="X513" s="23">
        <v>0</v>
      </c>
    </row>
    <row r="514" spans="1:24" x14ac:dyDescent="0.2">
      <c r="A514" s="2">
        <v>1706048</v>
      </c>
      <c r="B514" s="6">
        <v>42905.663444444443</v>
      </c>
      <c r="C514" s="6">
        <v>42905.665092939817</v>
      </c>
      <c r="D514" s="6">
        <v>42914</v>
      </c>
      <c r="E514" s="6">
        <v>42916.398910300923</v>
      </c>
      <c r="F514" s="2" t="s">
        <v>26</v>
      </c>
      <c r="G514" s="2" t="s">
        <v>26</v>
      </c>
      <c r="H514" s="2" t="s">
        <v>26</v>
      </c>
      <c r="I514" s="2" t="s">
        <v>26</v>
      </c>
      <c r="J514" s="2" t="s">
        <v>26</v>
      </c>
      <c r="K514" s="2" t="s">
        <v>8</v>
      </c>
      <c r="L514" s="2" t="s">
        <v>34</v>
      </c>
      <c r="M514" s="2" t="s">
        <v>28</v>
      </c>
      <c r="N514" s="2" t="s">
        <v>1529</v>
      </c>
      <c r="O514" s="2" t="s">
        <v>114</v>
      </c>
      <c r="P514" s="5">
        <v>983477960</v>
      </c>
      <c r="R514" s="2" t="s">
        <v>1530</v>
      </c>
      <c r="S514" s="2" t="s">
        <v>133</v>
      </c>
      <c r="T514" s="2" t="s">
        <v>134</v>
      </c>
      <c r="U514" s="2">
        <v>2017</v>
      </c>
      <c r="V514" s="6">
        <v>43281</v>
      </c>
      <c r="W514" s="3" t="s">
        <v>1289</v>
      </c>
      <c r="X514" s="23">
        <v>30530</v>
      </c>
    </row>
    <row r="515" spans="1:24" x14ac:dyDescent="0.2">
      <c r="A515" s="2">
        <v>1706049</v>
      </c>
      <c r="B515" s="6">
        <v>42905.673164351851</v>
      </c>
      <c r="C515" s="6">
        <v>42905.674441782408</v>
      </c>
      <c r="D515" s="6">
        <v>0</v>
      </c>
      <c r="E515" s="6">
        <v>42979</v>
      </c>
      <c r="F515" s="2" t="s">
        <v>26</v>
      </c>
      <c r="G515" s="2" t="s">
        <v>26</v>
      </c>
      <c r="H515" s="2" t="s">
        <v>26</v>
      </c>
      <c r="I515" s="2" t="s">
        <v>26</v>
      </c>
      <c r="J515" s="2" t="s">
        <v>26</v>
      </c>
      <c r="K515" s="2" t="s">
        <v>8</v>
      </c>
      <c r="L515" s="2" t="s">
        <v>170</v>
      </c>
      <c r="M515" s="2" t="s">
        <v>28</v>
      </c>
      <c r="N515" s="2" t="s">
        <v>1531</v>
      </c>
      <c r="O515" s="2" t="s">
        <v>217</v>
      </c>
      <c r="P515" s="5">
        <v>970574625</v>
      </c>
      <c r="R515" s="2" t="s">
        <v>1532</v>
      </c>
      <c r="S515" s="2" t="s">
        <v>55</v>
      </c>
      <c r="T515" s="2" t="s">
        <v>56</v>
      </c>
      <c r="U515" s="2">
        <v>2014</v>
      </c>
      <c r="V515" s="6">
        <v>43207</v>
      </c>
      <c r="W515" s="3" t="s">
        <v>219</v>
      </c>
    </row>
    <row r="516" spans="1:24" x14ac:dyDescent="0.2">
      <c r="A516" s="2">
        <v>1706050</v>
      </c>
      <c r="B516" s="6">
        <v>42905.706723726849</v>
      </c>
      <c r="C516" s="6">
        <v>42937.38794375</v>
      </c>
      <c r="D516" s="6">
        <v>42943</v>
      </c>
      <c r="E516" s="6">
        <v>42945</v>
      </c>
      <c r="F516" s="2" t="s">
        <v>26</v>
      </c>
      <c r="G516" s="2" t="s">
        <v>26</v>
      </c>
      <c r="H516" s="2" t="s">
        <v>26</v>
      </c>
      <c r="I516" s="2" t="s">
        <v>26</v>
      </c>
      <c r="J516" s="2" t="s">
        <v>26</v>
      </c>
      <c r="K516" s="2" t="s">
        <v>8</v>
      </c>
      <c r="L516" s="2" t="s">
        <v>981</v>
      </c>
      <c r="M516" s="2" t="s">
        <v>45</v>
      </c>
      <c r="N516" s="2" t="s">
        <v>1533</v>
      </c>
      <c r="P516" s="5">
        <v>863331267</v>
      </c>
      <c r="R516" s="2" t="s">
        <v>1534</v>
      </c>
      <c r="S516" s="2" t="s">
        <v>64</v>
      </c>
      <c r="T516" s="2">
        <v>3</v>
      </c>
      <c r="U516" s="2">
        <v>2014</v>
      </c>
      <c r="V516" s="6">
        <v>42975</v>
      </c>
      <c r="W516" s="3" t="s">
        <v>1289</v>
      </c>
      <c r="X516" s="23">
        <v>9500</v>
      </c>
    </row>
    <row r="517" spans="1:24" x14ac:dyDescent="0.2">
      <c r="A517" s="2">
        <v>1706051</v>
      </c>
      <c r="B517" s="6">
        <v>42906.628011226851</v>
      </c>
      <c r="C517" s="6">
        <v>42931.470668518516</v>
      </c>
      <c r="D517" s="6">
        <v>42931</v>
      </c>
      <c r="E517" s="6">
        <v>42935.359198495367</v>
      </c>
      <c r="F517" s="2" t="s">
        <v>26</v>
      </c>
      <c r="G517" s="2" t="s">
        <v>26</v>
      </c>
      <c r="H517" s="2" t="s">
        <v>26</v>
      </c>
      <c r="I517" s="2" t="s">
        <v>26</v>
      </c>
      <c r="J517" s="2" t="s">
        <v>26</v>
      </c>
      <c r="K517" s="2" t="s">
        <v>8</v>
      </c>
      <c r="L517" s="2" t="s">
        <v>981</v>
      </c>
      <c r="M517" s="2" t="s">
        <v>81</v>
      </c>
      <c r="N517" s="2" t="s">
        <v>1535</v>
      </c>
      <c r="O517" s="2" t="s">
        <v>47</v>
      </c>
      <c r="P517" s="5">
        <v>854865620</v>
      </c>
      <c r="R517" s="2" t="s">
        <v>1536</v>
      </c>
      <c r="S517" s="2" t="s">
        <v>31</v>
      </c>
      <c r="T517" s="2" t="s">
        <v>283</v>
      </c>
      <c r="U517" s="2">
        <v>2007</v>
      </c>
      <c r="V517" s="6">
        <v>43311</v>
      </c>
      <c r="W517" s="3" t="s">
        <v>229</v>
      </c>
      <c r="X517" s="23">
        <v>9920</v>
      </c>
    </row>
    <row r="518" spans="1:24" x14ac:dyDescent="0.2">
      <c r="A518" s="2">
        <v>1706052</v>
      </c>
      <c r="B518" s="6">
        <v>42906.664742245368</v>
      </c>
      <c r="C518" s="6">
        <v>42921.374827199077</v>
      </c>
      <c r="D518" s="6">
        <v>42927</v>
      </c>
      <c r="E518" s="6">
        <v>42924.701150347224</v>
      </c>
      <c r="F518" s="2" t="s">
        <v>26</v>
      </c>
      <c r="G518" s="2" t="s">
        <v>26</v>
      </c>
      <c r="H518" s="2" t="s">
        <v>26</v>
      </c>
      <c r="I518" s="2" t="s">
        <v>26</v>
      </c>
      <c r="J518" s="2" t="s">
        <v>26</v>
      </c>
      <c r="K518" s="2" t="s">
        <v>8</v>
      </c>
      <c r="L518" s="2" t="s">
        <v>34</v>
      </c>
      <c r="M518" s="2" t="s">
        <v>28</v>
      </c>
      <c r="N518" s="2" t="s">
        <v>1537</v>
      </c>
      <c r="O518" s="2" t="s">
        <v>157</v>
      </c>
      <c r="P518" s="5">
        <v>619849561</v>
      </c>
      <c r="R518" s="2" t="s">
        <v>1538</v>
      </c>
      <c r="S518" s="2" t="s">
        <v>49</v>
      </c>
      <c r="T518" s="2" t="s">
        <v>130</v>
      </c>
      <c r="U518" s="2">
        <v>2014</v>
      </c>
      <c r="V518" s="6" t="s">
        <v>72</v>
      </c>
    </row>
    <row r="519" spans="1:24" x14ac:dyDescent="0.2">
      <c r="A519" s="2">
        <v>1706053</v>
      </c>
      <c r="B519" s="6">
        <v>42907.583996759262</v>
      </c>
      <c r="C519" s="6">
        <v>42927.683749537035</v>
      </c>
      <c r="D519" s="6">
        <v>42934</v>
      </c>
      <c r="E519" s="6">
        <v>42958</v>
      </c>
      <c r="F519" s="2" t="s">
        <v>26</v>
      </c>
      <c r="G519" s="2" t="s">
        <v>26</v>
      </c>
      <c r="H519" s="2" t="s">
        <v>26</v>
      </c>
      <c r="I519" s="2" t="s">
        <v>26</v>
      </c>
      <c r="J519" s="2" t="s">
        <v>26</v>
      </c>
      <c r="K519" s="2" t="s">
        <v>8</v>
      </c>
      <c r="L519" s="2" t="s">
        <v>34</v>
      </c>
      <c r="M519" s="2" t="s">
        <v>338</v>
      </c>
      <c r="N519" s="2" t="s">
        <v>1539</v>
      </c>
      <c r="O519" s="2" t="s">
        <v>120</v>
      </c>
      <c r="P519" s="5">
        <v>816461897</v>
      </c>
      <c r="R519" s="2" t="s">
        <v>1540</v>
      </c>
      <c r="S519" s="2" t="s">
        <v>55</v>
      </c>
      <c r="T519" s="2" t="s">
        <v>1434</v>
      </c>
      <c r="U519" s="2">
        <v>2005</v>
      </c>
      <c r="V519" s="6">
        <v>43129</v>
      </c>
      <c r="W519" s="3" t="s">
        <v>1541</v>
      </c>
      <c r="X519" s="23">
        <v>13054</v>
      </c>
    </row>
    <row r="520" spans="1:24" x14ac:dyDescent="0.2">
      <c r="A520" s="2">
        <v>1706054</v>
      </c>
      <c r="B520" s="6">
        <v>42908.37660462963</v>
      </c>
      <c r="C520" s="6">
        <v>42942.490908564818</v>
      </c>
      <c r="D520" s="6">
        <v>42948</v>
      </c>
      <c r="E520" s="6">
        <v>42948</v>
      </c>
      <c r="F520" s="2" t="s">
        <v>26</v>
      </c>
      <c r="G520" s="2" t="s">
        <v>26</v>
      </c>
      <c r="H520" s="2" t="s">
        <v>26</v>
      </c>
      <c r="I520" s="2" t="s">
        <v>26</v>
      </c>
      <c r="J520" s="2" t="s">
        <v>26</v>
      </c>
      <c r="K520" s="2" t="s">
        <v>8</v>
      </c>
      <c r="L520" s="2" t="s">
        <v>34</v>
      </c>
      <c r="M520" s="2" t="s">
        <v>28</v>
      </c>
      <c r="N520" s="2" t="s">
        <v>1542</v>
      </c>
      <c r="O520" s="2" t="s">
        <v>120</v>
      </c>
      <c r="P520" s="5">
        <v>995031933</v>
      </c>
      <c r="R520" s="2" t="s">
        <v>1543</v>
      </c>
      <c r="S520" s="2" t="s">
        <v>31</v>
      </c>
      <c r="T520" s="2" t="s">
        <v>116</v>
      </c>
      <c r="U520" s="2">
        <v>2015</v>
      </c>
      <c r="V520" s="6">
        <v>43065</v>
      </c>
      <c r="W520" s="3" t="s">
        <v>33</v>
      </c>
    </row>
    <row r="521" spans="1:24" x14ac:dyDescent="0.2">
      <c r="A521" s="2">
        <v>1706055</v>
      </c>
      <c r="B521" s="6">
        <v>42908.457267245372</v>
      </c>
      <c r="C521" s="6">
        <v>43014.68838078704</v>
      </c>
      <c r="D521" s="6">
        <v>2</v>
      </c>
      <c r="F521" s="2">
        <v>-43012.68838078704</v>
      </c>
      <c r="G521" s="2" t="s">
        <v>11</v>
      </c>
      <c r="H521" s="2" t="s">
        <v>975</v>
      </c>
      <c r="I521" s="2" t="s">
        <v>95</v>
      </c>
      <c r="J521" s="2" t="s">
        <v>95</v>
      </c>
      <c r="K521" s="2" t="s">
        <v>8</v>
      </c>
      <c r="L521" s="2" t="s">
        <v>170</v>
      </c>
      <c r="M521" s="2" t="s">
        <v>28</v>
      </c>
      <c r="N521" s="2" t="s">
        <v>1544</v>
      </c>
      <c r="O521" s="2" t="s">
        <v>128</v>
      </c>
      <c r="P521" s="5">
        <v>817351409</v>
      </c>
      <c r="R521" s="2" t="s">
        <v>1545</v>
      </c>
      <c r="S521" s="2" t="s">
        <v>55</v>
      </c>
      <c r="T521" s="2" t="s">
        <v>56</v>
      </c>
      <c r="U521" s="2">
        <v>2012</v>
      </c>
      <c r="V521" s="6">
        <v>42903</v>
      </c>
      <c r="W521" s="3" t="s">
        <v>250</v>
      </c>
      <c r="X521" s="23">
        <v>0</v>
      </c>
    </row>
    <row r="522" spans="1:24" x14ac:dyDescent="0.2">
      <c r="A522" s="2">
        <v>1706056</v>
      </c>
      <c r="B522" s="6">
        <v>42908.683527199071</v>
      </c>
      <c r="C522" s="6">
        <v>42985.600910069443</v>
      </c>
      <c r="D522" s="6">
        <v>42993</v>
      </c>
      <c r="E522" s="6">
        <v>42994</v>
      </c>
      <c r="F522" s="2" t="s">
        <v>26</v>
      </c>
      <c r="G522" s="2" t="s">
        <v>26</v>
      </c>
      <c r="H522" s="2" t="s">
        <v>26</v>
      </c>
      <c r="I522" s="2" t="s">
        <v>26</v>
      </c>
      <c r="J522" s="2" t="s">
        <v>26</v>
      </c>
      <c r="K522" s="2" t="s">
        <v>8</v>
      </c>
      <c r="L522" s="2" t="s">
        <v>34</v>
      </c>
      <c r="M522" s="2" t="s">
        <v>45</v>
      </c>
      <c r="N522" s="2" t="s">
        <v>1546</v>
      </c>
      <c r="O522" s="2" t="s">
        <v>120</v>
      </c>
      <c r="P522" s="5">
        <v>625375610</v>
      </c>
      <c r="R522" s="2" t="s">
        <v>2652</v>
      </c>
      <c r="S522" s="2" t="s">
        <v>55</v>
      </c>
      <c r="T522" s="2" t="s">
        <v>142</v>
      </c>
      <c r="U522" s="2">
        <v>2005</v>
      </c>
      <c r="V522" s="6" t="s">
        <v>72</v>
      </c>
      <c r="X522" s="23">
        <v>6270.4</v>
      </c>
    </row>
    <row r="523" spans="1:24" x14ac:dyDescent="0.2">
      <c r="A523" s="2">
        <v>1706057</v>
      </c>
      <c r="B523" s="6">
        <v>42909.398054976853</v>
      </c>
      <c r="C523" s="6">
        <v>42931.629344212961</v>
      </c>
      <c r="D523" s="6">
        <v>42940</v>
      </c>
      <c r="E523" s="6">
        <v>42952</v>
      </c>
      <c r="F523" s="2" t="s">
        <v>26</v>
      </c>
      <c r="G523" s="2" t="s">
        <v>26</v>
      </c>
      <c r="H523" s="2" t="s">
        <v>26</v>
      </c>
      <c r="I523" s="2" t="s">
        <v>26</v>
      </c>
      <c r="J523" s="2" t="s">
        <v>26</v>
      </c>
      <c r="K523" s="2" t="s">
        <v>8</v>
      </c>
      <c r="L523" s="2" t="s">
        <v>981</v>
      </c>
      <c r="M523" s="2" t="s">
        <v>45</v>
      </c>
      <c r="N523" s="2" t="s">
        <v>1547</v>
      </c>
      <c r="O523" s="2" t="s">
        <v>208</v>
      </c>
      <c r="P523" s="5">
        <v>890404871</v>
      </c>
      <c r="R523" s="2" t="s">
        <v>1548</v>
      </c>
      <c r="S523" s="2" t="s">
        <v>49</v>
      </c>
      <c r="T523" s="2" t="s">
        <v>79</v>
      </c>
      <c r="U523" s="2">
        <v>2007</v>
      </c>
      <c r="V523" s="6">
        <v>43129</v>
      </c>
      <c r="W523" s="3" t="s">
        <v>573</v>
      </c>
    </row>
    <row r="524" spans="1:24" x14ac:dyDescent="0.2">
      <c r="A524" s="2">
        <v>1706058</v>
      </c>
      <c r="B524" s="6">
        <v>42909.550014814813</v>
      </c>
      <c r="C524" s="6">
        <v>42909.551204976851</v>
      </c>
      <c r="D524" s="6">
        <v>0</v>
      </c>
      <c r="E524" s="6">
        <v>42938</v>
      </c>
      <c r="F524" s="2" t="s">
        <v>26</v>
      </c>
      <c r="G524" s="2" t="s">
        <v>26</v>
      </c>
      <c r="H524" s="2" t="s">
        <v>26</v>
      </c>
      <c r="I524" s="2" t="s">
        <v>26</v>
      </c>
      <c r="J524" s="2" t="s">
        <v>26</v>
      </c>
      <c r="K524" s="2" t="s">
        <v>8</v>
      </c>
      <c r="L524" s="2" t="s">
        <v>170</v>
      </c>
      <c r="M524" s="2" t="s">
        <v>28</v>
      </c>
      <c r="N524" s="2" t="s">
        <v>1549</v>
      </c>
      <c r="O524" s="2" t="s">
        <v>59</v>
      </c>
      <c r="P524" s="5">
        <v>841315295</v>
      </c>
      <c r="R524" s="2" t="s">
        <v>1550</v>
      </c>
      <c r="S524" s="2" t="s">
        <v>524</v>
      </c>
      <c r="T524" s="2" t="s">
        <v>1405</v>
      </c>
      <c r="U524" s="2">
        <v>2010</v>
      </c>
      <c r="V524" s="6">
        <v>43215</v>
      </c>
      <c r="W524" s="3" t="s">
        <v>768</v>
      </c>
      <c r="X524" s="23">
        <v>9650</v>
      </c>
    </row>
    <row r="525" spans="1:24" x14ac:dyDescent="0.2">
      <c r="A525" s="2">
        <v>1706059</v>
      </c>
      <c r="B525" s="6">
        <v>42910.420295833334</v>
      </c>
      <c r="C525" s="6">
        <v>42910.431231365743</v>
      </c>
      <c r="D525" s="6">
        <v>42920</v>
      </c>
      <c r="E525" s="6">
        <v>42926.389487152781</v>
      </c>
      <c r="F525" s="2" t="s">
        <v>26</v>
      </c>
      <c r="G525" s="2" t="s">
        <v>26</v>
      </c>
      <c r="H525" s="2" t="s">
        <v>26</v>
      </c>
      <c r="I525" s="2" t="s">
        <v>26</v>
      </c>
      <c r="J525" s="2" t="s">
        <v>26</v>
      </c>
      <c r="K525" s="2" t="s">
        <v>8</v>
      </c>
      <c r="L525" s="2" t="s">
        <v>27</v>
      </c>
      <c r="M525" s="2" t="s">
        <v>295</v>
      </c>
      <c r="N525" s="2" t="s">
        <v>1551</v>
      </c>
      <c r="O525" s="2" t="s">
        <v>208</v>
      </c>
      <c r="P525" s="5">
        <v>934419642</v>
      </c>
      <c r="R525" s="2" t="s">
        <v>1552</v>
      </c>
      <c r="S525" s="2" t="s">
        <v>55</v>
      </c>
      <c r="T525" s="2" t="s">
        <v>76</v>
      </c>
      <c r="U525" s="2">
        <v>1996</v>
      </c>
      <c r="V525" s="6">
        <v>43463</v>
      </c>
      <c r="W525" s="3" t="s">
        <v>44</v>
      </c>
      <c r="X525" s="23">
        <v>3177.57</v>
      </c>
    </row>
    <row r="526" spans="1:24" x14ac:dyDescent="0.2">
      <c r="A526" s="2">
        <v>1706060</v>
      </c>
      <c r="B526" s="6">
        <v>42910.43432349537</v>
      </c>
      <c r="C526" s="6">
        <v>42921.370624537034</v>
      </c>
      <c r="D526" s="6">
        <v>42923</v>
      </c>
      <c r="E526" s="6">
        <v>42926.389051736114</v>
      </c>
      <c r="F526" s="2" t="s">
        <v>26</v>
      </c>
      <c r="G526" s="2" t="s">
        <v>26</v>
      </c>
      <c r="H526" s="2" t="s">
        <v>26</v>
      </c>
      <c r="I526" s="2" t="s">
        <v>26</v>
      </c>
      <c r="J526" s="2" t="s">
        <v>26</v>
      </c>
      <c r="K526" s="2" t="s">
        <v>8</v>
      </c>
      <c r="L526" s="2" t="s">
        <v>27</v>
      </c>
      <c r="M526" s="2" t="s">
        <v>28</v>
      </c>
      <c r="N526" s="2" t="s">
        <v>104</v>
      </c>
      <c r="O526" s="2" t="s">
        <v>47</v>
      </c>
      <c r="P526" s="5">
        <v>801239650</v>
      </c>
      <c r="R526" s="2" t="s">
        <v>105</v>
      </c>
      <c r="S526" s="2" t="s">
        <v>37</v>
      </c>
      <c r="T526" s="2" t="s">
        <v>102</v>
      </c>
      <c r="U526" s="2">
        <v>2013</v>
      </c>
      <c r="V526" s="6">
        <v>43261</v>
      </c>
      <c r="W526" s="3" t="s">
        <v>974</v>
      </c>
    </row>
    <row r="527" spans="1:24" x14ac:dyDescent="0.2">
      <c r="A527" s="2">
        <v>1706061</v>
      </c>
      <c r="B527" s="6">
        <v>42910.436190162036</v>
      </c>
      <c r="C527" s="6">
        <v>42963.390616550925</v>
      </c>
      <c r="D527" s="6">
        <v>42973</v>
      </c>
      <c r="E527" s="6">
        <v>42972</v>
      </c>
      <c r="F527" s="2" t="s">
        <v>26</v>
      </c>
      <c r="G527" s="2" t="s">
        <v>26</v>
      </c>
      <c r="H527" s="2" t="s">
        <v>26</v>
      </c>
      <c r="I527" s="2" t="s">
        <v>26</v>
      </c>
      <c r="J527" s="2" t="s">
        <v>26</v>
      </c>
      <c r="K527" s="2" t="s">
        <v>8</v>
      </c>
      <c r="L527" s="2" t="s">
        <v>27</v>
      </c>
      <c r="M527" s="2" t="s">
        <v>28</v>
      </c>
      <c r="N527" s="2" t="s">
        <v>1553</v>
      </c>
      <c r="O527" s="2" t="s">
        <v>114</v>
      </c>
      <c r="P527" s="5">
        <v>935390945</v>
      </c>
      <c r="R527" s="2" t="s">
        <v>1554</v>
      </c>
      <c r="S527" s="2" t="s">
        <v>243</v>
      </c>
      <c r="T527" s="2" t="s">
        <v>244</v>
      </c>
      <c r="U527" s="2">
        <v>2006</v>
      </c>
      <c r="V527" s="6">
        <v>43094</v>
      </c>
      <c r="W527" s="3" t="s">
        <v>1555</v>
      </c>
      <c r="X527" s="23">
        <v>9221.57</v>
      </c>
    </row>
    <row r="528" spans="1:24" x14ac:dyDescent="0.2">
      <c r="A528" s="2">
        <v>1706062</v>
      </c>
      <c r="B528" s="6">
        <v>42912.705889930556</v>
      </c>
      <c r="F528" s="2" t="s">
        <v>126</v>
      </c>
      <c r="G528" s="2" t="s">
        <v>126</v>
      </c>
      <c r="H528" s="2" t="s">
        <v>126</v>
      </c>
      <c r="I528" s="2" t="s">
        <v>126</v>
      </c>
      <c r="J528" s="2" t="s">
        <v>126</v>
      </c>
      <c r="K528" s="2" t="s">
        <v>8</v>
      </c>
      <c r="L528" s="2" t="s">
        <v>981</v>
      </c>
      <c r="M528" s="2" t="s">
        <v>28</v>
      </c>
      <c r="N528" s="2" t="s">
        <v>1556</v>
      </c>
      <c r="O528" s="2" t="s">
        <v>68</v>
      </c>
      <c r="P528" s="5">
        <v>838430184</v>
      </c>
      <c r="R528" s="2" t="s">
        <v>1557</v>
      </c>
      <c r="S528" s="2" t="s">
        <v>49</v>
      </c>
      <c r="T528" s="2" t="s">
        <v>79</v>
      </c>
      <c r="U528" s="2">
        <v>2011</v>
      </c>
      <c r="V528" s="6">
        <v>43214</v>
      </c>
      <c r="W528" s="3" t="s">
        <v>57</v>
      </c>
      <c r="X528" s="23">
        <v>0</v>
      </c>
    </row>
    <row r="529" spans="1:24" x14ac:dyDescent="0.2">
      <c r="A529" s="2">
        <v>1706063</v>
      </c>
      <c r="B529" s="6">
        <v>42912.707359490742</v>
      </c>
      <c r="C529" s="6">
        <v>43026.410559606484</v>
      </c>
      <c r="D529" s="6">
        <v>43034</v>
      </c>
      <c r="F529" s="2">
        <v>7.58944039351627</v>
      </c>
      <c r="G529" s="2" t="s">
        <v>11</v>
      </c>
      <c r="H529" s="2" t="s">
        <v>95</v>
      </c>
      <c r="I529" s="2" t="s">
        <v>95</v>
      </c>
      <c r="J529" s="2" t="s">
        <v>95</v>
      </c>
      <c r="K529" s="2" t="s">
        <v>8</v>
      </c>
      <c r="L529" s="2" t="s">
        <v>34</v>
      </c>
      <c r="M529" s="2" t="s">
        <v>61</v>
      </c>
      <c r="N529" s="2" t="s">
        <v>1558</v>
      </c>
      <c r="P529" s="5">
        <v>636936298</v>
      </c>
      <c r="R529" s="2" t="s">
        <v>1559</v>
      </c>
      <c r="S529" s="2" t="s">
        <v>49</v>
      </c>
      <c r="T529" s="2" t="s">
        <v>205</v>
      </c>
      <c r="U529" s="2">
        <v>2011</v>
      </c>
      <c r="V529" s="6">
        <v>42936</v>
      </c>
      <c r="W529" s="3" t="s">
        <v>342</v>
      </c>
      <c r="X529" s="23">
        <v>2450</v>
      </c>
    </row>
    <row r="530" spans="1:24" x14ac:dyDescent="0.2">
      <c r="A530" s="2">
        <v>1706064</v>
      </c>
      <c r="B530" s="6">
        <v>42912.709701273146</v>
      </c>
      <c r="C530" s="6">
        <v>42937.39178622685</v>
      </c>
      <c r="D530" s="6">
        <v>42945</v>
      </c>
      <c r="E530" s="6">
        <v>42945</v>
      </c>
      <c r="F530" s="2" t="s">
        <v>26</v>
      </c>
      <c r="G530" s="2" t="s">
        <v>26</v>
      </c>
      <c r="H530" s="2" t="s">
        <v>26</v>
      </c>
      <c r="I530" s="2" t="s">
        <v>26</v>
      </c>
      <c r="J530" s="2" t="s">
        <v>26</v>
      </c>
      <c r="K530" s="2" t="s">
        <v>8</v>
      </c>
      <c r="L530" s="2" t="s">
        <v>34</v>
      </c>
      <c r="M530" s="2" t="s">
        <v>45</v>
      </c>
      <c r="N530" s="2" t="s">
        <v>1560</v>
      </c>
      <c r="O530" s="2" t="s">
        <v>128</v>
      </c>
      <c r="P530" s="5">
        <v>816230480</v>
      </c>
      <c r="R530" s="2" t="s">
        <v>1561</v>
      </c>
      <c r="S530" s="2" t="s">
        <v>49</v>
      </c>
      <c r="T530" s="2" t="s">
        <v>130</v>
      </c>
      <c r="U530" s="2">
        <v>2005</v>
      </c>
      <c r="V530" s="6">
        <v>43067</v>
      </c>
      <c r="W530" s="3" t="s">
        <v>1562</v>
      </c>
    </row>
    <row r="531" spans="1:24" x14ac:dyDescent="0.2">
      <c r="A531" s="2">
        <v>1706065</v>
      </c>
      <c r="B531" s="6">
        <v>42913.422644212966</v>
      </c>
      <c r="C531" s="6">
        <v>42913.425770833332</v>
      </c>
      <c r="D531" s="6">
        <v>42922</v>
      </c>
      <c r="E531" s="6">
        <v>42923.429622569442</v>
      </c>
      <c r="F531" s="2" t="s">
        <v>26</v>
      </c>
      <c r="G531" s="2" t="s">
        <v>26</v>
      </c>
      <c r="H531" s="2" t="s">
        <v>26</v>
      </c>
      <c r="I531" s="2" t="s">
        <v>26</v>
      </c>
      <c r="J531" s="2" t="s">
        <v>26</v>
      </c>
      <c r="K531" s="2" t="s">
        <v>8</v>
      </c>
      <c r="L531" s="2" t="s">
        <v>34</v>
      </c>
      <c r="M531" s="2" t="s">
        <v>28</v>
      </c>
      <c r="N531" s="2" t="s">
        <v>1418</v>
      </c>
      <c r="O531" s="2" t="s">
        <v>47</v>
      </c>
      <c r="P531" s="5">
        <v>868983846</v>
      </c>
      <c r="R531" s="2" t="s">
        <v>1563</v>
      </c>
      <c r="S531" s="2" t="s">
        <v>70</v>
      </c>
      <c r="T531" s="2" t="s">
        <v>692</v>
      </c>
      <c r="U531" s="2">
        <v>2003</v>
      </c>
      <c r="V531" s="6">
        <v>43165</v>
      </c>
      <c r="W531" s="3" t="s">
        <v>44</v>
      </c>
    </row>
    <row r="532" spans="1:24" x14ac:dyDescent="0.2">
      <c r="A532" s="2">
        <v>1706066</v>
      </c>
      <c r="B532" s="6">
        <v>42914.433459259257</v>
      </c>
      <c r="C532" s="6">
        <v>42933.687010300928</v>
      </c>
      <c r="D532" s="6">
        <v>42938</v>
      </c>
      <c r="E532" s="6">
        <v>42948</v>
      </c>
      <c r="F532" s="2" t="s">
        <v>26</v>
      </c>
      <c r="G532" s="2" t="s">
        <v>26</v>
      </c>
      <c r="H532" s="2" t="s">
        <v>26</v>
      </c>
      <c r="I532" s="2" t="s">
        <v>26</v>
      </c>
      <c r="J532" s="2" t="s">
        <v>26</v>
      </c>
      <c r="K532" s="2" t="s">
        <v>8</v>
      </c>
      <c r="L532" s="2" t="s">
        <v>981</v>
      </c>
      <c r="M532" s="2" t="s">
        <v>45</v>
      </c>
      <c r="N532" s="2" t="s">
        <v>1564</v>
      </c>
      <c r="O532" s="2" t="s">
        <v>520</v>
      </c>
      <c r="P532" s="5">
        <v>840000249</v>
      </c>
      <c r="R532" s="2" t="s">
        <v>1565</v>
      </c>
      <c r="S532" s="2" t="s">
        <v>49</v>
      </c>
      <c r="T532" s="2" t="s">
        <v>76</v>
      </c>
      <c r="U532" s="2">
        <v>2013</v>
      </c>
      <c r="V532" s="6">
        <v>42984</v>
      </c>
      <c r="W532" s="3" t="s">
        <v>219</v>
      </c>
      <c r="X532" s="23">
        <v>27860</v>
      </c>
    </row>
    <row r="533" spans="1:24" x14ac:dyDescent="0.2">
      <c r="A533" s="2">
        <v>1706067</v>
      </c>
      <c r="B533" s="6">
        <v>42914.499555671297</v>
      </c>
      <c r="C533" s="6">
        <v>42914.50404699074</v>
      </c>
      <c r="D533" s="6">
        <v>42926</v>
      </c>
      <c r="E533" s="6">
        <v>42935.360063078704</v>
      </c>
      <c r="F533" s="2" t="s">
        <v>26</v>
      </c>
      <c r="G533" s="2" t="s">
        <v>26</v>
      </c>
      <c r="H533" s="2" t="s">
        <v>26</v>
      </c>
      <c r="I533" s="2" t="s">
        <v>26</v>
      </c>
      <c r="J533" s="2" t="s">
        <v>26</v>
      </c>
      <c r="K533" s="2" t="s">
        <v>8</v>
      </c>
      <c r="L533" s="2" t="s">
        <v>27</v>
      </c>
      <c r="M533" s="2" t="s">
        <v>61</v>
      </c>
      <c r="N533" s="2" t="s">
        <v>1566</v>
      </c>
      <c r="O533" s="2" t="s">
        <v>107</v>
      </c>
      <c r="P533" s="5">
        <v>845216480</v>
      </c>
      <c r="R533" s="2" t="s">
        <v>1567</v>
      </c>
      <c r="S533" s="2" t="s">
        <v>31</v>
      </c>
      <c r="T533" s="2" t="s">
        <v>283</v>
      </c>
      <c r="U533" s="2">
        <v>2012</v>
      </c>
      <c r="V533" s="6">
        <v>43211</v>
      </c>
      <c r="W533" s="3" t="s">
        <v>266</v>
      </c>
      <c r="X533" s="23">
        <v>0</v>
      </c>
    </row>
    <row r="534" spans="1:24" x14ac:dyDescent="0.2">
      <c r="A534" s="2">
        <v>1706068</v>
      </c>
      <c r="B534" s="6">
        <v>42915.501963888892</v>
      </c>
      <c r="C534" s="6">
        <v>42940.463427430557</v>
      </c>
      <c r="D534" s="6">
        <v>42945</v>
      </c>
      <c r="E534" s="6">
        <v>42949</v>
      </c>
      <c r="F534" s="2" t="s">
        <v>26</v>
      </c>
      <c r="G534" s="2" t="s">
        <v>26</v>
      </c>
      <c r="H534" s="2" t="s">
        <v>26</v>
      </c>
      <c r="I534" s="2" t="s">
        <v>26</v>
      </c>
      <c r="J534" s="2" t="s">
        <v>26</v>
      </c>
      <c r="K534" s="2" t="s">
        <v>8</v>
      </c>
      <c r="L534" s="2" t="s">
        <v>34</v>
      </c>
      <c r="M534" s="2" t="s">
        <v>45</v>
      </c>
      <c r="N534" s="2" t="s">
        <v>1568</v>
      </c>
      <c r="O534" s="2" t="s">
        <v>41</v>
      </c>
      <c r="P534" s="5">
        <v>909023027</v>
      </c>
      <c r="R534" s="2" t="s">
        <v>1569</v>
      </c>
      <c r="S534" s="2" t="s">
        <v>49</v>
      </c>
      <c r="T534" s="2" t="s">
        <v>205</v>
      </c>
      <c r="U534" s="2">
        <v>2007</v>
      </c>
      <c r="V534" s="6">
        <v>43161</v>
      </c>
      <c r="W534" s="3">
        <v>0</v>
      </c>
      <c r="X534" s="23">
        <v>3883.18</v>
      </c>
    </row>
    <row r="535" spans="1:24" x14ac:dyDescent="0.2">
      <c r="A535" s="2">
        <v>1706069</v>
      </c>
      <c r="B535" s="6">
        <v>42916.683711458332</v>
      </c>
      <c r="C535" s="6">
        <v>42941.416090393519</v>
      </c>
      <c r="D535" s="6">
        <v>42952</v>
      </c>
      <c r="E535" s="6">
        <v>42954</v>
      </c>
      <c r="F535" s="2" t="s">
        <v>26</v>
      </c>
      <c r="G535" s="2" t="s">
        <v>26</v>
      </c>
      <c r="H535" s="2" t="s">
        <v>26</v>
      </c>
      <c r="I535" s="2" t="s">
        <v>26</v>
      </c>
      <c r="J535" s="2" t="s">
        <v>26</v>
      </c>
      <c r="K535" s="2" t="s">
        <v>8</v>
      </c>
      <c r="L535" s="2" t="s">
        <v>27</v>
      </c>
      <c r="M535" s="2" t="s">
        <v>28</v>
      </c>
      <c r="N535" s="2" t="s">
        <v>1570</v>
      </c>
      <c r="P535" s="5">
        <v>924724027</v>
      </c>
      <c r="R535" s="2" t="s">
        <v>1571</v>
      </c>
      <c r="S535" s="2" t="s">
        <v>49</v>
      </c>
      <c r="T535" s="2" t="s">
        <v>151</v>
      </c>
      <c r="U535" s="2">
        <v>2012</v>
      </c>
      <c r="V535" s="6" t="s">
        <v>72</v>
      </c>
      <c r="X535" s="23">
        <v>6485.98</v>
      </c>
    </row>
    <row r="536" spans="1:24" x14ac:dyDescent="0.2">
      <c r="A536" s="2">
        <v>1706070</v>
      </c>
      <c r="B536" s="6">
        <v>42916.68559872685</v>
      </c>
      <c r="F536" s="2" t="s">
        <v>126</v>
      </c>
      <c r="G536" s="2" t="s">
        <v>126</v>
      </c>
      <c r="H536" s="2" t="s">
        <v>126</v>
      </c>
      <c r="I536" s="2" t="s">
        <v>126</v>
      </c>
      <c r="J536" s="2" t="s">
        <v>126</v>
      </c>
      <c r="K536" s="2" t="s">
        <v>8</v>
      </c>
      <c r="L536" s="2" t="s">
        <v>27</v>
      </c>
      <c r="M536" s="2" t="s">
        <v>416</v>
      </c>
      <c r="N536" s="2" t="s">
        <v>1572</v>
      </c>
      <c r="O536" s="2" t="s">
        <v>114</v>
      </c>
      <c r="P536" s="5">
        <v>816334218</v>
      </c>
      <c r="R536" s="2" t="s">
        <v>1573</v>
      </c>
      <c r="S536" s="2" t="s">
        <v>70</v>
      </c>
      <c r="T536" s="2" t="s">
        <v>317</v>
      </c>
      <c r="U536" s="2">
        <v>2011</v>
      </c>
      <c r="V536" s="6">
        <v>43236</v>
      </c>
      <c r="W536" s="3" t="s">
        <v>194</v>
      </c>
    </row>
    <row r="537" spans="1:24" x14ac:dyDescent="0.2">
      <c r="A537" s="2">
        <v>1707001</v>
      </c>
      <c r="B537" s="6">
        <v>42921.416866782405</v>
      </c>
      <c r="C537" s="6">
        <v>42944.553568518517</v>
      </c>
      <c r="D537" s="6">
        <v>42963</v>
      </c>
      <c r="E537" s="6">
        <v>42970</v>
      </c>
      <c r="F537" s="2" t="s">
        <v>26</v>
      </c>
      <c r="G537" s="2" t="s">
        <v>26</v>
      </c>
      <c r="H537" s="2" t="s">
        <v>26</v>
      </c>
      <c r="I537" s="2" t="s">
        <v>26</v>
      </c>
      <c r="J537" s="2" t="s">
        <v>26</v>
      </c>
      <c r="K537" s="2" t="s">
        <v>8</v>
      </c>
      <c r="L537" s="2" t="s">
        <v>27</v>
      </c>
      <c r="M537" s="2" t="s">
        <v>45</v>
      </c>
      <c r="N537" s="2" t="s">
        <v>1574</v>
      </c>
      <c r="O537" s="2" t="s">
        <v>68</v>
      </c>
      <c r="P537" s="5">
        <v>814200043</v>
      </c>
      <c r="R537" s="2" t="s">
        <v>1575</v>
      </c>
      <c r="S537" s="2" t="s">
        <v>64</v>
      </c>
      <c r="T537" s="2" t="s">
        <v>445</v>
      </c>
      <c r="U537" s="2">
        <v>2008</v>
      </c>
      <c r="V537" s="6">
        <v>43056</v>
      </c>
      <c r="W537" s="3" t="s">
        <v>229</v>
      </c>
    </row>
    <row r="538" spans="1:24" x14ac:dyDescent="0.2">
      <c r="A538" s="2">
        <v>1707002</v>
      </c>
      <c r="B538" s="6">
        <v>42921.41870451389</v>
      </c>
      <c r="C538" s="6">
        <v>42931.644520486108</v>
      </c>
      <c r="D538" s="6">
        <v>42938</v>
      </c>
      <c r="E538" s="6">
        <v>42938</v>
      </c>
      <c r="F538" s="2" t="s">
        <v>26</v>
      </c>
      <c r="G538" s="2" t="s">
        <v>26</v>
      </c>
      <c r="H538" s="2" t="s">
        <v>26</v>
      </c>
      <c r="I538" s="2" t="s">
        <v>26</v>
      </c>
      <c r="J538" s="2" t="s">
        <v>26</v>
      </c>
      <c r="K538" s="2" t="s">
        <v>8</v>
      </c>
      <c r="L538" s="2" t="s">
        <v>27</v>
      </c>
      <c r="M538" s="2" t="s">
        <v>28</v>
      </c>
      <c r="N538" s="2" t="s">
        <v>1576</v>
      </c>
      <c r="O538" s="2" t="s">
        <v>1577</v>
      </c>
      <c r="P538" s="5">
        <v>855103977</v>
      </c>
      <c r="R538" s="2" t="s">
        <v>1578</v>
      </c>
      <c r="S538" s="2" t="s">
        <v>49</v>
      </c>
      <c r="T538" s="2" t="s">
        <v>50</v>
      </c>
      <c r="U538" s="2">
        <v>2004</v>
      </c>
      <c r="V538" s="6">
        <v>43095</v>
      </c>
      <c r="W538" s="3" t="s">
        <v>44</v>
      </c>
      <c r="X538" s="23">
        <v>8050</v>
      </c>
    </row>
    <row r="539" spans="1:24" x14ac:dyDescent="0.2">
      <c r="A539" s="2">
        <v>1707003</v>
      </c>
      <c r="B539" s="6">
        <v>42921.420096180555</v>
      </c>
      <c r="C539" s="6">
        <v>42930.660839814816</v>
      </c>
      <c r="D539" s="6">
        <v>42940</v>
      </c>
      <c r="E539" s="6">
        <v>42945</v>
      </c>
      <c r="F539" s="2" t="s">
        <v>26</v>
      </c>
      <c r="G539" s="2" t="s">
        <v>26</v>
      </c>
      <c r="H539" s="2" t="s">
        <v>26</v>
      </c>
      <c r="I539" s="2" t="s">
        <v>26</v>
      </c>
      <c r="J539" s="2" t="s">
        <v>26</v>
      </c>
      <c r="K539" s="2" t="s">
        <v>8</v>
      </c>
      <c r="L539" s="2" t="s">
        <v>34</v>
      </c>
      <c r="M539" s="2" t="s">
        <v>118</v>
      </c>
      <c r="N539" s="2" t="s">
        <v>1089</v>
      </c>
      <c r="O539" s="2" t="s">
        <v>128</v>
      </c>
      <c r="P539" s="5">
        <v>841299978</v>
      </c>
      <c r="R539" s="2" t="s">
        <v>1090</v>
      </c>
      <c r="S539" s="2" t="s">
        <v>31</v>
      </c>
      <c r="T539" s="2" t="s">
        <v>283</v>
      </c>
      <c r="U539" s="2">
        <v>2009</v>
      </c>
      <c r="V539" s="6">
        <v>43271</v>
      </c>
      <c r="W539" s="3" t="s">
        <v>39</v>
      </c>
      <c r="X539" s="23">
        <v>1055</v>
      </c>
    </row>
    <row r="540" spans="1:24" x14ac:dyDescent="0.2">
      <c r="A540" s="2">
        <v>1707004</v>
      </c>
      <c r="B540" s="6">
        <v>42921.422066319443</v>
      </c>
      <c r="C540" s="6">
        <v>42921.441109837964</v>
      </c>
      <c r="D540" s="6">
        <v>0</v>
      </c>
      <c r="E540" s="6">
        <v>42965</v>
      </c>
      <c r="F540" s="2" t="s">
        <v>26</v>
      </c>
      <c r="G540" s="2" t="s">
        <v>26</v>
      </c>
      <c r="H540" s="2" t="s">
        <v>26</v>
      </c>
      <c r="I540" s="2" t="s">
        <v>26</v>
      </c>
      <c r="J540" s="2" t="s">
        <v>26</v>
      </c>
      <c r="K540" s="2" t="s">
        <v>8</v>
      </c>
      <c r="L540" s="2" t="s">
        <v>27</v>
      </c>
      <c r="M540" s="2" t="s">
        <v>61</v>
      </c>
      <c r="N540" s="2" t="s">
        <v>1579</v>
      </c>
      <c r="O540" s="2" t="s">
        <v>208</v>
      </c>
      <c r="P540" s="5">
        <v>982737527</v>
      </c>
      <c r="Q540" s="5">
        <v>27018993</v>
      </c>
      <c r="R540" s="2" t="s">
        <v>1580</v>
      </c>
      <c r="S540" s="2" t="s">
        <v>55</v>
      </c>
      <c r="T540" s="2" t="s">
        <v>222</v>
      </c>
      <c r="V540" s="6" t="s">
        <v>72</v>
      </c>
      <c r="X540" s="23">
        <v>0</v>
      </c>
    </row>
    <row r="541" spans="1:24" x14ac:dyDescent="0.2">
      <c r="A541" s="2">
        <v>1707005</v>
      </c>
      <c r="B541" s="6">
        <v>42921.443749652775</v>
      </c>
      <c r="F541" s="2" t="s">
        <v>126</v>
      </c>
      <c r="G541" s="2" t="s">
        <v>126</v>
      </c>
      <c r="H541" s="2" t="s">
        <v>126</v>
      </c>
      <c r="I541" s="2" t="s">
        <v>126</v>
      </c>
      <c r="J541" s="2" t="s">
        <v>126</v>
      </c>
      <c r="K541" s="2" t="s">
        <v>8</v>
      </c>
      <c r="L541" s="2" t="s">
        <v>981</v>
      </c>
      <c r="M541" s="2" t="s">
        <v>139</v>
      </c>
      <c r="N541" s="2" t="s">
        <v>1581</v>
      </c>
      <c r="O541" s="2" t="s">
        <v>59</v>
      </c>
      <c r="P541" s="5">
        <v>898826614</v>
      </c>
      <c r="R541" s="2" t="s">
        <v>1582</v>
      </c>
      <c r="S541" s="2" t="s">
        <v>55</v>
      </c>
      <c r="T541" s="2" t="s">
        <v>222</v>
      </c>
      <c r="U541" s="2">
        <v>2005</v>
      </c>
      <c r="V541" s="6">
        <v>43143</v>
      </c>
      <c r="W541" s="3" t="s">
        <v>775</v>
      </c>
      <c r="X541" s="23">
        <v>0</v>
      </c>
    </row>
    <row r="542" spans="1:24" x14ac:dyDescent="0.2">
      <c r="A542" s="2">
        <v>1707006</v>
      </c>
      <c r="B542" s="6">
        <v>42921.448247222223</v>
      </c>
      <c r="C542" s="6">
        <v>42962.388037615739</v>
      </c>
      <c r="D542" s="6">
        <v>42963</v>
      </c>
      <c r="E542" s="6" t="s">
        <v>126</v>
      </c>
      <c r="F542" s="2">
        <v>0.61196238426055061</v>
      </c>
      <c r="G542" s="2" t="s">
        <v>11</v>
      </c>
      <c r="H542" s="2" t="s">
        <v>1583</v>
      </c>
      <c r="I542" s="2" t="s">
        <v>94</v>
      </c>
      <c r="J542" s="2" t="s">
        <v>95</v>
      </c>
      <c r="K542" s="2" t="s">
        <v>8</v>
      </c>
      <c r="L542" s="2" t="s">
        <v>27</v>
      </c>
      <c r="M542" s="2" t="s">
        <v>886</v>
      </c>
      <c r="N542" s="2" t="s">
        <v>1584</v>
      </c>
      <c r="O542" s="2" t="s">
        <v>1585</v>
      </c>
      <c r="P542" s="5">
        <v>894832632</v>
      </c>
      <c r="R542" s="2" t="s">
        <v>1586</v>
      </c>
      <c r="S542" s="2" t="s">
        <v>55</v>
      </c>
      <c r="T542" s="2" t="s">
        <v>56</v>
      </c>
      <c r="U542" s="2">
        <v>2013</v>
      </c>
      <c r="V542" s="6">
        <v>42928</v>
      </c>
      <c r="W542" s="3" t="s">
        <v>155</v>
      </c>
      <c r="X542" s="23">
        <v>0</v>
      </c>
    </row>
    <row r="543" spans="1:24" x14ac:dyDescent="0.2">
      <c r="A543" s="2">
        <v>1707007</v>
      </c>
      <c r="B543" s="6">
        <v>42921.453835069442</v>
      </c>
      <c r="C543" s="6">
        <v>42921.458699074072</v>
      </c>
      <c r="D543" s="6">
        <v>0</v>
      </c>
      <c r="E543" s="6">
        <v>43015</v>
      </c>
      <c r="F543" s="2" t="s">
        <v>26</v>
      </c>
      <c r="G543" s="2" t="s">
        <v>26</v>
      </c>
      <c r="H543" s="2" t="s">
        <v>26</v>
      </c>
      <c r="I543" s="2" t="s">
        <v>26</v>
      </c>
      <c r="J543" s="2" t="s">
        <v>26</v>
      </c>
      <c r="K543" s="2" t="s">
        <v>8</v>
      </c>
      <c r="L543" s="2" t="s">
        <v>170</v>
      </c>
      <c r="M543" s="2" t="s">
        <v>28</v>
      </c>
      <c r="N543" s="2" t="s">
        <v>1587</v>
      </c>
      <c r="O543" s="2" t="s">
        <v>68</v>
      </c>
      <c r="P543" s="5">
        <v>909616995</v>
      </c>
      <c r="R543" s="2" t="s">
        <v>1588</v>
      </c>
      <c r="S543" s="2" t="s">
        <v>49</v>
      </c>
      <c r="T543" s="2" t="s">
        <v>205</v>
      </c>
      <c r="U543" s="2">
        <v>2014</v>
      </c>
      <c r="V543" s="6">
        <v>43069</v>
      </c>
      <c r="W543" s="3" t="s">
        <v>1589</v>
      </c>
      <c r="X543" s="23">
        <v>11048</v>
      </c>
    </row>
    <row r="544" spans="1:24" x14ac:dyDescent="0.2">
      <c r="A544" s="2">
        <v>1707008</v>
      </c>
      <c r="B544" s="6">
        <v>42921.556382870367</v>
      </c>
      <c r="F544" s="2" t="s">
        <v>126</v>
      </c>
      <c r="G544" s="2" t="s">
        <v>126</v>
      </c>
      <c r="H544" s="2" t="s">
        <v>126</v>
      </c>
      <c r="I544" s="2" t="s">
        <v>126</v>
      </c>
      <c r="J544" s="2" t="s">
        <v>126</v>
      </c>
      <c r="K544" s="2" t="s">
        <v>8</v>
      </c>
      <c r="L544" s="2" t="s">
        <v>981</v>
      </c>
      <c r="M544" s="2" t="s">
        <v>66</v>
      </c>
      <c r="N544" s="2" t="s">
        <v>1590</v>
      </c>
      <c r="O544" s="2" t="s">
        <v>208</v>
      </c>
      <c r="P544" s="5">
        <v>868954672</v>
      </c>
      <c r="R544" s="2" t="s">
        <v>1591</v>
      </c>
      <c r="S544" s="2" t="s">
        <v>31</v>
      </c>
      <c r="T544" s="2" t="s">
        <v>382</v>
      </c>
      <c r="U544" s="2">
        <v>2005</v>
      </c>
      <c r="V544" s="6" t="s">
        <v>72</v>
      </c>
    </row>
    <row r="545" spans="1:24" x14ac:dyDescent="0.2">
      <c r="A545" s="2">
        <v>1707009</v>
      </c>
      <c r="B545" s="6">
        <v>42921.663939814818</v>
      </c>
      <c r="C545" s="6">
        <v>42926.626107175929</v>
      </c>
      <c r="D545" s="6">
        <v>42950</v>
      </c>
      <c r="E545" s="6">
        <v>42945</v>
      </c>
      <c r="F545" s="2" t="s">
        <v>26</v>
      </c>
      <c r="G545" s="2" t="s">
        <v>26</v>
      </c>
      <c r="H545" s="2" t="s">
        <v>26</v>
      </c>
      <c r="I545" s="2" t="s">
        <v>26</v>
      </c>
      <c r="J545" s="2" t="s">
        <v>26</v>
      </c>
      <c r="K545" s="2" t="s">
        <v>8</v>
      </c>
      <c r="L545" s="2" t="s">
        <v>73</v>
      </c>
      <c r="M545" s="2" t="s">
        <v>45</v>
      </c>
      <c r="N545" s="2" t="s">
        <v>1592</v>
      </c>
      <c r="O545" s="2" t="s">
        <v>239</v>
      </c>
      <c r="P545" s="5">
        <v>800608011</v>
      </c>
      <c r="Q545" s="5">
        <v>928784249</v>
      </c>
      <c r="R545" s="2" t="s">
        <v>1593</v>
      </c>
      <c r="S545" s="2" t="s">
        <v>49</v>
      </c>
      <c r="T545" s="2" t="s">
        <v>79</v>
      </c>
      <c r="U545" s="2">
        <v>2007</v>
      </c>
      <c r="V545" s="6">
        <v>43208</v>
      </c>
      <c r="W545" s="3" t="s">
        <v>573</v>
      </c>
    </row>
    <row r="546" spans="1:24" x14ac:dyDescent="0.2">
      <c r="A546" s="2">
        <v>1707010</v>
      </c>
      <c r="B546" s="6">
        <v>42921.689273032411</v>
      </c>
      <c r="C546" s="6">
        <v>42947.71615104167</v>
      </c>
      <c r="D546" s="6">
        <v>42952</v>
      </c>
      <c r="E546" s="6">
        <v>42958</v>
      </c>
      <c r="F546" s="2" t="s">
        <v>26</v>
      </c>
      <c r="G546" s="2" t="s">
        <v>26</v>
      </c>
      <c r="H546" s="2" t="s">
        <v>26</v>
      </c>
      <c r="I546" s="2" t="s">
        <v>26</v>
      </c>
      <c r="J546" s="2" t="s">
        <v>26</v>
      </c>
      <c r="K546" s="2" t="s">
        <v>8</v>
      </c>
      <c r="L546" s="2" t="s">
        <v>981</v>
      </c>
      <c r="M546" s="2" t="s">
        <v>295</v>
      </c>
      <c r="N546" s="2" t="s">
        <v>1594</v>
      </c>
      <c r="O546" s="2" t="s">
        <v>68</v>
      </c>
      <c r="P546" s="5">
        <v>837908586</v>
      </c>
      <c r="R546" s="2" t="s">
        <v>1595</v>
      </c>
      <c r="S546" s="2" t="s">
        <v>70</v>
      </c>
      <c r="T546" s="2" t="s">
        <v>812</v>
      </c>
      <c r="U546" s="2">
        <v>2009</v>
      </c>
      <c r="V546" s="6" t="s">
        <v>72</v>
      </c>
      <c r="X546" s="23">
        <v>7500</v>
      </c>
    </row>
    <row r="547" spans="1:24" x14ac:dyDescent="0.2">
      <c r="A547" s="2">
        <v>1707011</v>
      </c>
      <c r="B547" s="6">
        <v>42922.402139120371</v>
      </c>
      <c r="C547" s="6">
        <v>42922.453514120367</v>
      </c>
      <c r="D547" s="6">
        <v>0</v>
      </c>
      <c r="E547" s="6">
        <v>42979</v>
      </c>
      <c r="F547" s="2" t="s">
        <v>26</v>
      </c>
      <c r="G547" s="2" t="s">
        <v>26</v>
      </c>
      <c r="H547" s="2" t="s">
        <v>26</v>
      </c>
      <c r="I547" s="2" t="s">
        <v>26</v>
      </c>
      <c r="J547" s="2" t="s">
        <v>26</v>
      </c>
      <c r="K547" s="2" t="s">
        <v>8</v>
      </c>
      <c r="L547" s="2" t="s">
        <v>981</v>
      </c>
      <c r="M547" s="2" t="s">
        <v>28</v>
      </c>
      <c r="N547" s="2" t="s">
        <v>1596</v>
      </c>
      <c r="O547" s="2" t="s">
        <v>120</v>
      </c>
      <c r="P547" s="5">
        <v>848790562</v>
      </c>
      <c r="R547" s="2" t="s">
        <v>1597</v>
      </c>
      <c r="S547" s="2" t="s">
        <v>70</v>
      </c>
      <c r="T547" s="2" t="s">
        <v>1598</v>
      </c>
      <c r="U547" s="2">
        <v>1992</v>
      </c>
      <c r="V547" s="6">
        <v>43066</v>
      </c>
      <c r="W547" s="3" t="s">
        <v>44</v>
      </c>
    </row>
    <row r="548" spans="1:24" x14ac:dyDescent="0.2">
      <c r="A548" s="2">
        <v>1707012</v>
      </c>
      <c r="B548" s="6">
        <v>42922.452109143516</v>
      </c>
      <c r="C548" s="6">
        <v>42922.454780555556</v>
      </c>
      <c r="D548" s="6">
        <v>0</v>
      </c>
      <c r="E548" s="6">
        <v>42935.355694675927</v>
      </c>
      <c r="F548" s="2" t="s">
        <v>26</v>
      </c>
      <c r="G548" s="2" t="s">
        <v>26</v>
      </c>
      <c r="H548" s="2" t="s">
        <v>26</v>
      </c>
      <c r="I548" s="2" t="s">
        <v>26</v>
      </c>
      <c r="J548" s="2" t="s">
        <v>26</v>
      </c>
      <c r="K548" s="2" t="s">
        <v>8</v>
      </c>
      <c r="L548" s="2" t="s">
        <v>170</v>
      </c>
      <c r="M548" s="2" t="s">
        <v>28</v>
      </c>
      <c r="N548" s="2" t="s">
        <v>1599</v>
      </c>
      <c r="O548" s="2" t="s">
        <v>114</v>
      </c>
      <c r="P548" s="5">
        <v>894902854</v>
      </c>
      <c r="R548" s="2" t="s">
        <v>1600</v>
      </c>
      <c r="S548" s="2" t="s">
        <v>49</v>
      </c>
      <c r="T548" s="2" t="s">
        <v>79</v>
      </c>
      <c r="U548" s="2">
        <v>2012</v>
      </c>
      <c r="V548" s="6">
        <v>42995</v>
      </c>
      <c r="W548" s="3" t="s">
        <v>361</v>
      </c>
    </row>
    <row r="549" spans="1:24" x14ac:dyDescent="0.2">
      <c r="A549" s="2">
        <v>1707013</v>
      </c>
      <c r="B549" s="6">
        <v>42922.714583217596</v>
      </c>
      <c r="C549" s="6">
        <v>42922.720471643515</v>
      </c>
      <c r="D549" s="6">
        <v>0</v>
      </c>
      <c r="E549" s="6">
        <v>42945</v>
      </c>
      <c r="F549" s="2" t="s">
        <v>26</v>
      </c>
      <c r="G549" s="2" t="s">
        <v>26</v>
      </c>
      <c r="H549" s="2" t="s">
        <v>26</v>
      </c>
      <c r="I549" s="2" t="s">
        <v>26</v>
      </c>
      <c r="J549" s="2" t="s">
        <v>26</v>
      </c>
      <c r="K549" s="2" t="s">
        <v>8</v>
      </c>
      <c r="L549" s="2" t="s">
        <v>170</v>
      </c>
      <c r="M549" s="2" t="s">
        <v>28</v>
      </c>
      <c r="N549" s="2" t="s">
        <v>1601</v>
      </c>
      <c r="P549" s="5">
        <v>899383066</v>
      </c>
      <c r="R549" s="2" t="s">
        <v>1602</v>
      </c>
      <c r="S549" s="2" t="s">
        <v>133</v>
      </c>
      <c r="T549" s="2" t="s">
        <v>134</v>
      </c>
      <c r="U549" s="2">
        <v>2013</v>
      </c>
      <c r="V549" s="6">
        <v>43172</v>
      </c>
      <c r="W549" s="3" t="s">
        <v>148</v>
      </c>
      <c r="X549" s="23">
        <v>19836.55</v>
      </c>
    </row>
    <row r="550" spans="1:24" x14ac:dyDescent="0.2">
      <c r="A550" s="2">
        <v>1707014</v>
      </c>
      <c r="B550" s="6">
        <v>42923.610040624997</v>
      </c>
      <c r="C550" s="6">
        <v>42933.696600347219</v>
      </c>
      <c r="D550" s="6">
        <v>42940</v>
      </c>
      <c r="E550" s="6">
        <v>42945</v>
      </c>
      <c r="F550" s="2" t="s">
        <v>26</v>
      </c>
      <c r="G550" s="2" t="s">
        <v>26</v>
      </c>
      <c r="H550" s="2" t="s">
        <v>26</v>
      </c>
      <c r="I550" s="2" t="s">
        <v>26</v>
      </c>
      <c r="J550" s="2" t="s">
        <v>26</v>
      </c>
      <c r="K550" s="2" t="s">
        <v>8</v>
      </c>
      <c r="L550" s="2" t="s">
        <v>34</v>
      </c>
      <c r="M550" s="2" t="s">
        <v>338</v>
      </c>
      <c r="N550" s="2" t="s">
        <v>1603</v>
      </c>
      <c r="O550" s="2" t="s">
        <v>128</v>
      </c>
      <c r="P550" s="5">
        <v>899884370</v>
      </c>
      <c r="R550" s="2" t="s">
        <v>1604</v>
      </c>
      <c r="S550" s="2" t="s">
        <v>49</v>
      </c>
      <c r="T550" s="2" t="s">
        <v>130</v>
      </c>
      <c r="U550" s="2">
        <v>2006</v>
      </c>
      <c r="V550" s="6">
        <v>42950</v>
      </c>
      <c r="W550" s="3" t="s">
        <v>1296</v>
      </c>
      <c r="X550" s="23">
        <v>3336.45</v>
      </c>
    </row>
    <row r="551" spans="1:24" x14ac:dyDescent="0.2">
      <c r="A551" s="2">
        <v>1707015</v>
      </c>
      <c r="B551" s="6">
        <v>42923.612374884258</v>
      </c>
      <c r="C551" s="6">
        <v>42923.615538425925</v>
      </c>
      <c r="D551" s="6">
        <v>0</v>
      </c>
      <c r="E551" s="6">
        <v>42954</v>
      </c>
      <c r="F551" s="2" t="s">
        <v>26</v>
      </c>
      <c r="G551" s="2" t="s">
        <v>26</v>
      </c>
      <c r="H551" s="2" t="s">
        <v>26</v>
      </c>
      <c r="I551" s="2" t="s">
        <v>26</v>
      </c>
      <c r="J551" s="2" t="s">
        <v>26</v>
      </c>
      <c r="K551" s="2" t="s">
        <v>8</v>
      </c>
      <c r="L551" s="2" t="s">
        <v>73</v>
      </c>
      <c r="M551" s="2" t="s">
        <v>45</v>
      </c>
      <c r="N551" s="2" t="s">
        <v>1605</v>
      </c>
      <c r="O551" s="2" t="s">
        <v>47</v>
      </c>
      <c r="P551" s="5">
        <v>869887997</v>
      </c>
      <c r="Q551" s="5">
        <v>940513824</v>
      </c>
      <c r="R551" s="2" t="s">
        <v>48</v>
      </c>
      <c r="S551" s="2" t="s">
        <v>49</v>
      </c>
      <c r="T551" s="2" t="s">
        <v>50</v>
      </c>
      <c r="U551" s="2">
        <v>2008</v>
      </c>
      <c r="V551" s="6">
        <v>43194</v>
      </c>
      <c r="W551" s="3" t="s">
        <v>266</v>
      </c>
      <c r="X551" s="23">
        <v>0</v>
      </c>
    </row>
    <row r="552" spans="1:24" x14ac:dyDescent="0.2">
      <c r="A552" s="2">
        <v>1707016</v>
      </c>
      <c r="B552" s="6">
        <v>42923.693540740744</v>
      </c>
      <c r="C552" s="6">
        <v>42975.406854629633</v>
      </c>
      <c r="D552" s="6">
        <v>42984</v>
      </c>
      <c r="E552" s="6">
        <v>42980</v>
      </c>
      <c r="F552" s="2" t="s">
        <v>26</v>
      </c>
      <c r="G552" s="2" t="s">
        <v>26</v>
      </c>
      <c r="H552" s="2" t="s">
        <v>26</v>
      </c>
      <c r="I552" s="2" t="s">
        <v>26</v>
      </c>
      <c r="J552" s="2" t="s">
        <v>26</v>
      </c>
      <c r="K552" s="2" t="s">
        <v>8</v>
      </c>
      <c r="L552" s="2" t="s">
        <v>27</v>
      </c>
      <c r="M552" s="2" t="s">
        <v>66</v>
      </c>
      <c r="N552" s="2" t="s">
        <v>1606</v>
      </c>
      <c r="O552" s="2" t="s">
        <v>120</v>
      </c>
      <c r="P552" s="5">
        <v>989288864</v>
      </c>
      <c r="Q552" s="5">
        <v>818452881</v>
      </c>
      <c r="R552" s="2" t="s">
        <v>1607</v>
      </c>
      <c r="S552" s="2" t="s">
        <v>49</v>
      </c>
      <c r="T552" s="2" t="s">
        <v>130</v>
      </c>
      <c r="U552" s="2">
        <v>2007</v>
      </c>
      <c r="V552" s="6">
        <v>42950</v>
      </c>
      <c r="W552" s="3" t="s">
        <v>39</v>
      </c>
    </row>
    <row r="553" spans="1:24" x14ac:dyDescent="0.2">
      <c r="A553" s="2">
        <v>1707017</v>
      </c>
      <c r="B553" s="6">
        <v>42926.388090046297</v>
      </c>
      <c r="C553" s="6">
        <v>42948.451635185185</v>
      </c>
      <c r="D553" s="6">
        <v>0</v>
      </c>
      <c r="E553" s="6">
        <v>42958</v>
      </c>
      <c r="F553" s="2" t="s">
        <v>26</v>
      </c>
      <c r="G553" s="2" t="s">
        <v>26</v>
      </c>
      <c r="H553" s="2" t="s">
        <v>26</v>
      </c>
      <c r="I553" s="2" t="s">
        <v>26</v>
      </c>
      <c r="J553" s="2" t="s">
        <v>26</v>
      </c>
      <c r="K553" s="2" t="s">
        <v>8</v>
      </c>
      <c r="L553" s="2" t="s">
        <v>27</v>
      </c>
      <c r="M553" s="2" t="s">
        <v>45</v>
      </c>
      <c r="N553" s="2" t="s">
        <v>1608</v>
      </c>
      <c r="O553" s="2" t="s">
        <v>239</v>
      </c>
      <c r="P553" s="5">
        <v>868911133</v>
      </c>
      <c r="R553" s="2" t="s">
        <v>1609</v>
      </c>
      <c r="S553" s="2" t="s">
        <v>55</v>
      </c>
      <c r="T553" s="2" t="s">
        <v>76</v>
      </c>
      <c r="U553" s="2">
        <v>2004</v>
      </c>
      <c r="V553" s="6">
        <v>42983</v>
      </c>
      <c r="W553" s="3" t="s">
        <v>44</v>
      </c>
      <c r="X553" s="23">
        <v>7300</v>
      </c>
    </row>
    <row r="554" spans="1:24" x14ac:dyDescent="0.2">
      <c r="A554" s="2">
        <v>1707018</v>
      </c>
      <c r="B554" s="6">
        <v>42926.49617175926</v>
      </c>
      <c r="C554" s="6">
        <v>42926.497331481478</v>
      </c>
      <c r="D554" s="6">
        <v>0</v>
      </c>
      <c r="E554" s="6" t="s">
        <v>1511</v>
      </c>
      <c r="F554" s="2">
        <v>-42926.497331481478</v>
      </c>
      <c r="G554" s="2" t="s">
        <v>11</v>
      </c>
      <c r="H554" s="2" t="s">
        <v>93</v>
      </c>
      <c r="I554" s="2" t="s">
        <v>94</v>
      </c>
      <c r="J554" s="2" t="s">
        <v>95</v>
      </c>
      <c r="K554" s="2" t="s">
        <v>8</v>
      </c>
      <c r="L554" s="2" t="s">
        <v>170</v>
      </c>
      <c r="M554" s="2" t="s">
        <v>28</v>
      </c>
      <c r="N554" s="2" t="s">
        <v>1610</v>
      </c>
      <c r="O554" s="2" t="s">
        <v>128</v>
      </c>
      <c r="R554" s="2" t="s">
        <v>1611</v>
      </c>
      <c r="S554" s="2" t="s">
        <v>49</v>
      </c>
      <c r="T554" s="2" t="s">
        <v>50</v>
      </c>
      <c r="V554" s="6" t="s">
        <v>72</v>
      </c>
      <c r="X554" s="23">
        <v>6077.6</v>
      </c>
    </row>
    <row r="555" spans="1:24" x14ac:dyDescent="0.2">
      <c r="A555" s="2">
        <v>1707019</v>
      </c>
      <c r="B555" s="6">
        <v>42927.690732523151</v>
      </c>
      <c r="D555" s="6">
        <v>42987</v>
      </c>
      <c r="E555" s="6">
        <v>42985</v>
      </c>
      <c r="F555" s="2" t="s">
        <v>26</v>
      </c>
      <c r="G555" s="2" t="s">
        <v>26</v>
      </c>
      <c r="H555" s="2" t="s">
        <v>26</v>
      </c>
      <c r="I555" s="2" t="s">
        <v>26</v>
      </c>
      <c r="J555" s="2" t="s">
        <v>26</v>
      </c>
      <c r="K555" s="2" t="s">
        <v>8</v>
      </c>
      <c r="L555" s="2" t="s">
        <v>27</v>
      </c>
      <c r="M555" s="2" t="s">
        <v>61</v>
      </c>
      <c r="N555" s="2" t="s">
        <v>1612</v>
      </c>
      <c r="O555" s="2" t="s">
        <v>128</v>
      </c>
      <c r="P555" s="5">
        <v>955904560</v>
      </c>
      <c r="Q555" s="5">
        <v>816227430</v>
      </c>
      <c r="R555" s="2" t="s">
        <v>1613</v>
      </c>
      <c r="S555" s="2" t="s">
        <v>49</v>
      </c>
      <c r="T555" s="2" t="s">
        <v>111</v>
      </c>
      <c r="U555" s="2">
        <v>2012</v>
      </c>
      <c r="V555" s="6">
        <v>43196</v>
      </c>
      <c r="W555" s="3" t="s">
        <v>57</v>
      </c>
      <c r="X555" s="23">
        <v>0</v>
      </c>
    </row>
    <row r="556" spans="1:24" x14ac:dyDescent="0.2">
      <c r="A556" s="2">
        <v>1707020</v>
      </c>
      <c r="B556" s="6">
        <v>42927.692580439812</v>
      </c>
      <c r="C556" s="6">
        <v>42968.620521064811</v>
      </c>
      <c r="D556" s="6">
        <v>42978</v>
      </c>
      <c r="E556" s="6">
        <v>42983</v>
      </c>
      <c r="F556" s="2" t="s">
        <v>26</v>
      </c>
      <c r="G556" s="2" t="s">
        <v>26</v>
      </c>
      <c r="H556" s="2" t="s">
        <v>26</v>
      </c>
      <c r="I556" s="2" t="s">
        <v>26</v>
      </c>
      <c r="J556" s="2" t="s">
        <v>26</v>
      </c>
      <c r="K556" s="2" t="s">
        <v>8</v>
      </c>
      <c r="L556" s="2" t="s">
        <v>27</v>
      </c>
      <c r="M556" s="2" t="s">
        <v>28</v>
      </c>
      <c r="N556" s="2" t="s">
        <v>1614</v>
      </c>
      <c r="P556" s="5">
        <v>810013741</v>
      </c>
      <c r="R556" s="2" t="s">
        <v>1615</v>
      </c>
      <c r="S556" s="2" t="s">
        <v>243</v>
      </c>
      <c r="T556" s="2" t="s">
        <v>244</v>
      </c>
      <c r="U556" s="2">
        <v>2013</v>
      </c>
      <c r="V556" s="6">
        <v>42998</v>
      </c>
      <c r="W556" s="3" t="s">
        <v>155</v>
      </c>
    </row>
    <row r="557" spans="1:24" x14ac:dyDescent="0.2">
      <c r="A557" s="2">
        <v>1707021</v>
      </c>
      <c r="B557" s="6">
        <v>42927.695635995369</v>
      </c>
      <c r="C557" s="6">
        <v>42944.413322222223</v>
      </c>
      <c r="D557" s="6">
        <v>42944</v>
      </c>
      <c r="E557" s="6">
        <v>42945</v>
      </c>
      <c r="F557" s="2" t="s">
        <v>26</v>
      </c>
      <c r="G557" s="2" t="s">
        <v>26</v>
      </c>
      <c r="H557" s="2" t="s">
        <v>26</v>
      </c>
      <c r="I557" s="2" t="s">
        <v>26</v>
      </c>
      <c r="J557" s="2" t="s">
        <v>26</v>
      </c>
      <c r="K557" s="2" t="s">
        <v>8</v>
      </c>
      <c r="L557" s="2" t="s">
        <v>981</v>
      </c>
      <c r="M557" s="2" t="s">
        <v>295</v>
      </c>
      <c r="N557" s="2" t="s">
        <v>1616</v>
      </c>
      <c r="O557" s="2" t="s">
        <v>120</v>
      </c>
      <c r="P557" s="5">
        <v>814399189</v>
      </c>
      <c r="R557" s="2" t="s">
        <v>1617</v>
      </c>
      <c r="S557" s="2" t="s">
        <v>49</v>
      </c>
      <c r="T557" s="2" t="s">
        <v>102</v>
      </c>
      <c r="U557" s="2">
        <v>2015</v>
      </c>
      <c r="V557" s="6">
        <v>43064</v>
      </c>
      <c r="W557" s="3" t="s">
        <v>112</v>
      </c>
      <c r="X557" s="23">
        <v>0</v>
      </c>
    </row>
    <row r="558" spans="1:24" x14ac:dyDescent="0.2">
      <c r="A558" s="2">
        <v>1707022</v>
      </c>
      <c r="B558" s="6">
        <v>42927.706447569442</v>
      </c>
      <c r="C558" s="6">
        <v>42983.457221875004</v>
      </c>
      <c r="D558" s="6">
        <v>43004</v>
      </c>
      <c r="E558" s="6">
        <v>43007</v>
      </c>
      <c r="F558" s="2" t="s">
        <v>26</v>
      </c>
      <c r="G558" s="2" t="s">
        <v>26</v>
      </c>
      <c r="H558" s="2" t="s">
        <v>26</v>
      </c>
      <c r="I558" s="2" t="s">
        <v>26</v>
      </c>
      <c r="J558" s="2" t="s">
        <v>26</v>
      </c>
      <c r="K558" s="2" t="s">
        <v>8</v>
      </c>
      <c r="L558" s="2" t="s">
        <v>27</v>
      </c>
      <c r="M558" s="2" t="s">
        <v>295</v>
      </c>
      <c r="N558" s="2" t="s">
        <v>1618</v>
      </c>
      <c r="O558" s="2" t="s">
        <v>520</v>
      </c>
      <c r="P558" s="5">
        <v>844699639</v>
      </c>
      <c r="R558" s="2" t="s">
        <v>1619</v>
      </c>
      <c r="S558" s="2" t="s">
        <v>31</v>
      </c>
      <c r="T558" s="2" t="s">
        <v>283</v>
      </c>
      <c r="U558" s="2">
        <v>2010</v>
      </c>
      <c r="V558" s="6">
        <v>43026</v>
      </c>
      <c r="W558" s="3" t="s">
        <v>155</v>
      </c>
      <c r="X558" s="23">
        <v>0</v>
      </c>
    </row>
    <row r="559" spans="1:24" x14ac:dyDescent="0.2">
      <c r="A559" s="2">
        <v>1707023</v>
      </c>
      <c r="B559" s="6">
        <v>42928.44645787037</v>
      </c>
      <c r="C559" s="6">
        <v>42962.622809606481</v>
      </c>
      <c r="D559" s="6">
        <v>42973</v>
      </c>
      <c r="F559" s="2">
        <v>10.377190393519413</v>
      </c>
      <c r="G559" s="2" t="s">
        <v>11</v>
      </c>
      <c r="H559" s="2" t="s">
        <v>93</v>
      </c>
      <c r="I559" s="2" t="s">
        <v>1620</v>
      </c>
      <c r="J559" s="2" t="s">
        <v>95</v>
      </c>
      <c r="K559" s="2" t="s">
        <v>269</v>
      </c>
      <c r="L559" s="2" t="s">
        <v>981</v>
      </c>
      <c r="M559" s="2" t="s">
        <v>28</v>
      </c>
      <c r="N559" s="2" t="s">
        <v>1621</v>
      </c>
      <c r="O559" s="2" t="s">
        <v>128</v>
      </c>
      <c r="P559" s="5">
        <v>814265638</v>
      </c>
      <c r="R559" s="2" t="s">
        <v>1622</v>
      </c>
      <c r="S559" s="2" t="s">
        <v>70</v>
      </c>
      <c r="T559" s="2" t="s">
        <v>812</v>
      </c>
      <c r="U559" s="2">
        <v>2007</v>
      </c>
      <c r="V559" s="6">
        <v>42966</v>
      </c>
      <c r="W559" s="3" t="s">
        <v>99</v>
      </c>
    </row>
    <row r="560" spans="1:24" x14ac:dyDescent="0.2">
      <c r="A560" s="2">
        <v>1707024</v>
      </c>
      <c r="B560" s="6">
        <v>42928.475812962963</v>
      </c>
      <c r="C560" s="6">
        <v>42956.393749189818</v>
      </c>
      <c r="D560" s="6">
        <v>42966</v>
      </c>
      <c r="E560" s="6">
        <v>42966</v>
      </c>
      <c r="F560" s="2" t="s">
        <v>26</v>
      </c>
      <c r="G560" s="2" t="s">
        <v>26</v>
      </c>
      <c r="H560" s="2" t="s">
        <v>26</v>
      </c>
      <c r="I560" s="2" t="s">
        <v>26</v>
      </c>
      <c r="J560" s="2" t="s">
        <v>26</v>
      </c>
      <c r="K560" s="2" t="s">
        <v>8</v>
      </c>
      <c r="L560" s="2" t="s">
        <v>27</v>
      </c>
      <c r="M560" s="2" t="s">
        <v>45</v>
      </c>
      <c r="N560" s="2" t="s">
        <v>1623</v>
      </c>
      <c r="O560" s="2" t="s">
        <v>128</v>
      </c>
      <c r="P560" s="5">
        <v>996963943</v>
      </c>
      <c r="R560" s="2" t="s">
        <v>1624</v>
      </c>
      <c r="S560" s="2" t="s">
        <v>1625</v>
      </c>
      <c r="T560" s="2" t="s">
        <v>1626</v>
      </c>
      <c r="U560" s="2">
        <v>2009</v>
      </c>
      <c r="V560" s="6" t="s">
        <v>72</v>
      </c>
      <c r="X560" s="23">
        <v>0</v>
      </c>
    </row>
    <row r="561" spans="1:24" x14ac:dyDescent="0.2">
      <c r="A561" s="2">
        <v>1707025</v>
      </c>
      <c r="B561" s="6">
        <v>42928.492489930555</v>
      </c>
      <c r="C561" s="6">
        <v>42937.637527777777</v>
      </c>
      <c r="D561" s="6">
        <v>42952</v>
      </c>
      <c r="E561" s="6" t="s">
        <v>1511</v>
      </c>
      <c r="F561" s="2">
        <v>14.362472222223005</v>
      </c>
      <c r="G561" s="2" t="s">
        <v>11</v>
      </c>
      <c r="H561" s="2" t="s">
        <v>93</v>
      </c>
      <c r="I561" s="2" t="s">
        <v>94</v>
      </c>
      <c r="J561" s="2" t="s">
        <v>95</v>
      </c>
      <c r="K561" s="2" t="s">
        <v>8</v>
      </c>
      <c r="L561" s="2" t="s">
        <v>51</v>
      </c>
      <c r="M561" s="2" t="s">
        <v>28</v>
      </c>
      <c r="N561" s="2" t="s">
        <v>1627</v>
      </c>
      <c r="O561" s="2" t="s">
        <v>208</v>
      </c>
      <c r="P561" s="5">
        <v>970934998</v>
      </c>
      <c r="R561" s="2" t="s">
        <v>1628</v>
      </c>
      <c r="S561" s="2" t="s">
        <v>49</v>
      </c>
      <c r="T561" s="2" t="s">
        <v>79</v>
      </c>
      <c r="U561" s="2">
        <v>2007</v>
      </c>
      <c r="V561" s="6">
        <v>43027</v>
      </c>
      <c r="W561" s="3" t="s">
        <v>219</v>
      </c>
      <c r="X561" s="23">
        <v>10439</v>
      </c>
    </row>
    <row r="562" spans="1:24" x14ac:dyDescent="0.2">
      <c r="A562" s="2">
        <v>1707026</v>
      </c>
      <c r="B562" s="6">
        <v>42928.680717013885</v>
      </c>
      <c r="C562" s="6">
        <v>42962.631718287033</v>
      </c>
      <c r="D562" s="6">
        <v>42973</v>
      </c>
      <c r="E562" s="6">
        <v>42970</v>
      </c>
      <c r="F562" s="2" t="s">
        <v>26</v>
      </c>
      <c r="G562" s="2" t="s">
        <v>26</v>
      </c>
      <c r="H562" s="2" t="s">
        <v>26</v>
      </c>
      <c r="I562" s="2" t="s">
        <v>26</v>
      </c>
      <c r="J562" s="2" t="s">
        <v>26</v>
      </c>
      <c r="K562" s="2" t="s">
        <v>8</v>
      </c>
      <c r="L562" s="2" t="s">
        <v>27</v>
      </c>
      <c r="M562" s="2" t="s">
        <v>378</v>
      </c>
      <c r="N562" s="2" t="s">
        <v>1629</v>
      </c>
      <c r="O562" s="2" t="s">
        <v>208</v>
      </c>
      <c r="P562" s="5">
        <v>629822426</v>
      </c>
      <c r="R562" s="2" t="s">
        <v>1630</v>
      </c>
      <c r="S562" s="2" t="s">
        <v>49</v>
      </c>
      <c r="T562" s="2" t="s">
        <v>130</v>
      </c>
      <c r="U562" s="2">
        <v>2013</v>
      </c>
      <c r="V562" s="6">
        <v>43069</v>
      </c>
      <c r="W562" s="3" t="s">
        <v>106</v>
      </c>
      <c r="X562" s="23">
        <v>0</v>
      </c>
    </row>
    <row r="563" spans="1:24" x14ac:dyDescent="0.2">
      <c r="A563" s="2">
        <v>1707027</v>
      </c>
      <c r="B563" s="6">
        <v>42929.401651388886</v>
      </c>
      <c r="C563" s="6">
        <v>42941.709761342594</v>
      </c>
      <c r="D563" s="6">
        <v>42950</v>
      </c>
      <c r="E563" s="6">
        <v>42951</v>
      </c>
      <c r="F563" s="2" t="s">
        <v>26</v>
      </c>
      <c r="G563" s="2" t="s">
        <v>26</v>
      </c>
      <c r="H563" s="2" t="s">
        <v>26</v>
      </c>
      <c r="I563" s="2" t="s">
        <v>26</v>
      </c>
      <c r="J563" s="2" t="s">
        <v>26</v>
      </c>
      <c r="K563" s="2" t="s">
        <v>269</v>
      </c>
      <c r="L563" s="2" t="s">
        <v>27</v>
      </c>
      <c r="M563" s="2" t="s">
        <v>88</v>
      </c>
      <c r="N563" s="2" t="s">
        <v>1631</v>
      </c>
      <c r="O563" s="2" t="s">
        <v>47</v>
      </c>
      <c r="P563" s="5">
        <v>818293907</v>
      </c>
      <c r="R563" s="2" t="s">
        <v>1632</v>
      </c>
      <c r="S563" s="2" t="s">
        <v>37</v>
      </c>
      <c r="T563" s="2" t="s">
        <v>387</v>
      </c>
      <c r="U563" s="2">
        <v>2009</v>
      </c>
      <c r="V563" s="6" t="s">
        <v>72</v>
      </c>
      <c r="X563" s="23">
        <v>2400</v>
      </c>
    </row>
    <row r="564" spans="1:24" x14ac:dyDescent="0.2">
      <c r="A564" s="2">
        <v>1707028</v>
      </c>
      <c r="B564" s="6">
        <v>42929.59300497685</v>
      </c>
      <c r="F564" s="2" t="s">
        <v>126</v>
      </c>
      <c r="G564" s="2" t="s">
        <v>126</v>
      </c>
      <c r="H564" s="2" t="s">
        <v>126</v>
      </c>
      <c r="I564" s="2" t="s">
        <v>126</v>
      </c>
      <c r="J564" s="2" t="s">
        <v>126</v>
      </c>
      <c r="K564" s="2" t="s">
        <v>8</v>
      </c>
      <c r="L564" s="2" t="s">
        <v>981</v>
      </c>
      <c r="M564" s="2" t="s">
        <v>28</v>
      </c>
      <c r="N564" s="2" t="s">
        <v>716</v>
      </c>
      <c r="O564" s="2" t="s">
        <v>47</v>
      </c>
      <c r="P564" s="5">
        <v>617173807</v>
      </c>
      <c r="R564" s="2" t="s">
        <v>717</v>
      </c>
      <c r="S564" s="2" t="s">
        <v>133</v>
      </c>
      <c r="T564" s="2" t="s">
        <v>134</v>
      </c>
      <c r="U564" s="2">
        <v>2016</v>
      </c>
      <c r="V564" s="6" t="s">
        <v>1633</v>
      </c>
    </row>
    <row r="565" spans="1:24" x14ac:dyDescent="0.2">
      <c r="A565" s="2">
        <v>1707029</v>
      </c>
      <c r="B565" s="6">
        <v>42929.610538657405</v>
      </c>
      <c r="E565" s="6">
        <v>42935.36172291667</v>
      </c>
      <c r="F565" s="2" t="s">
        <v>26</v>
      </c>
      <c r="G565" s="2" t="s">
        <v>26</v>
      </c>
      <c r="H565" s="2" t="s">
        <v>26</v>
      </c>
      <c r="I565" s="2" t="s">
        <v>26</v>
      </c>
      <c r="J565" s="2" t="s">
        <v>26</v>
      </c>
      <c r="K565" s="2" t="s">
        <v>8</v>
      </c>
      <c r="L565" s="2" t="s">
        <v>981</v>
      </c>
      <c r="M565" s="2" t="s">
        <v>28</v>
      </c>
      <c r="N565" s="2" t="s">
        <v>716</v>
      </c>
      <c r="O565" s="2" t="s">
        <v>47</v>
      </c>
      <c r="P565" s="5">
        <v>617173807</v>
      </c>
      <c r="R565" s="2" t="s">
        <v>717</v>
      </c>
      <c r="S565" s="2" t="s">
        <v>133</v>
      </c>
      <c r="T565" s="2" t="s">
        <v>134</v>
      </c>
      <c r="U565" s="2">
        <v>2016</v>
      </c>
      <c r="V565" s="6" t="s">
        <v>72</v>
      </c>
      <c r="X565" s="23">
        <v>0</v>
      </c>
    </row>
    <row r="566" spans="1:24" x14ac:dyDescent="0.2">
      <c r="A566" s="2">
        <v>1707030</v>
      </c>
      <c r="B566" s="6">
        <v>42929.714781712966</v>
      </c>
      <c r="C566" s="6">
        <v>42944.613056481481</v>
      </c>
      <c r="D566" s="6">
        <v>42957</v>
      </c>
      <c r="E566" s="6" t="s">
        <v>1511</v>
      </c>
      <c r="F566" s="2">
        <v>12.386943518518819</v>
      </c>
      <c r="G566" s="2" t="s">
        <v>11</v>
      </c>
      <c r="H566" s="2" t="s">
        <v>93</v>
      </c>
      <c r="I566" s="2" t="s">
        <v>95</v>
      </c>
      <c r="J566" s="2" t="s">
        <v>95</v>
      </c>
      <c r="K566" s="2" t="s">
        <v>8</v>
      </c>
      <c r="L566" s="2" t="s">
        <v>73</v>
      </c>
      <c r="M566" s="2" t="s">
        <v>28</v>
      </c>
      <c r="N566" s="2" t="s">
        <v>1634</v>
      </c>
      <c r="P566" s="5">
        <v>625801825</v>
      </c>
      <c r="R566" s="2" t="s">
        <v>1635</v>
      </c>
      <c r="S566" s="2" t="s">
        <v>31</v>
      </c>
      <c r="T566" s="2" t="s">
        <v>283</v>
      </c>
      <c r="U566" s="2">
        <v>2011</v>
      </c>
      <c r="V566" s="6" t="s">
        <v>72</v>
      </c>
      <c r="X566" s="23">
        <v>5242.99</v>
      </c>
    </row>
    <row r="567" spans="1:24" x14ac:dyDescent="0.2">
      <c r="A567" s="2">
        <v>1707031</v>
      </c>
      <c r="B567" s="6">
        <v>42929.722903935188</v>
      </c>
      <c r="C567" s="6">
        <v>42941.443341782404</v>
      </c>
      <c r="D567" s="6">
        <v>42951</v>
      </c>
      <c r="E567" s="6">
        <v>42958</v>
      </c>
      <c r="F567" s="2" t="s">
        <v>26</v>
      </c>
      <c r="G567" s="2" t="s">
        <v>26</v>
      </c>
      <c r="H567" s="2" t="s">
        <v>26</v>
      </c>
      <c r="I567" s="2" t="s">
        <v>26</v>
      </c>
      <c r="J567" s="2" t="s">
        <v>26</v>
      </c>
      <c r="K567" s="2" t="s">
        <v>8</v>
      </c>
      <c r="L567" s="2" t="s">
        <v>27</v>
      </c>
      <c r="M567" s="2" t="s">
        <v>118</v>
      </c>
      <c r="N567" s="2" t="s">
        <v>1636</v>
      </c>
      <c r="O567" s="2" t="s">
        <v>128</v>
      </c>
      <c r="P567" s="5">
        <v>870748986</v>
      </c>
      <c r="R567" s="2" t="s">
        <v>1637</v>
      </c>
      <c r="S567" s="2" t="s">
        <v>49</v>
      </c>
      <c r="T567" s="2" t="s">
        <v>111</v>
      </c>
      <c r="U567" s="2">
        <v>2005</v>
      </c>
      <c r="V567" s="6">
        <v>43243</v>
      </c>
      <c r="W567" s="3" t="s">
        <v>99</v>
      </c>
      <c r="X567" s="23">
        <v>4766.3599999999997</v>
      </c>
    </row>
    <row r="568" spans="1:24" x14ac:dyDescent="0.2">
      <c r="A568" s="2">
        <v>1707032</v>
      </c>
      <c r="B568" s="6">
        <v>42929.725307291665</v>
      </c>
      <c r="C568" s="6">
        <v>42961.611087731479</v>
      </c>
      <c r="D568" s="6">
        <v>42972</v>
      </c>
      <c r="E568" s="6">
        <v>42970</v>
      </c>
      <c r="F568" s="2" t="s">
        <v>26</v>
      </c>
      <c r="G568" s="2" t="s">
        <v>26</v>
      </c>
      <c r="H568" s="2" t="s">
        <v>26</v>
      </c>
      <c r="I568" s="2" t="s">
        <v>26</v>
      </c>
      <c r="J568" s="2" t="s">
        <v>26</v>
      </c>
      <c r="K568" s="2" t="s">
        <v>8</v>
      </c>
      <c r="L568" s="2" t="s">
        <v>27</v>
      </c>
      <c r="M568" s="2" t="s">
        <v>45</v>
      </c>
      <c r="N568" s="2" t="s">
        <v>1638</v>
      </c>
      <c r="O568" s="2" t="s">
        <v>41</v>
      </c>
      <c r="P568" s="5">
        <v>945564928</v>
      </c>
      <c r="R568" s="2" t="s">
        <v>1639</v>
      </c>
      <c r="S568" s="2" t="s">
        <v>49</v>
      </c>
      <c r="T568" s="2" t="s">
        <v>130</v>
      </c>
      <c r="U568" s="2">
        <v>2013</v>
      </c>
      <c r="V568" s="6">
        <v>42976</v>
      </c>
      <c r="W568" s="3" t="s">
        <v>457</v>
      </c>
      <c r="X568" s="23">
        <v>0</v>
      </c>
    </row>
    <row r="569" spans="1:24" x14ac:dyDescent="0.2">
      <c r="A569" s="2">
        <v>1707033</v>
      </c>
      <c r="B569" s="6">
        <v>42931.647333912035</v>
      </c>
      <c r="F569" s="2" t="s">
        <v>126</v>
      </c>
      <c r="G569" s="2" t="s">
        <v>126</v>
      </c>
      <c r="H569" s="2" t="s">
        <v>126</v>
      </c>
      <c r="I569" s="2" t="s">
        <v>126</v>
      </c>
      <c r="J569" s="2" t="s">
        <v>126</v>
      </c>
      <c r="K569" s="2" t="s">
        <v>8</v>
      </c>
      <c r="L569" s="2" t="s">
        <v>27</v>
      </c>
      <c r="M569" s="2" t="s">
        <v>295</v>
      </c>
      <c r="N569" s="2" t="s">
        <v>1640</v>
      </c>
      <c r="O569" s="2" t="s">
        <v>68</v>
      </c>
      <c r="P569" s="5">
        <v>948255644</v>
      </c>
      <c r="R569" s="2" t="s">
        <v>1641</v>
      </c>
      <c r="S569" s="2" t="s">
        <v>243</v>
      </c>
      <c r="T569" s="2" t="s">
        <v>244</v>
      </c>
      <c r="U569" s="2">
        <v>2015</v>
      </c>
      <c r="V569" s="6">
        <v>42941</v>
      </c>
      <c r="W569" s="3" t="s">
        <v>33</v>
      </c>
    </row>
    <row r="570" spans="1:24" x14ac:dyDescent="0.2">
      <c r="A570" s="2">
        <v>1707034</v>
      </c>
      <c r="B570" s="6">
        <v>42931.648857638887</v>
      </c>
      <c r="C570" s="6">
        <v>42931.650632060184</v>
      </c>
      <c r="D570" s="6">
        <v>42943</v>
      </c>
      <c r="E570" s="6">
        <v>42945</v>
      </c>
      <c r="F570" s="2" t="s">
        <v>26</v>
      </c>
      <c r="G570" s="2" t="s">
        <v>26</v>
      </c>
      <c r="H570" s="2" t="s">
        <v>26</v>
      </c>
      <c r="I570" s="2" t="s">
        <v>26</v>
      </c>
      <c r="J570" s="2" t="s">
        <v>26</v>
      </c>
      <c r="K570" s="2" t="s">
        <v>8</v>
      </c>
      <c r="L570" s="2" t="s">
        <v>27</v>
      </c>
      <c r="M570" s="2" t="s">
        <v>28</v>
      </c>
      <c r="N570" s="2" t="s">
        <v>1642</v>
      </c>
      <c r="P570" s="5">
        <v>953356613</v>
      </c>
      <c r="R570" s="2" t="s">
        <v>1643</v>
      </c>
      <c r="S570" s="2" t="s">
        <v>31</v>
      </c>
      <c r="T570" s="2" t="s">
        <v>283</v>
      </c>
      <c r="U570" s="2">
        <v>2007</v>
      </c>
      <c r="V570" s="6" t="s">
        <v>72</v>
      </c>
      <c r="X570" s="23">
        <v>3364.18</v>
      </c>
    </row>
    <row r="571" spans="1:24" x14ac:dyDescent="0.2">
      <c r="A571" s="2">
        <v>1707035</v>
      </c>
      <c r="B571" s="6">
        <v>42931.651756250001</v>
      </c>
      <c r="C571" s="6">
        <v>42958.399603587961</v>
      </c>
      <c r="D571" s="6">
        <v>0</v>
      </c>
      <c r="E571" s="6">
        <v>42982</v>
      </c>
      <c r="F571" s="2" t="s">
        <v>26</v>
      </c>
      <c r="G571" s="2" t="s">
        <v>26</v>
      </c>
      <c r="H571" s="2" t="s">
        <v>26</v>
      </c>
      <c r="I571" s="2" t="s">
        <v>26</v>
      </c>
      <c r="J571" s="2" t="s">
        <v>26</v>
      </c>
      <c r="K571" s="2" t="s">
        <v>8</v>
      </c>
      <c r="L571" s="2" t="s">
        <v>27</v>
      </c>
      <c r="M571" s="2" t="s">
        <v>28</v>
      </c>
      <c r="N571" s="2" t="s">
        <v>1644</v>
      </c>
      <c r="P571" s="5">
        <v>922548414</v>
      </c>
      <c r="R571" s="2" t="s">
        <v>1645</v>
      </c>
      <c r="S571" s="2" t="s">
        <v>55</v>
      </c>
      <c r="T571" s="2" t="s">
        <v>222</v>
      </c>
      <c r="V571" s="6" t="s">
        <v>72</v>
      </c>
    </row>
    <row r="572" spans="1:24" x14ac:dyDescent="0.2">
      <c r="A572" s="2">
        <v>1707036</v>
      </c>
      <c r="B572" s="6">
        <v>42931.661906250003</v>
      </c>
      <c r="F572" s="2" t="s">
        <v>126</v>
      </c>
      <c r="G572" s="2" t="s">
        <v>126</v>
      </c>
      <c r="H572" s="2" t="s">
        <v>126</v>
      </c>
      <c r="I572" s="2" t="s">
        <v>126</v>
      </c>
      <c r="J572" s="2" t="s">
        <v>126</v>
      </c>
      <c r="K572" s="2" t="s">
        <v>269</v>
      </c>
      <c r="L572" s="2" t="s">
        <v>34</v>
      </c>
      <c r="M572" s="2" t="s">
        <v>61</v>
      </c>
      <c r="N572" s="2" t="s">
        <v>1646</v>
      </c>
      <c r="O572" s="2" t="s">
        <v>41</v>
      </c>
      <c r="P572" s="5">
        <v>23895220</v>
      </c>
      <c r="R572" s="2" t="s">
        <v>1647</v>
      </c>
      <c r="S572" s="2" t="s">
        <v>31</v>
      </c>
      <c r="T572" s="2" t="s">
        <v>283</v>
      </c>
      <c r="U572" s="2">
        <v>2011</v>
      </c>
      <c r="V572" s="6" t="s">
        <v>72</v>
      </c>
      <c r="X572" s="23">
        <v>23268</v>
      </c>
    </row>
    <row r="573" spans="1:24" x14ac:dyDescent="0.2">
      <c r="A573" s="2">
        <v>1707037</v>
      </c>
      <c r="B573" s="6">
        <v>42931.671710416667</v>
      </c>
      <c r="C573" s="6">
        <v>42931.678138541669</v>
      </c>
      <c r="D573" s="6">
        <v>42942</v>
      </c>
      <c r="E573" s="6">
        <v>42949</v>
      </c>
      <c r="F573" s="2" t="s">
        <v>26</v>
      </c>
      <c r="G573" s="2" t="s">
        <v>26</v>
      </c>
      <c r="H573" s="2" t="s">
        <v>26</v>
      </c>
      <c r="I573" s="2" t="s">
        <v>26</v>
      </c>
      <c r="J573" s="2" t="s">
        <v>26</v>
      </c>
      <c r="K573" s="2" t="s">
        <v>8</v>
      </c>
      <c r="L573" s="2" t="s">
        <v>34</v>
      </c>
      <c r="M573" s="2" t="s">
        <v>295</v>
      </c>
      <c r="N573" s="2" t="s">
        <v>1648</v>
      </c>
      <c r="O573" s="2" t="s">
        <v>239</v>
      </c>
      <c r="P573" s="5">
        <v>925896899</v>
      </c>
      <c r="R573" s="2" t="s">
        <v>1649</v>
      </c>
      <c r="S573" s="2" t="s">
        <v>55</v>
      </c>
      <c r="T573" s="2" t="s">
        <v>165</v>
      </c>
      <c r="U573" s="2">
        <v>2012</v>
      </c>
      <c r="V573" s="6">
        <v>43094</v>
      </c>
      <c r="W573" s="3" t="s">
        <v>581</v>
      </c>
    </row>
    <row r="574" spans="1:24" x14ac:dyDescent="0.2">
      <c r="A574" s="2">
        <v>1707038</v>
      </c>
      <c r="B574" s="6">
        <v>42933.487344328707</v>
      </c>
      <c r="C574" s="6">
        <v>42933.488690972219</v>
      </c>
      <c r="D574" s="6">
        <v>42940</v>
      </c>
      <c r="E574" s="6">
        <v>42945</v>
      </c>
      <c r="F574" s="2" t="s">
        <v>26</v>
      </c>
      <c r="G574" s="2" t="s">
        <v>26</v>
      </c>
      <c r="H574" s="2" t="s">
        <v>26</v>
      </c>
      <c r="I574" s="2" t="s">
        <v>26</v>
      </c>
      <c r="J574" s="2" t="s">
        <v>26</v>
      </c>
      <c r="K574" s="2" t="s">
        <v>8</v>
      </c>
      <c r="L574" s="2" t="s">
        <v>34</v>
      </c>
      <c r="M574" s="2" t="s">
        <v>28</v>
      </c>
      <c r="N574" s="2" t="s">
        <v>1650</v>
      </c>
      <c r="O574" s="2" t="s">
        <v>239</v>
      </c>
      <c r="P574" s="5">
        <v>909252904</v>
      </c>
      <c r="R574" s="2" t="s">
        <v>1651</v>
      </c>
      <c r="S574" s="2" t="s">
        <v>31</v>
      </c>
      <c r="T574" s="2" t="s">
        <v>116</v>
      </c>
      <c r="U574" s="2">
        <v>2011</v>
      </c>
      <c r="V574" s="6">
        <v>42945</v>
      </c>
      <c r="W574" s="3" t="s">
        <v>57</v>
      </c>
    </row>
    <row r="575" spans="1:24" x14ac:dyDescent="0.2">
      <c r="A575" s="2">
        <v>1707039</v>
      </c>
      <c r="B575" s="6">
        <v>42933.497515740739</v>
      </c>
      <c r="C575" s="6">
        <v>42980.577918402778</v>
      </c>
      <c r="D575" s="6">
        <v>43003</v>
      </c>
      <c r="E575" s="6">
        <v>43006</v>
      </c>
      <c r="F575" s="2" t="s">
        <v>26</v>
      </c>
      <c r="G575" s="2" t="s">
        <v>26</v>
      </c>
      <c r="H575" s="2" t="s">
        <v>26</v>
      </c>
      <c r="I575" s="2" t="s">
        <v>26</v>
      </c>
      <c r="J575" s="2" t="s">
        <v>26</v>
      </c>
      <c r="K575" s="2" t="s">
        <v>8</v>
      </c>
      <c r="L575" s="2" t="s">
        <v>27</v>
      </c>
      <c r="M575" s="2" t="s">
        <v>45</v>
      </c>
      <c r="N575" s="2" t="s">
        <v>1652</v>
      </c>
      <c r="O575" s="2" t="s">
        <v>47</v>
      </c>
      <c r="P575" s="5">
        <v>804595989</v>
      </c>
      <c r="R575" s="2" t="s">
        <v>1653</v>
      </c>
      <c r="S575" s="2" t="s">
        <v>55</v>
      </c>
      <c r="T575" s="2" t="s">
        <v>56</v>
      </c>
      <c r="U575" s="2">
        <v>2008</v>
      </c>
      <c r="V575" s="6">
        <v>43046</v>
      </c>
      <c r="W575" s="3" t="s">
        <v>974</v>
      </c>
    </row>
    <row r="576" spans="1:24" x14ac:dyDescent="0.2">
      <c r="A576" s="2">
        <v>1707040</v>
      </c>
      <c r="B576" s="6">
        <v>42933.499796759257</v>
      </c>
      <c r="F576" s="2" t="s">
        <v>126</v>
      </c>
      <c r="G576" s="2" t="s">
        <v>126</v>
      </c>
      <c r="H576" s="2" t="s">
        <v>126</v>
      </c>
      <c r="I576" s="2" t="s">
        <v>126</v>
      </c>
      <c r="J576" s="2" t="s">
        <v>126</v>
      </c>
      <c r="K576" s="2" t="s">
        <v>8</v>
      </c>
      <c r="L576" s="2" t="s">
        <v>981</v>
      </c>
      <c r="M576" s="2" t="s">
        <v>139</v>
      </c>
      <c r="N576" s="2" t="s">
        <v>1654</v>
      </c>
      <c r="O576" s="2" t="s">
        <v>68</v>
      </c>
      <c r="P576" s="5">
        <v>818185996</v>
      </c>
      <c r="R576" s="2" t="s">
        <v>1655</v>
      </c>
      <c r="S576" s="2" t="s">
        <v>37</v>
      </c>
      <c r="T576" s="2" t="s">
        <v>331</v>
      </c>
      <c r="U576" s="2">
        <v>2010</v>
      </c>
      <c r="V576" s="6">
        <v>43224</v>
      </c>
      <c r="W576" s="3" t="s">
        <v>215</v>
      </c>
      <c r="X576" s="23">
        <v>12056.06</v>
      </c>
    </row>
    <row r="577" spans="1:24" x14ac:dyDescent="0.2">
      <c r="A577" s="2">
        <v>1707041</v>
      </c>
      <c r="B577" s="6">
        <v>42933.689185532407</v>
      </c>
      <c r="C577" s="6">
        <v>42933.690051967591</v>
      </c>
      <c r="D577" s="6">
        <v>42938</v>
      </c>
      <c r="E577" s="6">
        <v>42939.959744444444</v>
      </c>
      <c r="F577" s="2" t="s">
        <v>26</v>
      </c>
      <c r="G577" s="2" t="s">
        <v>26</v>
      </c>
      <c r="H577" s="2" t="s">
        <v>26</v>
      </c>
      <c r="I577" s="2" t="s">
        <v>26</v>
      </c>
      <c r="J577" s="2" t="s">
        <v>26</v>
      </c>
      <c r="K577" s="2" t="s">
        <v>8</v>
      </c>
      <c r="L577" s="2" t="s">
        <v>34</v>
      </c>
      <c r="M577" s="2" t="s">
        <v>28</v>
      </c>
      <c r="N577" s="2" t="s">
        <v>1656</v>
      </c>
      <c r="R577" s="2" t="s">
        <v>1657</v>
      </c>
      <c r="S577" s="2" t="s">
        <v>49</v>
      </c>
      <c r="T577" s="2" t="s">
        <v>130</v>
      </c>
      <c r="U577" s="2">
        <v>2013</v>
      </c>
      <c r="V577" s="6">
        <v>43083</v>
      </c>
      <c r="W577" s="3" t="s">
        <v>342</v>
      </c>
      <c r="X577" s="23">
        <v>7244</v>
      </c>
    </row>
    <row r="578" spans="1:24" x14ac:dyDescent="0.2">
      <c r="A578" s="2">
        <v>1707042</v>
      </c>
      <c r="B578" s="6">
        <v>42934.48200300926</v>
      </c>
      <c r="C578" s="6">
        <v>42949.43519895833</v>
      </c>
      <c r="D578" s="6">
        <v>42958</v>
      </c>
      <c r="E578" s="6">
        <v>42958</v>
      </c>
      <c r="F578" s="2" t="s">
        <v>26</v>
      </c>
      <c r="G578" s="2" t="s">
        <v>26</v>
      </c>
      <c r="H578" s="2" t="s">
        <v>26</v>
      </c>
      <c r="I578" s="2" t="s">
        <v>26</v>
      </c>
      <c r="J578" s="2" t="s">
        <v>26</v>
      </c>
      <c r="K578" s="2" t="s">
        <v>8</v>
      </c>
      <c r="L578" s="2" t="s">
        <v>34</v>
      </c>
      <c r="M578" s="2" t="s">
        <v>28</v>
      </c>
      <c r="N578" s="2" t="s">
        <v>1658</v>
      </c>
      <c r="O578" s="2" t="s">
        <v>114</v>
      </c>
      <c r="P578" s="5">
        <v>853826015</v>
      </c>
      <c r="Q578" s="5">
        <v>879318734</v>
      </c>
      <c r="R578" s="2" t="s">
        <v>1659</v>
      </c>
      <c r="S578" s="2" t="s">
        <v>31</v>
      </c>
      <c r="T578" s="2" t="s">
        <v>116</v>
      </c>
      <c r="U578" s="2">
        <v>2009</v>
      </c>
      <c r="V578" s="6">
        <v>43213</v>
      </c>
      <c r="W578" s="3" t="s">
        <v>99</v>
      </c>
      <c r="X578" s="23">
        <v>0</v>
      </c>
    </row>
    <row r="579" spans="1:24" x14ac:dyDescent="0.2">
      <c r="A579" s="2">
        <v>1707043</v>
      </c>
      <c r="B579" s="6">
        <v>42934.565511921297</v>
      </c>
      <c r="C579" s="6">
        <v>42982.669866666663</v>
      </c>
      <c r="D579" s="6">
        <v>42985</v>
      </c>
      <c r="E579" s="6">
        <v>42991</v>
      </c>
      <c r="F579" s="2" t="s">
        <v>26</v>
      </c>
      <c r="G579" s="2" t="s">
        <v>26</v>
      </c>
      <c r="H579" s="2" t="s">
        <v>26</v>
      </c>
      <c r="I579" s="2" t="s">
        <v>26</v>
      </c>
      <c r="J579" s="2" t="s">
        <v>26</v>
      </c>
      <c r="K579" s="2" t="s">
        <v>269</v>
      </c>
      <c r="L579" s="2" t="s">
        <v>981</v>
      </c>
      <c r="M579" s="2" t="s">
        <v>338</v>
      </c>
      <c r="N579" s="2" t="s">
        <v>339</v>
      </c>
      <c r="O579" s="2" t="s">
        <v>107</v>
      </c>
      <c r="P579" s="5">
        <v>945468009</v>
      </c>
      <c r="R579" s="2" t="s">
        <v>340</v>
      </c>
      <c r="S579" s="2" t="s">
        <v>37</v>
      </c>
      <c r="T579" s="2" t="s">
        <v>387</v>
      </c>
      <c r="U579" s="2">
        <v>2014</v>
      </c>
      <c r="V579" s="6">
        <v>43045</v>
      </c>
      <c r="W579" s="3" t="s">
        <v>361</v>
      </c>
      <c r="X579" s="23">
        <v>1691</v>
      </c>
    </row>
    <row r="580" spans="1:24" x14ac:dyDescent="0.2">
      <c r="A580" s="2">
        <v>1707044</v>
      </c>
      <c r="B580" s="6">
        <v>42937.419628703705</v>
      </c>
      <c r="C580" s="6">
        <v>42952.607117939813</v>
      </c>
      <c r="D580" s="6">
        <v>42963</v>
      </c>
      <c r="E580" s="6">
        <v>42964</v>
      </c>
      <c r="F580" s="2" t="s">
        <v>26</v>
      </c>
      <c r="G580" s="2" t="s">
        <v>26</v>
      </c>
      <c r="H580" s="2" t="s">
        <v>26</v>
      </c>
      <c r="I580" s="2" t="s">
        <v>26</v>
      </c>
      <c r="J580" s="2" t="s">
        <v>26</v>
      </c>
      <c r="K580" s="2" t="s">
        <v>8</v>
      </c>
      <c r="L580" s="2" t="s">
        <v>34</v>
      </c>
      <c r="M580" s="2" t="s">
        <v>338</v>
      </c>
      <c r="N580" s="2" t="s">
        <v>1660</v>
      </c>
      <c r="P580" s="5">
        <v>623960937</v>
      </c>
      <c r="Q580" s="5">
        <v>658242271</v>
      </c>
      <c r="R580" s="2" t="s">
        <v>1661</v>
      </c>
      <c r="S580" s="2" t="s">
        <v>37</v>
      </c>
      <c r="T580" s="2" t="s">
        <v>1142</v>
      </c>
      <c r="U580" s="2">
        <v>2014</v>
      </c>
      <c r="V580" s="6">
        <v>42982</v>
      </c>
      <c r="W580" s="3" t="s">
        <v>1296</v>
      </c>
      <c r="X580" s="23">
        <v>15065.6</v>
      </c>
    </row>
    <row r="581" spans="1:24" x14ac:dyDescent="0.2">
      <c r="A581" s="2">
        <v>1707045</v>
      </c>
      <c r="B581" s="6">
        <v>42937.428822453701</v>
      </c>
      <c r="C581" s="6">
        <v>42962.636762499998</v>
      </c>
      <c r="D581" s="6">
        <v>42968</v>
      </c>
      <c r="E581" s="6">
        <v>42966</v>
      </c>
      <c r="F581" s="2" t="s">
        <v>26</v>
      </c>
      <c r="G581" s="2" t="s">
        <v>26</v>
      </c>
      <c r="H581" s="2" t="s">
        <v>26</v>
      </c>
      <c r="I581" s="2" t="s">
        <v>26</v>
      </c>
      <c r="J581" s="2" t="s">
        <v>26</v>
      </c>
      <c r="K581" s="2" t="s">
        <v>8</v>
      </c>
      <c r="L581" s="2" t="s">
        <v>981</v>
      </c>
      <c r="M581" s="2" t="s">
        <v>66</v>
      </c>
      <c r="N581" s="2" t="s">
        <v>1662</v>
      </c>
      <c r="O581" s="2" t="s">
        <v>511</v>
      </c>
      <c r="P581" s="5">
        <v>862898434</v>
      </c>
      <c r="R581" s="2" t="s">
        <v>1663</v>
      </c>
      <c r="S581" s="2" t="s">
        <v>49</v>
      </c>
      <c r="T581" s="2" t="s">
        <v>50</v>
      </c>
      <c r="U581" s="2">
        <v>2013</v>
      </c>
      <c r="V581" s="6">
        <v>43007</v>
      </c>
      <c r="W581" s="3" t="s">
        <v>226</v>
      </c>
      <c r="X581" s="23">
        <v>7749.54</v>
      </c>
    </row>
    <row r="582" spans="1:24" x14ac:dyDescent="0.2">
      <c r="A582" s="2">
        <v>1707046</v>
      </c>
      <c r="B582" s="6">
        <v>42937.433062847223</v>
      </c>
      <c r="C582" s="6">
        <v>42947.384626041669</v>
      </c>
      <c r="D582" s="6">
        <v>42918</v>
      </c>
      <c r="E582" s="6">
        <v>42948</v>
      </c>
      <c r="F582" s="2" t="s">
        <v>26</v>
      </c>
      <c r="G582" s="2" t="s">
        <v>26</v>
      </c>
      <c r="H582" s="2" t="s">
        <v>26</v>
      </c>
      <c r="I582" s="2" t="s">
        <v>26</v>
      </c>
      <c r="J582" s="2" t="s">
        <v>26</v>
      </c>
      <c r="K582" s="2" t="s">
        <v>8</v>
      </c>
      <c r="L582" s="2" t="s">
        <v>981</v>
      </c>
      <c r="M582" s="2" t="s">
        <v>81</v>
      </c>
      <c r="N582" s="2" t="s">
        <v>1664</v>
      </c>
      <c r="O582" s="2" t="s">
        <v>128</v>
      </c>
      <c r="P582" s="5">
        <v>818682157</v>
      </c>
      <c r="R582" s="2" t="s">
        <v>1665</v>
      </c>
      <c r="S582" s="2" t="s">
        <v>49</v>
      </c>
      <c r="T582" s="2" t="s">
        <v>79</v>
      </c>
      <c r="U582" s="2">
        <v>2006</v>
      </c>
      <c r="V582" s="6">
        <v>43378</v>
      </c>
      <c r="W582" s="3" t="s">
        <v>223</v>
      </c>
      <c r="X582" s="23">
        <v>7311.23</v>
      </c>
    </row>
    <row r="583" spans="1:24" x14ac:dyDescent="0.2">
      <c r="A583" s="2">
        <v>1707047</v>
      </c>
      <c r="B583" s="6">
        <v>42937.434714699077</v>
      </c>
      <c r="C583" s="6">
        <v>42970.376712037039</v>
      </c>
      <c r="D583" s="6">
        <v>42978</v>
      </c>
      <c r="E583" s="6">
        <v>42978</v>
      </c>
      <c r="F583" s="2" t="s">
        <v>26</v>
      </c>
      <c r="G583" s="2" t="s">
        <v>26</v>
      </c>
      <c r="H583" s="2" t="s">
        <v>26</v>
      </c>
      <c r="I583" s="2" t="s">
        <v>26</v>
      </c>
      <c r="J583" s="2" t="s">
        <v>26</v>
      </c>
      <c r="K583" s="2" t="s">
        <v>8</v>
      </c>
      <c r="L583" s="2" t="s">
        <v>981</v>
      </c>
      <c r="M583" s="2" t="s">
        <v>66</v>
      </c>
      <c r="N583" s="2" t="s">
        <v>1666</v>
      </c>
      <c r="O583" s="2" t="s">
        <v>120</v>
      </c>
      <c r="P583" s="5">
        <v>860336213</v>
      </c>
      <c r="R583" s="2" t="s">
        <v>1667</v>
      </c>
      <c r="S583" s="2" t="s">
        <v>524</v>
      </c>
      <c r="T583" s="2" t="s">
        <v>1405</v>
      </c>
      <c r="U583" s="2">
        <v>2010</v>
      </c>
      <c r="V583" s="6">
        <v>42940</v>
      </c>
      <c r="W583" s="3" t="s">
        <v>517</v>
      </c>
      <c r="X583" s="23">
        <v>6240</v>
      </c>
    </row>
    <row r="584" spans="1:24" x14ac:dyDescent="0.2">
      <c r="A584" s="2">
        <v>1707048</v>
      </c>
      <c r="B584" s="6">
        <v>42937.658766203705</v>
      </c>
      <c r="F584" s="2" t="s">
        <v>126</v>
      </c>
      <c r="G584" s="2" t="s">
        <v>126</v>
      </c>
      <c r="H584" s="2" t="s">
        <v>126</v>
      </c>
      <c r="I584" s="2" t="s">
        <v>126</v>
      </c>
      <c r="J584" s="2" t="s">
        <v>126</v>
      </c>
      <c r="K584" s="2" t="s">
        <v>8</v>
      </c>
      <c r="L584" s="2" t="s">
        <v>27</v>
      </c>
      <c r="M584" s="2" t="s">
        <v>28</v>
      </c>
      <c r="N584" s="2" t="s">
        <v>1668</v>
      </c>
      <c r="O584" s="2" t="s">
        <v>68</v>
      </c>
      <c r="P584" s="5">
        <v>844332888</v>
      </c>
      <c r="Q584" s="5">
        <v>87036404</v>
      </c>
      <c r="R584" s="2" t="s">
        <v>1669</v>
      </c>
      <c r="S584" s="2" t="s">
        <v>49</v>
      </c>
      <c r="T584" s="2" t="s">
        <v>923</v>
      </c>
      <c r="U584" s="2">
        <v>2017</v>
      </c>
      <c r="V584" s="6">
        <v>43188</v>
      </c>
      <c r="W584" s="3" t="s">
        <v>148</v>
      </c>
    </row>
    <row r="585" spans="1:24" x14ac:dyDescent="0.2">
      <c r="A585" s="2">
        <v>1707049</v>
      </c>
      <c r="B585" s="6">
        <v>42938.450573495371</v>
      </c>
      <c r="C585" s="6">
        <v>42987.579998379631</v>
      </c>
      <c r="D585" s="6">
        <v>42994</v>
      </c>
      <c r="E585" s="6">
        <v>43008</v>
      </c>
      <c r="F585" s="2" t="s">
        <v>26</v>
      </c>
      <c r="G585" s="2" t="s">
        <v>26</v>
      </c>
      <c r="H585" s="2" t="s">
        <v>26</v>
      </c>
      <c r="I585" s="2" t="s">
        <v>26</v>
      </c>
      <c r="J585" s="2" t="s">
        <v>26</v>
      </c>
      <c r="K585" s="2" t="s">
        <v>8</v>
      </c>
      <c r="L585" s="2" t="s">
        <v>981</v>
      </c>
      <c r="M585" s="2" t="s">
        <v>295</v>
      </c>
      <c r="N585" s="2" t="s">
        <v>1670</v>
      </c>
      <c r="O585" s="2" t="s">
        <v>47</v>
      </c>
      <c r="P585" s="5">
        <v>891181300</v>
      </c>
      <c r="R585" s="2" t="s">
        <v>1671</v>
      </c>
      <c r="S585" s="2" t="s">
        <v>70</v>
      </c>
      <c r="T585" s="2" t="s">
        <v>812</v>
      </c>
      <c r="U585" s="2">
        <v>2009</v>
      </c>
      <c r="V585" s="6">
        <v>43255</v>
      </c>
      <c r="W585" s="3" t="s">
        <v>99</v>
      </c>
      <c r="X585" s="23">
        <v>4793.6000000000004</v>
      </c>
    </row>
    <row r="586" spans="1:24" x14ac:dyDescent="0.2">
      <c r="A586" s="2">
        <v>1707050</v>
      </c>
      <c r="B586" s="6">
        <v>42938.462478472225</v>
      </c>
      <c r="C586" s="6">
        <v>42938.463531134257</v>
      </c>
      <c r="D586" s="6">
        <v>0</v>
      </c>
      <c r="E586" s="6" t="s">
        <v>1511</v>
      </c>
      <c r="F586" s="2">
        <v>-42938.463531134257</v>
      </c>
      <c r="G586" s="2" t="s">
        <v>11</v>
      </c>
      <c r="H586" s="2" t="s">
        <v>93</v>
      </c>
      <c r="I586" s="2" t="s">
        <v>94</v>
      </c>
      <c r="J586" s="2" t="s">
        <v>95</v>
      </c>
      <c r="K586" s="2" t="s">
        <v>8</v>
      </c>
      <c r="L586" s="2" t="s">
        <v>27</v>
      </c>
      <c r="M586" s="2" t="s">
        <v>81</v>
      </c>
      <c r="N586" s="2" t="s">
        <v>1672</v>
      </c>
      <c r="O586" s="2" t="s">
        <v>234</v>
      </c>
      <c r="P586" s="5">
        <v>839611827</v>
      </c>
      <c r="R586" s="2" t="s">
        <v>1673</v>
      </c>
      <c r="S586" s="2" t="s">
        <v>49</v>
      </c>
      <c r="T586" s="2" t="s">
        <v>50</v>
      </c>
      <c r="V586" s="6" t="s">
        <v>72</v>
      </c>
      <c r="X586" s="23">
        <v>4210.28</v>
      </c>
    </row>
    <row r="587" spans="1:24" x14ac:dyDescent="0.2">
      <c r="A587" s="2">
        <v>1707051</v>
      </c>
      <c r="B587" s="6">
        <v>42938.631936226855</v>
      </c>
      <c r="C587" s="6">
        <v>42938.633471759262</v>
      </c>
      <c r="D587" s="6">
        <v>42945</v>
      </c>
      <c r="E587" s="6">
        <v>42950</v>
      </c>
      <c r="F587" s="2" t="s">
        <v>26</v>
      </c>
      <c r="G587" s="2" t="s">
        <v>26</v>
      </c>
      <c r="H587" s="2" t="s">
        <v>26</v>
      </c>
      <c r="I587" s="2" t="s">
        <v>26</v>
      </c>
      <c r="J587" s="2" t="s">
        <v>26</v>
      </c>
      <c r="K587" s="2" t="s">
        <v>8</v>
      </c>
      <c r="L587" s="2" t="s">
        <v>981</v>
      </c>
      <c r="M587" s="2" t="s">
        <v>28</v>
      </c>
      <c r="N587" s="2" t="s">
        <v>1674</v>
      </c>
      <c r="O587" s="2" t="s">
        <v>59</v>
      </c>
      <c r="P587" s="5">
        <v>818544183</v>
      </c>
      <c r="R587" s="2" t="s">
        <v>1675</v>
      </c>
      <c r="S587" s="2" t="s">
        <v>183</v>
      </c>
      <c r="T587" s="2" t="s">
        <v>373</v>
      </c>
      <c r="U587" s="2">
        <v>2012</v>
      </c>
      <c r="V587" s="6" t="s">
        <v>72</v>
      </c>
    </row>
    <row r="588" spans="1:24" x14ac:dyDescent="0.2">
      <c r="A588" s="2">
        <v>1707052</v>
      </c>
      <c r="B588" s="6">
        <v>42938.691666550927</v>
      </c>
      <c r="C588" s="6">
        <v>42961.567893287036</v>
      </c>
      <c r="D588" s="6">
        <v>42980</v>
      </c>
      <c r="E588" s="6">
        <v>43000</v>
      </c>
      <c r="F588" s="2" t="s">
        <v>26</v>
      </c>
      <c r="G588" s="2" t="s">
        <v>26</v>
      </c>
      <c r="H588" s="2" t="s">
        <v>26</v>
      </c>
      <c r="I588" s="2" t="s">
        <v>26</v>
      </c>
      <c r="J588" s="2" t="s">
        <v>26</v>
      </c>
      <c r="K588" s="2" t="s">
        <v>8</v>
      </c>
      <c r="L588" s="2" t="s">
        <v>73</v>
      </c>
      <c r="M588" s="2" t="s">
        <v>66</v>
      </c>
      <c r="N588" s="2" t="s">
        <v>1676</v>
      </c>
      <c r="O588" s="2" t="s">
        <v>68</v>
      </c>
      <c r="P588" s="5">
        <v>970971598</v>
      </c>
      <c r="R588" s="2" t="s">
        <v>1677</v>
      </c>
      <c r="S588" s="2" t="s">
        <v>183</v>
      </c>
      <c r="T588" s="2" t="s">
        <v>373</v>
      </c>
      <c r="U588" s="2">
        <v>2012</v>
      </c>
      <c r="V588" s="6">
        <v>43187</v>
      </c>
      <c r="W588" s="3" t="s">
        <v>974</v>
      </c>
      <c r="X588" s="23">
        <v>0</v>
      </c>
    </row>
    <row r="589" spans="1:24" x14ac:dyDescent="0.2">
      <c r="A589" s="2">
        <v>1707053</v>
      </c>
      <c r="B589" s="6">
        <v>42940.454818402781</v>
      </c>
      <c r="C589" s="6">
        <v>42990.581985185185</v>
      </c>
      <c r="D589" s="6">
        <v>42997</v>
      </c>
      <c r="E589" s="6">
        <v>43003</v>
      </c>
      <c r="F589" s="2" t="s">
        <v>26</v>
      </c>
      <c r="G589" s="2" t="s">
        <v>26</v>
      </c>
      <c r="H589" s="2" t="s">
        <v>26</v>
      </c>
      <c r="I589" s="2" t="s">
        <v>26</v>
      </c>
      <c r="J589" s="2" t="s">
        <v>26</v>
      </c>
      <c r="K589" s="2" t="s">
        <v>8</v>
      </c>
      <c r="L589" s="2" t="s">
        <v>34</v>
      </c>
      <c r="M589" s="2" t="s">
        <v>28</v>
      </c>
      <c r="N589" s="2" t="s">
        <v>1678</v>
      </c>
      <c r="O589" s="2" t="s">
        <v>41</v>
      </c>
      <c r="P589" s="5">
        <v>949265757</v>
      </c>
      <c r="R589" s="2" t="s">
        <v>1679</v>
      </c>
      <c r="S589" s="2" t="s">
        <v>49</v>
      </c>
      <c r="T589" s="2" t="s">
        <v>79</v>
      </c>
      <c r="U589" s="2">
        <v>2009</v>
      </c>
      <c r="V589" s="6">
        <v>43071</v>
      </c>
      <c r="W589" s="3" t="s">
        <v>1378</v>
      </c>
      <c r="X589" s="23">
        <v>5374.77</v>
      </c>
    </row>
    <row r="590" spans="1:24" x14ac:dyDescent="0.2">
      <c r="A590" s="2">
        <v>1707054</v>
      </c>
      <c r="B590" s="6">
        <v>42940.483732060187</v>
      </c>
      <c r="C590" s="6">
        <v>42940.485751851855</v>
      </c>
      <c r="D590" s="6">
        <v>42945</v>
      </c>
      <c r="E590" s="6">
        <v>42949</v>
      </c>
      <c r="F590" s="2" t="s">
        <v>26</v>
      </c>
      <c r="G590" s="2" t="s">
        <v>26</v>
      </c>
      <c r="H590" s="2" t="s">
        <v>26</v>
      </c>
      <c r="I590" s="2" t="s">
        <v>26</v>
      </c>
      <c r="J590" s="2" t="s">
        <v>26</v>
      </c>
      <c r="K590" s="2" t="s">
        <v>8</v>
      </c>
      <c r="L590" s="2" t="s">
        <v>34</v>
      </c>
      <c r="M590" s="2" t="s">
        <v>295</v>
      </c>
      <c r="N590" s="2" t="s">
        <v>1680</v>
      </c>
      <c r="O590" s="2" t="s">
        <v>68</v>
      </c>
      <c r="P590" s="5">
        <v>856633886</v>
      </c>
      <c r="R590" s="2" t="s">
        <v>1681</v>
      </c>
      <c r="S590" s="2" t="s">
        <v>55</v>
      </c>
      <c r="T590" s="2" t="s">
        <v>56</v>
      </c>
      <c r="U590" s="2">
        <v>2014</v>
      </c>
      <c r="V590" s="6">
        <v>43017</v>
      </c>
      <c r="W590" s="3" t="s">
        <v>266</v>
      </c>
    </row>
    <row r="591" spans="1:24" x14ac:dyDescent="0.2">
      <c r="A591" s="2">
        <v>1707055</v>
      </c>
      <c r="B591" s="6">
        <v>42940.579109259263</v>
      </c>
      <c r="C591" s="6">
        <v>42940.580590509257</v>
      </c>
      <c r="D591" s="6">
        <v>42945</v>
      </c>
      <c r="E591" s="6">
        <v>42945</v>
      </c>
      <c r="F591" s="2" t="s">
        <v>26</v>
      </c>
      <c r="G591" s="2" t="s">
        <v>26</v>
      </c>
      <c r="H591" s="2" t="s">
        <v>26</v>
      </c>
      <c r="I591" s="2" t="s">
        <v>26</v>
      </c>
      <c r="J591" s="2" t="s">
        <v>26</v>
      </c>
      <c r="K591" s="2" t="s">
        <v>8</v>
      </c>
      <c r="L591" s="2" t="s">
        <v>34</v>
      </c>
      <c r="M591" s="2" t="s">
        <v>295</v>
      </c>
      <c r="N591" s="2" t="s">
        <v>1682</v>
      </c>
      <c r="O591" s="2" t="s">
        <v>114</v>
      </c>
      <c r="P591" s="5">
        <v>972918737</v>
      </c>
      <c r="R591" s="2" t="s">
        <v>1683</v>
      </c>
      <c r="S591" s="2" t="s">
        <v>70</v>
      </c>
      <c r="T591" s="2" t="s">
        <v>193</v>
      </c>
      <c r="U591" s="2">
        <v>2011</v>
      </c>
      <c r="V591" s="6">
        <v>42739</v>
      </c>
      <c r="W591" s="3" t="s">
        <v>39</v>
      </c>
      <c r="X591" s="23">
        <v>4745.3500000000004</v>
      </c>
    </row>
    <row r="592" spans="1:24" x14ac:dyDescent="0.2">
      <c r="A592" s="2">
        <v>1707056</v>
      </c>
      <c r="B592" s="6">
        <v>42940.586349537036</v>
      </c>
      <c r="E592" s="6">
        <v>42978</v>
      </c>
      <c r="F592" s="2" t="s">
        <v>26</v>
      </c>
      <c r="G592" s="2" t="s">
        <v>26</v>
      </c>
      <c r="H592" s="2" t="s">
        <v>26</v>
      </c>
      <c r="I592" s="2" t="s">
        <v>26</v>
      </c>
      <c r="J592" s="2" t="s">
        <v>26</v>
      </c>
      <c r="K592" s="2" t="s">
        <v>8</v>
      </c>
      <c r="L592" s="2" t="s">
        <v>981</v>
      </c>
      <c r="M592" s="2" t="s">
        <v>81</v>
      </c>
      <c r="N592" s="2" t="s">
        <v>1684</v>
      </c>
      <c r="O592" s="2" t="s">
        <v>128</v>
      </c>
      <c r="P592" s="5">
        <v>865684925</v>
      </c>
      <c r="R592" s="2" t="s">
        <v>1685</v>
      </c>
      <c r="S592" s="2" t="s">
        <v>49</v>
      </c>
      <c r="T592" s="2" t="s">
        <v>670</v>
      </c>
      <c r="V592" s="6" t="s">
        <v>72</v>
      </c>
      <c r="X592" s="23">
        <v>4271.96</v>
      </c>
    </row>
    <row r="593" spans="1:24" x14ac:dyDescent="0.2">
      <c r="A593" s="2">
        <v>1707057</v>
      </c>
      <c r="B593" s="6">
        <v>42940.639819560187</v>
      </c>
      <c r="C593" s="6">
        <v>42940.654492245369</v>
      </c>
      <c r="D593" s="6">
        <v>0</v>
      </c>
      <c r="E593" s="6">
        <v>43007</v>
      </c>
      <c r="F593" s="2" t="s">
        <v>26</v>
      </c>
      <c r="G593" s="2" t="s">
        <v>26</v>
      </c>
      <c r="H593" s="2" t="s">
        <v>26</v>
      </c>
      <c r="I593" s="2" t="s">
        <v>26</v>
      </c>
      <c r="J593" s="2" t="s">
        <v>26</v>
      </c>
      <c r="K593" s="2" t="s">
        <v>8</v>
      </c>
      <c r="L593" s="2" t="s">
        <v>51</v>
      </c>
      <c r="M593" s="2" t="s">
        <v>28</v>
      </c>
      <c r="N593" s="2" t="s">
        <v>802</v>
      </c>
      <c r="O593" s="2" t="s">
        <v>120</v>
      </c>
      <c r="P593" s="5">
        <v>858204747</v>
      </c>
      <c r="R593" s="2" t="s">
        <v>803</v>
      </c>
      <c r="S593" s="2" t="s">
        <v>55</v>
      </c>
      <c r="T593" s="2" t="s">
        <v>165</v>
      </c>
      <c r="U593" s="2">
        <v>2012</v>
      </c>
      <c r="V593" s="6" t="s">
        <v>72</v>
      </c>
      <c r="X593" s="23">
        <v>30000</v>
      </c>
    </row>
    <row r="594" spans="1:24" x14ac:dyDescent="0.2">
      <c r="A594" s="2">
        <v>1707058</v>
      </c>
      <c r="B594" s="6">
        <v>42942.613442245369</v>
      </c>
      <c r="C594" s="6">
        <v>42942.615626273146</v>
      </c>
      <c r="D594" s="6">
        <v>42945</v>
      </c>
      <c r="E594" s="6" t="s">
        <v>1511</v>
      </c>
      <c r="F594" s="2">
        <v>2.3843737268543919</v>
      </c>
      <c r="G594" s="2" t="s">
        <v>11</v>
      </c>
      <c r="H594" s="2" t="s">
        <v>93</v>
      </c>
      <c r="I594" s="2" t="s">
        <v>94</v>
      </c>
      <c r="J594" s="2" t="s">
        <v>95</v>
      </c>
      <c r="K594" s="2" t="s">
        <v>8</v>
      </c>
      <c r="L594" s="2" t="s">
        <v>34</v>
      </c>
      <c r="M594" s="2" t="s">
        <v>28</v>
      </c>
      <c r="N594" s="2" t="s">
        <v>1686</v>
      </c>
      <c r="P594" s="5">
        <v>939642549</v>
      </c>
      <c r="R594" s="2" t="s">
        <v>1687</v>
      </c>
      <c r="S594" s="2" t="s">
        <v>37</v>
      </c>
      <c r="X594" s="23">
        <v>2100</v>
      </c>
    </row>
    <row r="595" spans="1:24" x14ac:dyDescent="0.2">
      <c r="A595" s="2">
        <v>1707059</v>
      </c>
      <c r="B595" s="6">
        <v>42943.57863541667</v>
      </c>
      <c r="C595" s="6">
        <v>43008.68887662037</v>
      </c>
      <c r="D595" s="6">
        <v>43022</v>
      </c>
      <c r="F595" s="2">
        <v>13.311123379629862</v>
      </c>
      <c r="G595" s="2" t="s">
        <v>11</v>
      </c>
      <c r="H595" s="2" t="s">
        <v>173</v>
      </c>
      <c r="I595" s="2" t="s">
        <v>94</v>
      </c>
      <c r="J595" s="2" t="s">
        <v>95</v>
      </c>
      <c r="K595" s="2" t="s">
        <v>8</v>
      </c>
      <c r="L595" s="2" t="s">
        <v>27</v>
      </c>
      <c r="M595" s="2" t="s">
        <v>28</v>
      </c>
      <c r="N595" s="2" t="s">
        <v>1688</v>
      </c>
      <c r="O595" s="2" t="s">
        <v>239</v>
      </c>
      <c r="P595" s="5">
        <v>929198638</v>
      </c>
      <c r="R595" s="2" t="s">
        <v>1689</v>
      </c>
      <c r="S595" s="2" t="s">
        <v>49</v>
      </c>
      <c r="T595" s="2" t="s">
        <v>79</v>
      </c>
      <c r="U595" s="2">
        <v>2012</v>
      </c>
      <c r="V595" s="6" t="s">
        <v>72</v>
      </c>
      <c r="X595" s="23">
        <v>0</v>
      </c>
    </row>
    <row r="596" spans="1:24" x14ac:dyDescent="0.2">
      <c r="A596" s="2">
        <v>1707060</v>
      </c>
      <c r="B596" s="6">
        <v>42944.718388541667</v>
      </c>
      <c r="C596" s="6">
        <v>42944.722920023145</v>
      </c>
      <c r="D596" s="6">
        <v>0</v>
      </c>
      <c r="E596" s="6" t="s">
        <v>126</v>
      </c>
      <c r="F596" s="2">
        <v>-42944.722920023145</v>
      </c>
      <c r="G596" s="2" t="s">
        <v>11</v>
      </c>
      <c r="H596" s="2" t="s">
        <v>179</v>
      </c>
      <c r="I596" s="2" t="s">
        <v>94</v>
      </c>
      <c r="J596" s="2" t="s">
        <v>95</v>
      </c>
      <c r="K596" s="2" t="s">
        <v>8</v>
      </c>
      <c r="L596" s="2" t="s">
        <v>170</v>
      </c>
      <c r="M596" s="2" t="s">
        <v>88</v>
      </c>
      <c r="N596" s="2" t="s">
        <v>1690</v>
      </c>
      <c r="O596" s="2" t="s">
        <v>511</v>
      </c>
      <c r="P596" s="5">
        <v>897942542</v>
      </c>
      <c r="Q596" s="5">
        <v>820032949</v>
      </c>
      <c r="R596" s="2" t="s">
        <v>1691</v>
      </c>
      <c r="S596" s="2" t="s">
        <v>37</v>
      </c>
      <c r="T596" s="2" t="s">
        <v>331</v>
      </c>
      <c r="U596" s="2">
        <v>2002</v>
      </c>
      <c r="V596" s="6">
        <v>43284</v>
      </c>
      <c r="W596" s="3" t="s">
        <v>44</v>
      </c>
    </row>
    <row r="597" spans="1:24" x14ac:dyDescent="0.2">
      <c r="A597" s="2">
        <v>1707061</v>
      </c>
      <c r="B597" s="6">
        <v>42945.573948958336</v>
      </c>
      <c r="C597" s="6">
        <v>43024.725743171293</v>
      </c>
      <c r="D597" s="6">
        <v>43031</v>
      </c>
      <c r="F597" s="2">
        <v>6.2742568287067115</v>
      </c>
      <c r="G597" s="2" t="s">
        <v>11</v>
      </c>
      <c r="H597" s="2" t="s">
        <v>122</v>
      </c>
      <c r="I597" s="2" t="s">
        <v>1620</v>
      </c>
      <c r="J597" s="2" t="s">
        <v>95</v>
      </c>
      <c r="K597" s="2" t="s">
        <v>8</v>
      </c>
      <c r="L597" s="2" t="s">
        <v>981</v>
      </c>
      <c r="M597" s="2" t="s">
        <v>28</v>
      </c>
      <c r="N597" s="2" t="s">
        <v>1692</v>
      </c>
      <c r="O597" s="2" t="s">
        <v>59</v>
      </c>
      <c r="P597" s="5">
        <v>922808281</v>
      </c>
      <c r="R597" s="2" t="s">
        <v>1693</v>
      </c>
      <c r="S597" s="2" t="s">
        <v>49</v>
      </c>
      <c r="T597" s="2" t="s">
        <v>130</v>
      </c>
      <c r="U597" s="2">
        <v>2012</v>
      </c>
      <c r="V597" s="6">
        <v>43210</v>
      </c>
      <c r="W597" s="3" t="s">
        <v>517</v>
      </c>
      <c r="X597" s="23">
        <v>4724.3</v>
      </c>
    </row>
    <row r="598" spans="1:24" x14ac:dyDescent="0.2">
      <c r="A598" s="2">
        <v>1707062</v>
      </c>
      <c r="B598" s="6">
        <v>42945.580789004627</v>
      </c>
      <c r="C598" s="6">
        <v>42973.419428819441</v>
      </c>
      <c r="D598" s="6">
        <v>42978</v>
      </c>
      <c r="F598" s="2">
        <v>4.5805711805587634</v>
      </c>
      <c r="G598" s="2" t="s">
        <v>11</v>
      </c>
      <c r="H598" s="2" t="s">
        <v>93</v>
      </c>
      <c r="I598" s="2" t="s">
        <v>94</v>
      </c>
      <c r="J598" s="2" t="s">
        <v>95</v>
      </c>
      <c r="K598" s="2" t="s">
        <v>8</v>
      </c>
      <c r="L598" s="2" t="s">
        <v>981</v>
      </c>
      <c r="M598" s="2" t="s">
        <v>66</v>
      </c>
      <c r="N598" s="2" t="s">
        <v>1694</v>
      </c>
      <c r="O598" s="2" t="s">
        <v>114</v>
      </c>
      <c r="P598" s="5">
        <v>983326977</v>
      </c>
      <c r="Q598" s="5">
        <v>971835233</v>
      </c>
      <c r="R598" s="2" t="s">
        <v>1695</v>
      </c>
      <c r="S598" s="2" t="s">
        <v>37</v>
      </c>
      <c r="T598" s="2" t="s">
        <v>1696</v>
      </c>
      <c r="U598" s="2">
        <v>2012</v>
      </c>
      <c r="V598" s="6">
        <v>43056</v>
      </c>
      <c r="W598" s="3" t="s">
        <v>573</v>
      </c>
      <c r="X598" s="23">
        <v>0</v>
      </c>
    </row>
    <row r="599" spans="1:24" x14ac:dyDescent="0.2">
      <c r="A599" s="2">
        <v>1707063</v>
      </c>
      <c r="B599" s="6">
        <v>42947.399796759259</v>
      </c>
      <c r="F599" s="2" t="s">
        <v>126</v>
      </c>
      <c r="G599" s="2" t="s">
        <v>126</v>
      </c>
      <c r="H599" s="2" t="s">
        <v>126</v>
      </c>
      <c r="I599" s="2" t="s">
        <v>126</v>
      </c>
      <c r="J599" s="2" t="s">
        <v>126</v>
      </c>
      <c r="K599" s="2" t="s">
        <v>8</v>
      </c>
      <c r="L599" s="2" t="s">
        <v>27</v>
      </c>
      <c r="M599" s="2" t="s">
        <v>45</v>
      </c>
      <c r="N599" s="2" t="s">
        <v>931</v>
      </c>
      <c r="P599" s="5">
        <v>944930087</v>
      </c>
      <c r="R599" s="2" t="s">
        <v>1697</v>
      </c>
      <c r="S599" s="2" t="s">
        <v>31</v>
      </c>
      <c r="T599" s="2" t="s">
        <v>283</v>
      </c>
      <c r="U599" s="2">
        <v>2008</v>
      </c>
      <c r="V599" s="6">
        <v>42898</v>
      </c>
      <c r="W599" s="3" t="s">
        <v>232</v>
      </c>
      <c r="X599" s="23">
        <v>3915.89</v>
      </c>
    </row>
    <row r="600" spans="1:24" x14ac:dyDescent="0.2">
      <c r="A600" s="2">
        <v>1707064</v>
      </c>
      <c r="B600" s="6">
        <v>42947.435108101854</v>
      </c>
      <c r="C600" s="6">
        <v>42947.440622222224</v>
      </c>
      <c r="D600" s="6">
        <v>42957</v>
      </c>
      <c r="E600" s="6" t="s">
        <v>1511</v>
      </c>
      <c r="F600" s="2">
        <v>9.5593777777758078</v>
      </c>
      <c r="G600" s="2" t="s">
        <v>11</v>
      </c>
      <c r="H600" s="2" t="s">
        <v>93</v>
      </c>
      <c r="I600" s="2" t="s">
        <v>94</v>
      </c>
      <c r="J600" s="2" t="s">
        <v>95</v>
      </c>
      <c r="K600" s="2" t="s">
        <v>8</v>
      </c>
      <c r="L600" s="2" t="s">
        <v>27</v>
      </c>
      <c r="M600" s="2" t="s">
        <v>416</v>
      </c>
      <c r="N600" s="2" t="s">
        <v>1698</v>
      </c>
      <c r="O600" s="2" t="s">
        <v>68</v>
      </c>
      <c r="P600" s="5">
        <v>892189397</v>
      </c>
      <c r="R600" s="2" t="s">
        <v>1699</v>
      </c>
      <c r="S600" s="2" t="s">
        <v>49</v>
      </c>
      <c r="T600" s="2" t="s">
        <v>79</v>
      </c>
      <c r="U600" s="2">
        <v>2007</v>
      </c>
      <c r="V600" s="6">
        <v>43198</v>
      </c>
      <c r="W600" s="3" t="s">
        <v>44</v>
      </c>
      <c r="X600" s="23">
        <v>5799.07</v>
      </c>
    </row>
    <row r="601" spans="1:24" x14ac:dyDescent="0.2">
      <c r="A601" s="2">
        <v>1707065</v>
      </c>
      <c r="B601" s="6">
        <v>42947.574249305559</v>
      </c>
      <c r="C601" s="6">
        <v>43021.376525810185</v>
      </c>
      <c r="F601" s="2" t="s">
        <v>92</v>
      </c>
      <c r="G601" s="2" t="s">
        <v>11</v>
      </c>
      <c r="H601" s="2" t="s">
        <v>365</v>
      </c>
      <c r="I601" s="2" t="s">
        <v>94</v>
      </c>
      <c r="J601" s="2" t="s">
        <v>95</v>
      </c>
      <c r="K601" s="2" t="s">
        <v>8</v>
      </c>
      <c r="L601" s="2" t="s">
        <v>981</v>
      </c>
      <c r="M601" s="2" t="s">
        <v>88</v>
      </c>
      <c r="N601" s="2" t="s">
        <v>1700</v>
      </c>
      <c r="O601" s="2" t="s">
        <v>128</v>
      </c>
      <c r="P601" s="5">
        <v>891099370</v>
      </c>
      <c r="R601" s="2" t="s">
        <v>1701</v>
      </c>
      <c r="S601" s="2" t="s">
        <v>37</v>
      </c>
      <c r="T601" s="2" t="s">
        <v>354</v>
      </c>
      <c r="U601" s="2">
        <v>1996</v>
      </c>
      <c r="V601" s="6">
        <v>43194</v>
      </c>
      <c r="W601" s="3" t="s">
        <v>1702</v>
      </c>
      <c r="X601" s="23">
        <v>4000</v>
      </c>
    </row>
    <row r="602" spans="1:24" x14ac:dyDescent="0.2">
      <c r="A602" s="2">
        <v>1707066</v>
      </c>
      <c r="B602" s="6">
        <v>42947.578903935188</v>
      </c>
      <c r="C602" s="6">
        <v>42947.600865509259</v>
      </c>
      <c r="D602" s="6">
        <v>42955</v>
      </c>
      <c r="E602" s="6">
        <v>42961</v>
      </c>
      <c r="F602" s="2" t="s">
        <v>26</v>
      </c>
      <c r="G602" s="2" t="s">
        <v>26</v>
      </c>
      <c r="H602" s="2" t="s">
        <v>26</v>
      </c>
      <c r="I602" s="2" t="s">
        <v>26</v>
      </c>
      <c r="J602" s="2" t="s">
        <v>26</v>
      </c>
      <c r="K602" s="2" t="s">
        <v>8</v>
      </c>
      <c r="L602" s="2" t="s">
        <v>27</v>
      </c>
      <c r="M602" s="2" t="s">
        <v>118</v>
      </c>
      <c r="N602" s="2" t="s">
        <v>1703</v>
      </c>
      <c r="O602" s="2" t="s">
        <v>217</v>
      </c>
      <c r="P602" s="5">
        <v>813459165</v>
      </c>
      <c r="R602" s="2" t="s">
        <v>1704</v>
      </c>
      <c r="S602" s="2" t="s">
        <v>49</v>
      </c>
      <c r="T602" s="2" t="s">
        <v>79</v>
      </c>
      <c r="U602" s="2">
        <v>2013</v>
      </c>
      <c r="V602" s="6">
        <v>43079</v>
      </c>
      <c r="W602" s="3" t="s">
        <v>57</v>
      </c>
      <c r="X602" s="23">
        <v>5721.2</v>
      </c>
    </row>
    <row r="603" spans="1:24" x14ac:dyDescent="0.2">
      <c r="A603" s="2">
        <v>1707067</v>
      </c>
      <c r="B603" s="6">
        <v>42947.612133680559</v>
      </c>
      <c r="C603" s="6">
        <v>42947.614189351851</v>
      </c>
      <c r="D603" s="6">
        <v>42966</v>
      </c>
      <c r="E603" s="6">
        <v>42973</v>
      </c>
      <c r="F603" s="2" t="s">
        <v>26</v>
      </c>
      <c r="G603" s="2" t="s">
        <v>26</v>
      </c>
      <c r="H603" s="2" t="s">
        <v>26</v>
      </c>
      <c r="I603" s="2" t="s">
        <v>26</v>
      </c>
      <c r="J603" s="2" t="s">
        <v>26</v>
      </c>
      <c r="K603" s="2" t="s">
        <v>8</v>
      </c>
      <c r="L603" s="2" t="s">
        <v>73</v>
      </c>
      <c r="M603" s="2" t="s">
        <v>66</v>
      </c>
      <c r="N603" s="2" t="s">
        <v>1705</v>
      </c>
      <c r="O603" s="2" t="s">
        <v>47</v>
      </c>
      <c r="P603" s="5">
        <v>882471882</v>
      </c>
      <c r="R603" s="2" t="s">
        <v>1706</v>
      </c>
      <c r="S603" s="2" t="s">
        <v>133</v>
      </c>
      <c r="T603" s="2" t="s">
        <v>134</v>
      </c>
      <c r="U603" s="2">
        <v>2012</v>
      </c>
      <c r="V603" s="6">
        <v>43007</v>
      </c>
      <c r="W603" s="3" t="s">
        <v>266</v>
      </c>
      <c r="X603" s="23">
        <v>0</v>
      </c>
    </row>
    <row r="604" spans="1:24" x14ac:dyDescent="0.2">
      <c r="A604" s="2">
        <v>1707068</v>
      </c>
      <c r="B604" s="6">
        <v>42947.617023495368</v>
      </c>
      <c r="C604" s="6">
        <v>42947.618038078705</v>
      </c>
      <c r="D604" s="6">
        <v>0</v>
      </c>
      <c r="E604" s="6" t="s">
        <v>1511</v>
      </c>
      <c r="F604" s="2">
        <v>-42947.618038078705</v>
      </c>
      <c r="G604" s="2" t="s">
        <v>11</v>
      </c>
      <c r="H604" s="2" t="s">
        <v>93</v>
      </c>
      <c r="I604" s="2" t="s">
        <v>94</v>
      </c>
      <c r="J604" s="2" t="s">
        <v>95</v>
      </c>
      <c r="K604" s="2" t="s">
        <v>8</v>
      </c>
      <c r="L604" s="2" t="s">
        <v>51</v>
      </c>
      <c r="M604" s="2" t="s">
        <v>28</v>
      </c>
      <c r="N604" s="2" t="s">
        <v>1707</v>
      </c>
      <c r="O604" s="2" t="s">
        <v>47</v>
      </c>
      <c r="P604" s="5">
        <v>637817029</v>
      </c>
      <c r="R604" s="2" t="s">
        <v>1708</v>
      </c>
      <c r="S604" s="2" t="s">
        <v>55</v>
      </c>
      <c r="T604" s="2" t="s">
        <v>56</v>
      </c>
      <c r="U604" s="2">
        <v>2012</v>
      </c>
      <c r="V604" s="6">
        <v>43014</v>
      </c>
      <c r="W604" s="3" t="s">
        <v>226</v>
      </c>
      <c r="X604" s="23">
        <v>25000</v>
      </c>
    </row>
    <row r="605" spans="1:24" x14ac:dyDescent="0.2">
      <c r="A605" s="2">
        <v>1707069</v>
      </c>
      <c r="B605" s="6">
        <v>42947.657198958332</v>
      </c>
      <c r="C605" s="6">
        <v>42982.390521990739</v>
      </c>
      <c r="D605" s="6">
        <v>42956</v>
      </c>
      <c r="E605" s="6">
        <v>42987</v>
      </c>
      <c r="F605" s="2" t="s">
        <v>26</v>
      </c>
      <c r="G605" s="2" t="s">
        <v>26</v>
      </c>
      <c r="H605" s="2" t="s">
        <v>26</v>
      </c>
      <c r="I605" s="2" t="s">
        <v>26</v>
      </c>
      <c r="J605" s="2" t="s">
        <v>26</v>
      </c>
      <c r="K605" s="2" t="s">
        <v>8</v>
      </c>
      <c r="L605" s="2" t="s">
        <v>981</v>
      </c>
      <c r="M605" s="2" t="s">
        <v>61</v>
      </c>
      <c r="N605" s="2" t="s">
        <v>1709</v>
      </c>
      <c r="O605" s="2" t="s">
        <v>68</v>
      </c>
      <c r="P605" s="5">
        <v>819104133</v>
      </c>
      <c r="R605" s="2" t="s">
        <v>1710</v>
      </c>
      <c r="S605" s="2" t="s">
        <v>49</v>
      </c>
      <c r="T605" s="2" t="s">
        <v>130</v>
      </c>
      <c r="U605" s="2">
        <v>2010</v>
      </c>
      <c r="V605" s="6" t="s">
        <v>72</v>
      </c>
      <c r="X605" s="23">
        <v>4450</v>
      </c>
    </row>
    <row r="606" spans="1:24" x14ac:dyDescent="0.2">
      <c r="A606" s="2">
        <v>1707070</v>
      </c>
      <c r="B606" s="6">
        <v>42947.660794791664</v>
      </c>
      <c r="C606" s="6">
        <v>42947.661948263885</v>
      </c>
      <c r="D606" s="6">
        <v>42966</v>
      </c>
      <c r="E606" s="6">
        <v>42972</v>
      </c>
      <c r="F606" s="2" t="s">
        <v>26</v>
      </c>
      <c r="G606" s="2" t="s">
        <v>26</v>
      </c>
      <c r="H606" s="2" t="s">
        <v>26</v>
      </c>
      <c r="I606" s="2" t="s">
        <v>26</v>
      </c>
      <c r="J606" s="2" t="s">
        <v>26</v>
      </c>
      <c r="K606" s="2" t="s">
        <v>8</v>
      </c>
      <c r="L606" s="2" t="s">
        <v>73</v>
      </c>
      <c r="M606" s="2" t="s">
        <v>28</v>
      </c>
      <c r="N606" s="2" t="s">
        <v>1711</v>
      </c>
      <c r="P606" s="5">
        <v>904281550</v>
      </c>
      <c r="R606" s="2" t="s">
        <v>1712</v>
      </c>
      <c r="S606" s="2" t="s">
        <v>31</v>
      </c>
      <c r="V606" s="6" t="s">
        <v>72</v>
      </c>
      <c r="X606" s="23">
        <v>4700</v>
      </c>
    </row>
    <row r="607" spans="1:24" x14ac:dyDescent="0.2">
      <c r="A607" s="2">
        <v>1707071</v>
      </c>
      <c r="B607" s="6">
        <v>42947.704347800929</v>
      </c>
      <c r="F607" s="2" t="s">
        <v>126</v>
      </c>
      <c r="G607" s="2" t="s">
        <v>126</v>
      </c>
      <c r="H607" s="2" t="s">
        <v>126</v>
      </c>
      <c r="I607" s="2" t="s">
        <v>126</v>
      </c>
      <c r="J607" s="2" t="s">
        <v>126</v>
      </c>
      <c r="K607" s="2" t="s">
        <v>8</v>
      </c>
      <c r="L607" s="2" t="s">
        <v>27</v>
      </c>
      <c r="M607" s="2" t="s">
        <v>295</v>
      </c>
      <c r="N607" s="2" t="s">
        <v>1713</v>
      </c>
      <c r="P607" s="5">
        <v>869913993</v>
      </c>
      <c r="R607" s="2" t="s">
        <v>1714</v>
      </c>
      <c r="S607" s="2" t="s">
        <v>55</v>
      </c>
      <c r="T607" s="2" t="s">
        <v>76</v>
      </c>
      <c r="U607" s="2">
        <v>2009</v>
      </c>
      <c r="V607" s="6">
        <v>43048</v>
      </c>
      <c r="W607" s="3" t="s">
        <v>342</v>
      </c>
    </row>
    <row r="608" spans="1:24" x14ac:dyDescent="0.2">
      <c r="A608" s="2">
        <v>1708001</v>
      </c>
      <c r="B608" s="6">
        <v>42948.4553443287</v>
      </c>
      <c r="C608" s="6">
        <v>42965.476893634259</v>
      </c>
      <c r="D608" s="6">
        <v>42971</v>
      </c>
      <c r="E608" s="6">
        <v>42975</v>
      </c>
      <c r="F608" s="2" t="s">
        <v>26</v>
      </c>
      <c r="G608" s="2" t="s">
        <v>26</v>
      </c>
      <c r="H608" s="2" t="s">
        <v>26</v>
      </c>
      <c r="I608" s="2" t="s">
        <v>26</v>
      </c>
      <c r="J608" s="2" t="s">
        <v>26</v>
      </c>
      <c r="K608" s="2" t="s">
        <v>8</v>
      </c>
      <c r="L608" s="2" t="s">
        <v>981</v>
      </c>
      <c r="M608" s="2" t="s">
        <v>28</v>
      </c>
      <c r="N608" s="2" t="s">
        <v>1715</v>
      </c>
      <c r="O608" s="2" t="s">
        <v>53</v>
      </c>
      <c r="P608" s="5">
        <v>823934625</v>
      </c>
      <c r="Q608" s="5">
        <v>628526942</v>
      </c>
      <c r="R608" s="2" t="s">
        <v>1716</v>
      </c>
      <c r="S608" s="2" t="s">
        <v>37</v>
      </c>
      <c r="T608" s="2" t="s">
        <v>354</v>
      </c>
      <c r="U608" s="2">
        <v>2005</v>
      </c>
      <c r="V608" s="6">
        <v>43067</v>
      </c>
      <c r="W608" s="3" t="s">
        <v>44</v>
      </c>
      <c r="X608" s="23">
        <v>9738.32</v>
      </c>
    </row>
    <row r="609" spans="1:24" x14ac:dyDescent="0.2">
      <c r="A609" s="2">
        <v>1708002</v>
      </c>
      <c r="B609" s="6">
        <v>42949.435490277778</v>
      </c>
      <c r="C609" s="6">
        <v>42973.725340740741</v>
      </c>
      <c r="D609" s="6">
        <v>42978</v>
      </c>
      <c r="E609" s="6">
        <v>42977</v>
      </c>
      <c r="F609" s="2" t="s">
        <v>26</v>
      </c>
      <c r="G609" s="2" t="s">
        <v>26</v>
      </c>
      <c r="H609" s="2" t="s">
        <v>26</v>
      </c>
      <c r="I609" s="2" t="s">
        <v>26</v>
      </c>
      <c r="J609" s="2" t="s">
        <v>26</v>
      </c>
      <c r="K609" s="2" t="s">
        <v>8</v>
      </c>
      <c r="L609" s="2" t="s">
        <v>126</v>
      </c>
      <c r="M609" s="2" t="s">
        <v>28</v>
      </c>
      <c r="N609" s="2" t="s">
        <v>1717</v>
      </c>
      <c r="O609" s="2" t="s">
        <v>41</v>
      </c>
      <c r="P609" s="5">
        <v>614593962</v>
      </c>
      <c r="R609" s="2" t="s">
        <v>1718</v>
      </c>
      <c r="S609" s="2" t="s">
        <v>49</v>
      </c>
      <c r="T609" s="2" t="s">
        <v>130</v>
      </c>
      <c r="U609" s="2">
        <v>2009</v>
      </c>
      <c r="V609" s="6">
        <v>43035</v>
      </c>
      <c r="W609" s="3" t="s">
        <v>226</v>
      </c>
    </row>
    <row r="610" spans="1:24" x14ac:dyDescent="0.2">
      <c r="A610" s="2">
        <v>1708003</v>
      </c>
      <c r="B610" s="6">
        <v>42949.619837384256</v>
      </c>
      <c r="C610" s="6" t="s">
        <v>307</v>
      </c>
      <c r="D610" s="6" t="s">
        <v>307</v>
      </c>
      <c r="E610" s="6" t="s">
        <v>307</v>
      </c>
      <c r="F610" s="2" t="s">
        <v>307</v>
      </c>
      <c r="G610" s="2" t="s">
        <v>307</v>
      </c>
      <c r="H610" s="2" t="s">
        <v>307</v>
      </c>
      <c r="I610" s="2" t="s">
        <v>307</v>
      </c>
      <c r="J610" s="2" t="s">
        <v>307</v>
      </c>
      <c r="K610" s="2" t="s">
        <v>307</v>
      </c>
      <c r="L610" s="2" t="s">
        <v>307</v>
      </c>
      <c r="M610" s="2" t="s">
        <v>307</v>
      </c>
      <c r="N610" s="2" t="s">
        <v>307</v>
      </c>
      <c r="O610" s="2" t="s">
        <v>307</v>
      </c>
      <c r="P610" s="5" t="s">
        <v>307</v>
      </c>
      <c r="Q610" s="5" t="s">
        <v>307</v>
      </c>
      <c r="R610" s="2" t="s">
        <v>307</v>
      </c>
      <c r="S610" s="2" t="s">
        <v>307</v>
      </c>
      <c r="T610" s="2" t="s">
        <v>307</v>
      </c>
      <c r="U610" s="2" t="s">
        <v>307</v>
      </c>
      <c r="V610" s="6" t="s">
        <v>307</v>
      </c>
      <c r="W610" s="3" t="s">
        <v>307</v>
      </c>
      <c r="X610" s="23" t="s">
        <v>307</v>
      </c>
    </row>
    <row r="611" spans="1:24" x14ac:dyDescent="0.2">
      <c r="A611" s="2">
        <v>1708004</v>
      </c>
      <c r="B611" s="6">
        <v>42949.709085185183</v>
      </c>
      <c r="C611" s="6">
        <v>43017.599811574073</v>
      </c>
      <c r="F611" s="2" t="s">
        <v>92</v>
      </c>
      <c r="G611" s="2" t="s">
        <v>11</v>
      </c>
      <c r="H611" s="2" t="s">
        <v>365</v>
      </c>
      <c r="I611" s="2" t="s">
        <v>94</v>
      </c>
      <c r="J611" s="2" t="s">
        <v>95</v>
      </c>
      <c r="K611" s="2" t="s">
        <v>8</v>
      </c>
      <c r="L611" s="2" t="s">
        <v>34</v>
      </c>
      <c r="M611" s="2" t="s">
        <v>88</v>
      </c>
      <c r="N611" s="2" t="s">
        <v>1719</v>
      </c>
      <c r="O611" s="2" t="s">
        <v>47</v>
      </c>
      <c r="P611" s="5">
        <v>894796046</v>
      </c>
      <c r="R611" s="2" t="s">
        <v>1720</v>
      </c>
      <c r="S611" s="2" t="s">
        <v>55</v>
      </c>
      <c r="T611" s="2" t="s">
        <v>56</v>
      </c>
      <c r="U611" s="2">
        <v>2010</v>
      </c>
      <c r="V611" s="6">
        <v>42975</v>
      </c>
      <c r="W611" s="3" t="s">
        <v>219</v>
      </c>
      <c r="X611" s="23">
        <v>4600</v>
      </c>
    </row>
    <row r="612" spans="1:24" x14ac:dyDescent="0.2">
      <c r="A612" s="2">
        <v>1708005</v>
      </c>
      <c r="B612" s="6">
        <v>42950.63828900463</v>
      </c>
      <c r="C612" s="6">
        <v>42968.622523958336</v>
      </c>
      <c r="D612" s="6">
        <v>42993</v>
      </c>
      <c r="E612" s="6">
        <v>42980</v>
      </c>
      <c r="F612" s="2" t="s">
        <v>26</v>
      </c>
      <c r="G612" s="2" t="s">
        <v>26</v>
      </c>
      <c r="H612" s="2" t="s">
        <v>26</v>
      </c>
      <c r="I612" s="2" t="s">
        <v>26</v>
      </c>
      <c r="J612" s="2" t="s">
        <v>26</v>
      </c>
      <c r="K612" s="2" t="s">
        <v>8</v>
      </c>
      <c r="L612" s="2" t="s">
        <v>27</v>
      </c>
      <c r="M612" s="2" t="s">
        <v>295</v>
      </c>
      <c r="N612" s="2" t="s">
        <v>1721</v>
      </c>
      <c r="O612" s="2" t="s">
        <v>114</v>
      </c>
      <c r="P612" s="5">
        <v>990125792</v>
      </c>
      <c r="R612" s="2" t="s">
        <v>1722</v>
      </c>
      <c r="S612" s="2" t="s">
        <v>37</v>
      </c>
      <c r="T612" s="2" t="s">
        <v>102</v>
      </c>
      <c r="U612" s="2">
        <v>2014</v>
      </c>
      <c r="V612" s="6">
        <v>43335</v>
      </c>
      <c r="W612" s="3" t="s">
        <v>117</v>
      </c>
      <c r="X612" s="23">
        <v>7230</v>
      </c>
    </row>
    <row r="613" spans="1:24" x14ac:dyDescent="0.2">
      <c r="A613" s="2">
        <v>1708006</v>
      </c>
      <c r="B613" s="6">
        <v>42950.64564224537</v>
      </c>
      <c r="C613" s="6">
        <v>42950.647310300927</v>
      </c>
      <c r="D613" s="6">
        <v>0</v>
      </c>
      <c r="E613" s="6" t="s">
        <v>126</v>
      </c>
      <c r="F613" s="2">
        <v>-42950.647310300927</v>
      </c>
      <c r="G613" s="2" t="s">
        <v>11</v>
      </c>
      <c r="H613" s="2" t="s">
        <v>179</v>
      </c>
      <c r="I613" s="2" t="s">
        <v>94</v>
      </c>
      <c r="J613" s="2" t="s">
        <v>95</v>
      </c>
      <c r="K613" s="2" t="s">
        <v>8</v>
      </c>
      <c r="L613" s="2" t="s">
        <v>170</v>
      </c>
      <c r="M613" s="2" t="s">
        <v>28</v>
      </c>
      <c r="N613" s="2" t="s">
        <v>1723</v>
      </c>
      <c r="O613" s="2" t="s">
        <v>68</v>
      </c>
      <c r="P613" s="5">
        <v>925476334</v>
      </c>
      <c r="R613" s="2" t="s">
        <v>1724</v>
      </c>
      <c r="S613" s="2" t="s">
        <v>133</v>
      </c>
      <c r="T613" s="2" t="s">
        <v>134</v>
      </c>
      <c r="U613" s="2">
        <v>2013</v>
      </c>
      <c r="V613" s="6">
        <v>43196</v>
      </c>
      <c r="W613" s="3" t="s">
        <v>99</v>
      </c>
      <c r="X613" s="23">
        <v>1981</v>
      </c>
    </row>
    <row r="614" spans="1:24" x14ac:dyDescent="0.2">
      <c r="A614" s="2">
        <v>1708007</v>
      </c>
      <c r="B614" s="6">
        <v>42950.650571064813</v>
      </c>
      <c r="C614" s="6">
        <v>42976.673233449073</v>
      </c>
      <c r="D614" s="6">
        <v>42982</v>
      </c>
      <c r="E614" s="6">
        <v>42982</v>
      </c>
      <c r="F614" s="2" t="s">
        <v>26</v>
      </c>
      <c r="G614" s="2" t="s">
        <v>26</v>
      </c>
      <c r="H614" s="2" t="s">
        <v>26</v>
      </c>
      <c r="I614" s="2" t="s">
        <v>26</v>
      </c>
      <c r="J614" s="2" t="s">
        <v>26</v>
      </c>
      <c r="K614" s="2" t="s">
        <v>8</v>
      </c>
      <c r="L614" s="2" t="s">
        <v>34</v>
      </c>
      <c r="M614" s="2" t="s">
        <v>88</v>
      </c>
      <c r="N614" s="2" t="s">
        <v>1725</v>
      </c>
      <c r="O614" s="2" t="s">
        <v>47</v>
      </c>
      <c r="P614" s="5">
        <v>993964410</v>
      </c>
      <c r="R614" s="2" t="s">
        <v>1726</v>
      </c>
      <c r="S614" s="2" t="s">
        <v>31</v>
      </c>
      <c r="T614" s="2" t="s">
        <v>283</v>
      </c>
      <c r="U614" s="2">
        <v>2014</v>
      </c>
      <c r="V614" s="6">
        <v>43250</v>
      </c>
      <c r="W614" s="3" t="s">
        <v>517</v>
      </c>
    </row>
    <row r="615" spans="1:24" x14ac:dyDescent="0.2">
      <c r="A615" s="2">
        <v>1708008</v>
      </c>
      <c r="B615" s="6">
        <v>42950.653002199077</v>
      </c>
      <c r="C615" s="6">
        <v>42965.470045254631</v>
      </c>
      <c r="D615" s="6">
        <v>42991</v>
      </c>
      <c r="E615" s="6">
        <v>42979</v>
      </c>
      <c r="F615" s="2" t="s">
        <v>26</v>
      </c>
      <c r="G615" s="2" t="s">
        <v>26</v>
      </c>
      <c r="H615" s="2" t="s">
        <v>26</v>
      </c>
      <c r="I615" s="2" t="s">
        <v>26</v>
      </c>
      <c r="J615" s="2" t="s">
        <v>26</v>
      </c>
      <c r="K615" s="2" t="s">
        <v>8</v>
      </c>
      <c r="L615" s="2" t="s">
        <v>73</v>
      </c>
      <c r="M615" s="2" t="s">
        <v>81</v>
      </c>
      <c r="N615" s="2" t="s">
        <v>1727</v>
      </c>
      <c r="O615" s="2" t="s">
        <v>239</v>
      </c>
      <c r="P615" s="5">
        <v>624459175</v>
      </c>
      <c r="R615" s="2" t="s">
        <v>1728</v>
      </c>
      <c r="S615" s="2" t="s">
        <v>37</v>
      </c>
      <c r="T615" s="2" t="s">
        <v>102</v>
      </c>
      <c r="U615" s="2">
        <v>2012</v>
      </c>
      <c r="V615" s="6">
        <v>42811</v>
      </c>
      <c r="W615" s="3" t="s">
        <v>39</v>
      </c>
      <c r="X615" s="23">
        <v>0</v>
      </c>
    </row>
    <row r="616" spans="1:24" x14ac:dyDescent="0.2">
      <c r="A616" s="2">
        <v>1708009</v>
      </c>
      <c r="B616" s="6">
        <v>42950.685144791663</v>
      </c>
      <c r="C616" s="6">
        <v>42950.685936111113</v>
      </c>
      <c r="D616" s="6">
        <v>0</v>
      </c>
      <c r="E616" s="6" t="s">
        <v>126</v>
      </c>
      <c r="F616" s="2">
        <v>-42950.685936111113</v>
      </c>
      <c r="G616" s="2" t="s">
        <v>11</v>
      </c>
      <c r="H616" s="2" t="s">
        <v>975</v>
      </c>
      <c r="I616" s="2" t="s">
        <v>95</v>
      </c>
      <c r="J616" s="2" t="s">
        <v>95</v>
      </c>
      <c r="K616" s="2" t="s">
        <v>8</v>
      </c>
      <c r="L616" s="2" t="s">
        <v>170</v>
      </c>
      <c r="M616" s="2" t="s">
        <v>61</v>
      </c>
      <c r="N616" s="2" t="s">
        <v>1729</v>
      </c>
      <c r="O616" s="2" t="s">
        <v>217</v>
      </c>
      <c r="P616" s="5">
        <v>996544244</v>
      </c>
      <c r="Q616" s="5">
        <v>813772882</v>
      </c>
      <c r="R616" s="2" t="s">
        <v>1730</v>
      </c>
      <c r="S616" s="2" t="s">
        <v>49</v>
      </c>
      <c r="T616" s="2" t="s">
        <v>130</v>
      </c>
      <c r="U616" s="2">
        <v>2007</v>
      </c>
      <c r="V616" s="6">
        <v>43018</v>
      </c>
      <c r="W616" s="3" t="s">
        <v>573</v>
      </c>
      <c r="X616" s="23">
        <v>21495.33</v>
      </c>
    </row>
    <row r="617" spans="1:24" x14ac:dyDescent="0.2">
      <c r="A617" s="2">
        <v>1708010</v>
      </c>
      <c r="B617" s="6">
        <v>42950.687193634258</v>
      </c>
      <c r="C617" s="6">
        <v>42982.39429571759</v>
      </c>
      <c r="D617" s="6">
        <v>42991</v>
      </c>
      <c r="E617" s="6">
        <v>42990</v>
      </c>
      <c r="F617" s="2" t="s">
        <v>26</v>
      </c>
      <c r="G617" s="2" t="s">
        <v>26</v>
      </c>
      <c r="H617" s="2" t="s">
        <v>26</v>
      </c>
      <c r="I617" s="2" t="s">
        <v>26</v>
      </c>
      <c r="J617" s="2" t="s">
        <v>26</v>
      </c>
      <c r="K617" s="2" t="s">
        <v>8</v>
      </c>
      <c r="L617" s="2" t="s">
        <v>34</v>
      </c>
      <c r="M617" s="2" t="s">
        <v>28</v>
      </c>
      <c r="N617" s="2" t="s">
        <v>1731</v>
      </c>
      <c r="O617" s="2" t="s">
        <v>1732</v>
      </c>
      <c r="P617" s="5">
        <v>934423377</v>
      </c>
      <c r="R617" s="2" t="s">
        <v>2793</v>
      </c>
      <c r="S617" s="2" t="s">
        <v>55</v>
      </c>
      <c r="T617" s="2" t="s">
        <v>142</v>
      </c>
      <c r="U617" s="2">
        <v>2012</v>
      </c>
      <c r="V617" s="6">
        <v>43243</v>
      </c>
      <c r="W617" s="3" t="s">
        <v>84</v>
      </c>
      <c r="X617" s="23">
        <v>8219.6200000000008</v>
      </c>
    </row>
    <row r="618" spans="1:24" x14ac:dyDescent="0.2">
      <c r="A618" s="2">
        <v>1708011</v>
      </c>
      <c r="B618" s="6">
        <v>42952.386650347224</v>
      </c>
      <c r="C618" s="6">
        <v>42970.387664699076</v>
      </c>
      <c r="D618" s="6">
        <v>42969</v>
      </c>
      <c r="E618" s="6">
        <v>42966</v>
      </c>
      <c r="F618" s="2" t="s">
        <v>26</v>
      </c>
      <c r="G618" s="2" t="s">
        <v>26</v>
      </c>
      <c r="H618" s="2" t="s">
        <v>26</v>
      </c>
      <c r="I618" s="2" t="s">
        <v>26</v>
      </c>
      <c r="J618" s="2" t="s">
        <v>26</v>
      </c>
      <c r="K618" s="2" t="s">
        <v>8</v>
      </c>
      <c r="L618" s="2" t="s">
        <v>981</v>
      </c>
      <c r="M618" s="2" t="s">
        <v>28</v>
      </c>
      <c r="N618" s="2" t="s">
        <v>1733</v>
      </c>
      <c r="O618" s="2" t="s">
        <v>120</v>
      </c>
      <c r="P618" s="5">
        <v>859191729</v>
      </c>
      <c r="R618" s="2" t="s">
        <v>1734</v>
      </c>
      <c r="S618" s="2" t="s">
        <v>49</v>
      </c>
      <c r="T618" s="2" t="s">
        <v>130</v>
      </c>
      <c r="U618" s="2">
        <v>2012</v>
      </c>
      <c r="V618" s="6">
        <v>43186</v>
      </c>
      <c r="W618" s="3" t="s">
        <v>361</v>
      </c>
      <c r="X618" s="23">
        <v>4925.2299999999996</v>
      </c>
    </row>
    <row r="619" spans="1:24" x14ac:dyDescent="0.2">
      <c r="A619" s="2">
        <v>1708012</v>
      </c>
      <c r="B619" s="6">
        <v>42952.404574884262</v>
      </c>
      <c r="C619" s="6">
        <v>42978.582515393522</v>
      </c>
      <c r="D619" s="6">
        <v>42986</v>
      </c>
      <c r="E619" s="6">
        <v>42983</v>
      </c>
      <c r="F619" s="2" t="s">
        <v>26</v>
      </c>
      <c r="G619" s="2" t="s">
        <v>26</v>
      </c>
      <c r="H619" s="2" t="s">
        <v>26</v>
      </c>
      <c r="I619" s="2" t="s">
        <v>26</v>
      </c>
      <c r="J619" s="2" t="s">
        <v>26</v>
      </c>
      <c r="K619" s="2" t="s">
        <v>8</v>
      </c>
      <c r="L619" s="2" t="s">
        <v>27</v>
      </c>
      <c r="M619" s="2" t="s">
        <v>45</v>
      </c>
      <c r="N619" s="2" t="s">
        <v>1735</v>
      </c>
      <c r="P619" s="5">
        <v>929597695</v>
      </c>
      <c r="Q619" s="5">
        <v>906656512</v>
      </c>
      <c r="R619" s="2" t="s">
        <v>1736</v>
      </c>
      <c r="S619" s="2" t="s">
        <v>49</v>
      </c>
      <c r="T619" s="2" t="s">
        <v>79</v>
      </c>
      <c r="U619" s="2">
        <v>2013</v>
      </c>
      <c r="V619" s="6">
        <v>43086</v>
      </c>
      <c r="W619" s="3" t="s">
        <v>528</v>
      </c>
      <c r="X619" s="23">
        <v>30000</v>
      </c>
    </row>
    <row r="620" spans="1:24" x14ac:dyDescent="0.2">
      <c r="A620" s="2">
        <v>1708013</v>
      </c>
      <c r="B620" s="6">
        <v>42952.563322569447</v>
      </c>
      <c r="C620" s="6">
        <v>42970.374563657409</v>
      </c>
      <c r="D620" s="6">
        <v>42975</v>
      </c>
      <c r="E620" s="6">
        <v>42973</v>
      </c>
      <c r="F620" s="2" t="s">
        <v>26</v>
      </c>
      <c r="G620" s="2" t="s">
        <v>26</v>
      </c>
      <c r="H620" s="2" t="s">
        <v>26</v>
      </c>
      <c r="I620" s="2" t="s">
        <v>26</v>
      </c>
      <c r="J620" s="2" t="s">
        <v>26</v>
      </c>
      <c r="K620" s="2" t="s">
        <v>8</v>
      </c>
      <c r="L620" s="2" t="s">
        <v>981</v>
      </c>
      <c r="M620" s="2" t="s">
        <v>28</v>
      </c>
      <c r="N620" s="2" t="s">
        <v>1737</v>
      </c>
      <c r="O620" s="2" t="s">
        <v>114</v>
      </c>
      <c r="P620" s="5">
        <v>858000334</v>
      </c>
      <c r="R620" s="2" t="s">
        <v>1738</v>
      </c>
      <c r="S620" s="2" t="s">
        <v>49</v>
      </c>
      <c r="T620" s="2" t="s">
        <v>79</v>
      </c>
      <c r="U620" s="2">
        <v>2013</v>
      </c>
      <c r="V620" s="6">
        <v>42907</v>
      </c>
      <c r="W620" s="3" t="s">
        <v>57</v>
      </c>
      <c r="X620" s="23">
        <v>9763</v>
      </c>
    </row>
    <row r="621" spans="1:24" x14ac:dyDescent="0.2">
      <c r="A621" s="2">
        <v>1708014</v>
      </c>
      <c r="B621" s="6">
        <v>42952.594944791665</v>
      </c>
      <c r="C621" s="6">
        <v>42961.71312453704</v>
      </c>
      <c r="D621" s="6">
        <v>42980</v>
      </c>
      <c r="F621" s="2">
        <v>18.28687546295987</v>
      </c>
      <c r="G621" s="2" t="s">
        <v>11</v>
      </c>
      <c r="H621" s="2" t="s">
        <v>1583</v>
      </c>
      <c r="I621" s="2" t="s">
        <v>95</v>
      </c>
      <c r="J621" s="2" t="s">
        <v>95</v>
      </c>
      <c r="K621" s="2" t="s">
        <v>8</v>
      </c>
      <c r="L621" s="2" t="s">
        <v>73</v>
      </c>
      <c r="M621" s="2" t="s">
        <v>45</v>
      </c>
      <c r="N621" s="2" t="s">
        <v>1739</v>
      </c>
      <c r="O621" s="2" t="s">
        <v>47</v>
      </c>
      <c r="P621" s="5">
        <v>817153348</v>
      </c>
      <c r="R621" s="2" t="s">
        <v>1740</v>
      </c>
      <c r="S621" s="2" t="s">
        <v>55</v>
      </c>
      <c r="T621" s="2" t="s">
        <v>76</v>
      </c>
      <c r="U621" s="2">
        <v>2013</v>
      </c>
      <c r="V621" s="6">
        <v>42956</v>
      </c>
      <c r="W621" s="3" t="s">
        <v>1289</v>
      </c>
    </row>
    <row r="622" spans="1:24" x14ac:dyDescent="0.2">
      <c r="A622" s="2">
        <v>1708015</v>
      </c>
      <c r="B622" s="6">
        <v>42952.64282361111</v>
      </c>
      <c r="C622" s="6">
        <v>42961.367970949075</v>
      </c>
      <c r="D622" s="6">
        <v>0</v>
      </c>
      <c r="F622" s="2">
        <v>-42961.367970949075</v>
      </c>
      <c r="G622" s="2" t="s">
        <v>11</v>
      </c>
      <c r="H622" s="2" t="s">
        <v>179</v>
      </c>
      <c r="I622" s="2" t="s">
        <v>95</v>
      </c>
      <c r="J622" s="2" t="s">
        <v>95</v>
      </c>
      <c r="K622" s="2" t="s">
        <v>8</v>
      </c>
      <c r="L622" s="2" t="s">
        <v>27</v>
      </c>
      <c r="M622" s="2" t="s">
        <v>61</v>
      </c>
      <c r="N622" s="2" t="s">
        <v>1741</v>
      </c>
      <c r="O622" s="2" t="s">
        <v>120</v>
      </c>
      <c r="P622" s="5">
        <v>970925456</v>
      </c>
      <c r="R622" s="2" t="s">
        <v>1742</v>
      </c>
      <c r="S622" s="2" t="s">
        <v>243</v>
      </c>
      <c r="T622" s="2" t="s">
        <v>456</v>
      </c>
      <c r="U622" s="2">
        <v>2012</v>
      </c>
      <c r="V622" s="6">
        <v>43055</v>
      </c>
      <c r="W622" s="3" t="s">
        <v>39</v>
      </c>
      <c r="X622" s="23">
        <v>8200</v>
      </c>
    </row>
    <row r="623" spans="1:24" x14ac:dyDescent="0.2">
      <c r="A623" s="2">
        <v>1708016</v>
      </c>
      <c r="B623" s="6">
        <v>42954.428097800926</v>
      </c>
      <c r="C623" s="6">
        <v>42955.392432870372</v>
      </c>
      <c r="D623" s="6">
        <v>0</v>
      </c>
      <c r="E623" s="6">
        <v>43006</v>
      </c>
      <c r="F623" s="2" t="s">
        <v>26</v>
      </c>
      <c r="G623" s="2" t="s">
        <v>26</v>
      </c>
      <c r="H623" s="2" t="s">
        <v>26</v>
      </c>
      <c r="I623" s="2" t="s">
        <v>26</v>
      </c>
      <c r="J623" s="2" t="s">
        <v>26</v>
      </c>
      <c r="K623" s="2" t="s">
        <v>8</v>
      </c>
      <c r="L623" s="2" t="s">
        <v>170</v>
      </c>
      <c r="M623" s="2" t="s">
        <v>28</v>
      </c>
      <c r="N623" s="2" t="s">
        <v>1743</v>
      </c>
      <c r="O623" s="2" t="s">
        <v>47</v>
      </c>
      <c r="P623" s="5">
        <v>994365454</v>
      </c>
      <c r="Q623" s="5">
        <v>958500104</v>
      </c>
      <c r="R623" s="2" t="s">
        <v>1744</v>
      </c>
      <c r="S623" s="2" t="s">
        <v>70</v>
      </c>
      <c r="T623" s="2" t="s">
        <v>193</v>
      </c>
      <c r="U623" s="2">
        <v>2013</v>
      </c>
      <c r="V623" s="6" t="s">
        <v>72</v>
      </c>
      <c r="X623" s="23">
        <v>6800</v>
      </c>
    </row>
    <row r="624" spans="1:24" x14ac:dyDescent="0.2">
      <c r="A624" s="2">
        <v>1708017</v>
      </c>
      <c r="B624" s="6">
        <v>42954.625940625003</v>
      </c>
      <c r="C624" s="6">
        <v>42961.587403356483</v>
      </c>
      <c r="D624" s="6">
        <v>42961</v>
      </c>
      <c r="E624" s="6">
        <v>42958</v>
      </c>
      <c r="F624" s="2" t="s">
        <v>26</v>
      </c>
      <c r="G624" s="2" t="s">
        <v>26</v>
      </c>
      <c r="H624" s="2" t="s">
        <v>26</v>
      </c>
      <c r="I624" s="2" t="s">
        <v>26</v>
      </c>
      <c r="J624" s="2" t="s">
        <v>26</v>
      </c>
      <c r="K624" s="2" t="s">
        <v>8</v>
      </c>
      <c r="L624" s="2" t="s">
        <v>981</v>
      </c>
      <c r="M624" s="2" t="s">
        <v>28</v>
      </c>
      <c r="N624" s="2" t="s">
        <v>1745</v>
      </c>
      <c r="O624" s="2" t="s">
        <v>68</v>
      </c>
      <c r="P624" s="5">
        <v>847307951</v>
      </c>
      <c r="R624" s="2" t="s">
        <v>1746</v>
      </c>
      <c r="S624" s="2" t="s">
        <v>31</v>
      </c>
      <c r="T624" s="2" t="s">
        <v>116</v>
      </c>
      <c r="U624" s="2">
        <v>2016</v>
      </c>
      <c r="V624" s="6">
        <v>43072</v>
      </c>
      <c r="W624" s="3" t="s">
        <v>509</v>
      </c>
      <c r="X624" s="23">
        <v>0</v>
      </c>
    </row>
    <row r="625" spans="1:24" x14ac:dyDescent="0.2">
      <c r="A625" s="2">
        <v>1708018</v>
      </c>
      <c r="B625" s="6">
        <v>42954.64097291667</v>
      </c>
      <c r="C625" s="6">
        <v>42982.581987847225</v>
      </c>
      <c r="D625" s="6">
        <v>42987</v>
      </c>
      <c r="F625" s="2">
        <v>4.4180121527751908</v>
      </c>
      <c r="G625" s="2" t="s">
        <v>11</v>
      </c>
      <c r="H625" s="2" t="s">
        <v>93</v>
      </c>
      <c r="I625" s="2" t="s">
        <v>94</v>
      </c>
      <c r="J625" s="2" t="s">
        <v>95</v>
      </c>
      <c r="K625" s="2" t="s">
        <v>8</v>
      </c>
      <c r="L625" s="2" t="s">
        <v>27</v>
      </c>
      <c r="M625" s="2" t="s">
        <v>378</v>
      </c>
      <c r="N625" s="2" t="s">
        <v>1747</v>
      </c>
      <c r="O625" s="2" t="s">
        <v>107</v>
      </c>
      <c r="P625" s="5">
        <v>876668224</v>
      </c>
      <c r="R625" s="2" t="s">
        <v>1748</v>
      </c>
      <c r="S625" s="2" t="s">
        <v>243</v>
      </c>
      <c r="T625" s="2" t="s">
        <v>1202</v>
      </c>
      <c r="U625" s="2">
        <v>2011</v>
      </c>
      <c r="V625" s="6" t="s">
        <v>72</v>
      </c>
      <c r="X625" s="23">
        <v>1800</v>
      </c>
    </row>
    <row r="626" spans="1:24" x14ac:dyDescent="0.2">
      <c r="A626" s="2">
        <v>1708019</v>
      </c>
      <c r="B626" s="6">
        <v>42954.714616666664</v>
      </c>
      <c r="C626" s="6">
        <v>42968.408959837965</v>
      </c>
      <c r="D626" s="6">
        <v>42977</v>
      </c>
      <c r="E626" s="6">
        <v>42975</v>
      </c>
      <c r="F626" s="2" t="s">
        <v>26</v>
      </c>
      <c r="G626" s="2" t="s">
        <v>26</v>
      </c>
      <c r="H626" s="2" t="s">
        <v>26</v>
      </c>
      <c r="I626" s="2" t="s">
        <v>26</v>
      </c>
      <c r="J626" s="2" t="s">
        <v>26</v>
      </c>
      <c r="K626" s="2" t="s">
        <v>8</v>
      </c>
      <c r="L626" s="2" t="s">
        <v>27</v>
      </c>
      <c r="M626" s="2" t="s">
        <v>28</v>
      </c>
      <c r="N626" s="2" t="s">
        <v>1749</v>
      </c>
      <c r="O626" s="2" t="s">
        <v>41</v>
      </c>
      <c r="P626" s="5">
        <v>982897434</v>
      </c>
      <c r="R626" s="2" t="s">
        <v>1750</v>
      </c>
      <c r="S626" s="2" t="s">
        <v>133</v>
      </c>
      <c r="T626" s="2" t="s">
        <v>1387</v>
      </c>
      <c r="U626" s="2">
        <v>2012</v>
      </c>
      <c r="V626" s="6">
        <v>42993</v>
      </c>
      <c r="W626" s="3" t="s">
        <v>542</v>
      </c>
    </row>
    <row r="627" spans="1:24" x14ac:dyDescent="0.2">
      <c r="A627" s="2">
        <v>1708020</v>
      </c>
      <c r="B627" s="6">
        <v>42954.716214236112</v>
      </c>
      <c r="F627" s="2" t="s">
        <v>126</v>
      </c>
      <c r="G627" s="2" t="s">
        <v>126</v>
      </c>
      <c r="H627" s="2" t="s">
        <v>126</v>
      </c>
      <c r="I627" s="2" t="s">
        <v>126</v>
      </c>
      <c r="J627" s="2" t="s">
        <v>126</v>
      </c>
      <c r="K627" s="2" t="s">
        <v>8</v>
      </c>
      <c r="L627" s="2" t="s">
        <v>170</v>
      </c>
      <c r="M627" s="2" t="s">
        <v>28</v>
      </c>
      <c r="N627" s="2" t="s">
        <v>1751</v>
      </c>
      <c r="O627" s="2" t="s">
        <v>208</v>
      </c>
      <c r="P627" s="5">
        <v>900176424</v>
      </c>
      <c r="R627" s="2" t="s">
        <v>1752</v>
      </c>
      <c r="S627" s="2" t="s">
        <v>49</v>
      </c>
      <c r="T627" s="2" t="s">
        <v>91</v>
      </c>
      <c r="U627" s="2">
        <v>2009</v>
      </c>
      <c r="V627" s="6">
        <v>42958</v>
      </c>
      <c r="W627" s="3" t="s">
        <v>641</v>
      </c>
    </row>
    <row r="628" spans="1:24" x14ac:dyDescent="0.2">
      <c r="A628" s="2">
        <v>1708021</v>
      </c>
      <c r="B628" s="6">
        <v>42955.586565740741</v>
      </c>
      <c r="F628" s="2" t="s">
        <v>126</v>
      </c>
      <c r="G628" s="2" t="s">
        <v>126</v>
      </c>
      <c r="H628" s="2" t="s">
        <v>126</v>
      </c>
      <c r="I628" s="2" t="s">
        <v>126</v>
      </c>
      <c r="J628" s="2" t="s">
        <v>126</v>
      </c>
      <c r="K628" s="2" t="s">
        <v>8</v>
      </c>
      <c r="L628" s="2" t="s">
        <v>981</v>
      </c>
      <c r="M628" s="2" t="s">
        <v>28</v>
      </c>
      <c r="N628" s="2" t="s">
        <v>1753</v>
      </c>
      <c r="P628" s="5">
        <v>822918199</v>
      </c>
      <c r="R628" s="2" t="s">
        <v>1754</v>
      </c>
      <c r="S628" s="2" t="s">
        <v>55</v>
      </c>
      <c r="T628" s="2" t="s">
        <v>222</v>
      </c>
      <c r="U628" s="2">
        <v>2008</v>
      </c>
      <c r="V628" s="6" t="s">
        <v>72</v>
      </c>
    </row>
    <row r="629" spans="1:24" x14ac:dyDescent="0.2">
      <c r="A629" s="2">
        <v>1708022</v>
      </c>
      <c r="B629" s="6">
        <v>42955.588945833333</v>
      </c>
      <c r="C629" s="6">
        <v>42984.364731597219</v>
      </c>
      <c r="D629" s="6">
        <v>42987</v>
      </c>
      <c r="F629" s="2">
        <v>2.635268402780639</v>
      </c>
      <c r="G629" s="2" t="s">
        <v>11</v>
      </c>
      <c r="H629" s="2" t="s">
        <v>93</v>
      </c>
      <c r="I629" s="2" t="s">
        <v>94</v>
      </c>
      <c r="J629" s="2" t="s">
        <v>95</v>
      </c>
      <c r="K629" s="2" t="s">
        <v>8</v>
      </c>
      <c r="L629" s="2" t="s">
        <v>981</v>
      </c>
      <c r="M629" s="2" t="s">
        <v>416</v>
      </c>
      <c r="N629" s="2" t="s">
        <v>1755</v>
      </c>
      <c r="O629" s="2" t="s">
        <v>107</v>
      </c>
      <c r="P629" s="5">
        <v>865571218</v>
      </c>
      <c r="R629" s="2" t="s">
        <v>1756</v>
      </c>
      <c r="S629" s="2" t="s">
        <v>49</v>
      </c>
      <c r="T629" s="2" t="s">
        <v>91</v>
      </c>
      <c r="U629" s="2">
        <v>2009</v>
      </c>
      <c r="V629" s="6" t="s">
        <v>1757</v>
      </c>
      <c r="W629" s="3">
        <v>0</v>
      </c>
      <c r="X629" s="23">
        <v>12431</v>
      </c>
    </row>
    <row r="630" spans="1:24" x14ac:dyDescent="0.2">
      <c r="A630" s="2">
        <v>1708023</v>
      </c>
      <c r="B630" s="6">
        <v>42955.626567361112</v>
      </c>
      <c r="C630" s="6">
        <v>42955.627292592595</v>
      </c>
      <c r="D630" s="6">
        <v>0</v>
      </c>
      <c r="F630" s="2">
        <v>-42955.627292592595</v>
      </c>
      <c r="G630" s="2" t="s">
        <v>11</v>
      </c>
      <c r="H630" s="2" t="s">
        <v>206</v>
      </c>
      <c r="I630" s="2" t="s">
        <v>95</v>
      </c>
      <c r="J630" s="2" t="s">
        <v>95</v>
      </c>
      <c r="K630" s="2" t="s">
        <v>8</v>
      </c>
      <c r="L630" s="2" t="s">
        <v>170</v>
      </c>
      <c r="M630" s="2" t="s">
        <v>295</v>
      </c>
      <c r="N630" s="2" t="s">
        <v>1758</v>
      </c>
      <c r="O630" s="2" t="s">
        <v>380</v>
      </c>
      <c r="P630" s="5">
        <v>988303338</v>
      </c>
      <c r="R630" s="2" t="s">
        <v>1759</v>
      </c>
      <c r="S630" s="2" t="s">
        <v>55</v>
      </c>
      <c r="T630" s="2" t="s">
        <v>76</v>
      </c>
      <c r="U630" s="2">
        <v>2007</v>
      </c>
      <c r="V630" s="6">
        <v>43127</v>
      </c>
      <c r="W630" s="3" t="s">
        <v>342</v>
      </c>
    </row>
    <row r="631" spans="1:24" x14ac:dyDescent="0.2">
      <c r="A631" s="2">
        <v>1708024</v>
      </c>
      <c r="B631" s="6">
        <v>42955.698652430554</v>
      </c>
      <c r="C631" s="6">
        <v>42968.627891550925</v>
      </c>
      <c r="D631" s="6">
        <v>42968</v>
      </c>
      <c r="E631" s="6">
        <v>42968</v>
      </c>
      <c r="F631" s="2" t="s">
        <v>26</v>
      </c>
      <c r="G631" s="2" t="s">
        <v>26</v>
      </c>
      <c r="H631" s="2" t="s">
        <v>26</v>
      </c>
      <c r="I631" s="2" t="s">
        <v>26</v>
      </c>
      <c r="J631" s="2" t="s">
        <v>26</v>
      </c>
      <c r="K631" s="2" t="s">
        <v>8</v>
      </c>
      <c r="L631" s="2" t="s">
        <v>981</v>
      </c>
      <c r="M631" s="2" t="s">
        <v>66</v>
      </c>
      <c r="N631" s="2" t="s">
        <v>1760</v>
      </c>
      <c r="O631" s="2" t="s">
        <v>239</v>
      </c>
      <c r="P631" s="5">
        <v>819209366</v>
      </c>
      <c r="R631" s="2" t="s">
        <v>1761</v>
      </c>
      <c r="S631" s="2" t="s">
        <v>31</v>
      </c>
      <c r="T631" s="2" t="s">
        <v>382</v>
      </c>
      <c r="U631" s="2">
        <v>2012</v>
      </c>
      <c r="V631" s="6">
        <v>43035</v>
      </c>
      <c r="W631" s="3" t="s">
        <v>1762</v>
      </c>
      <c r="X631" s="23">
        <v>0</v>
      </c>
    </row>
    <row r="632" spans="1:24" x14ac:dyDescent="0.2">
      <c r="A632" s="2">
        <v>1708025</v>
      </c>
      <c r="B632" s="6">
        <v>42956.543452893522</v>
      </c>
      <c r="C632" s="6">
        <v>42994.663007060182</v>
      </c>
      <c r="D632" s="6">
        <v>43001</v>
      </c>
      <c r="E632" s="6">
        <v>43007</v>
      </c>
      <c r="F632" s="2" t="s">
        <v>26</v>
      </c>
      <c r="G632" s="2" t="s">
        <v>26</v>
      </c>
      <c r="H632" s="2" t="s">
        <v>26</v>
      </c>
      <c r="I632" s="2" t="s">
        <v>26</v>
      </c>
      <c r="J632" s="2" t="s">
        <v>26</v>
      </c>
      <c r="K632" s="2" t="s">
        <v>8</v>
      </c>
      <c r="L632" s="2" t="s">
        <v>27</v>
      </c>
      <c r="M632" s="2" t="s">
        <v>66</v>
      </c>
      <c r="N632" s="2" t="s">
        <v>1763</v>
      </c>
      <c r="P632" s="5">
        <v>922567041</v>
      </c>
      <c r="R632" s="2" t="s">
        <v>1764</v>
      </c>
      <c r="S632" s="2" t="s">
        <v>55</v>
      </c>
      <c r="T632" s="2" t="s">
        <v>142</v>
      </c>
      <c r="U632" s="2">
        <v>2004</v>
      </c>
      <c r="V632" s="6">
        <v>43184</v>
      </c>
      <c r="W632" s="3" t="s">
        <v>219</v>
      </c>
      <c r="X632" s="23">
        <v>5800</v>
      </c>
    </row>
    <row r="633" spans="1:24" x14ac:dyDescent="0.2">
      <c r="A633" s="2">
        <v>1708026</v>
      </c>
      <c r="B633" s="6">
        <v>42956.546575231485</v>
      </c>
      <c r="C633" s="6">
        <v>42971.417078935185</v>
      </c>
      <c r="D633" s="6">
        <v>42978</v>
      </c>
      <c r="E633" s="6">
        <v>42982</v>
      </c>
      <c r="F633" s="2" t="s">
        <v>26</v>
      </c>
      <c r="G633" s="2" t="s">
        <v>26</v>
      </c>
      <c r="H633" s="2" t="s">
        <v>26</v>
      </c>
      <c r="I633" s="2" t="s">
        <v>26</v>
      </c>
      <c r="J633" s="2" t="s">
        <v>26</v>
      </c>
      <c r="K633" s="2" t="s">
        <v>8</v>
      </c>
      <c r="L633" s="2" t="s">
        <v>27</v>
      </c>
      <c r="M633" s="2" t="s">
        <v>61</v>
      </c>
      <c r="N633" s="2" t="s">
        <v>1765</v>
      </c>
      <c r="O633" s="2" t="s">
        <v>107</v>
      </c>
      <c r="P633" s="5">
        <v>958719984</v>
      </c>
      <c r="R633" s="2" t="s">
        <v>1766</v>
      </c>
      <c r="S633" s="2" t="s">
        <v>37</v>
      </c>
      <c r="T633" s="2" t="s">
        <v>98</v>
      </c>
      <c r="U633" s="2">
        <v>2013</v>
      </c>
      <c r="V633" s="6">
        <v>43150</v>
      </c>
      <c r="W633" s="3" t="s">
        <v>194</v>
      </c>
      <c r="X633" s="23">
        <v>2320</v>
      </c>
    </row>
    <row r="634" spans="1:24" x14ac:dyDescent="0.2">
      <c r="A634" s="2">
        <v>1708027</v>
      </c>
      <c r="B634" s="6">
        <v>42961.56235821759</v>
      </c>
      <c r="F634" s="2" t="s">
        <v>126</v>
      </c>
      <c r="G634" s="2" t="s">
        <v>126</v>
      </c>
      <c r="H634" s="2" t="s">
        <v>126</v>
      </c>
      <c r="I634" s="2" t="s">
        <v>126</v>
      </c>
      <c r="J634" s="2" t="s">
        <v>126</v>
      </c>
      <c r="K634" s="2" t="s">
        <v>8</v>
      </c>
      <c r="L634" s="2" t="s">
        <v>981</v>
      </c>
      <c r="M634" s="2" t="s">
        <v>81</v>
      </c>
      <c r="N634" s="2" t="s">
        <v>1767</v>
      </c>
      <c r="O634" s="2" t="s">
        <v>47</v>
      </c>
      <c r="P634" s="5">
        <v>942034772</v>
      </c>
      <c r="R634" s="2" t="s">
        <v>1768</v>
      </c>
      <c r="S634" s="2" t="s">
        <v>70</v>
      </c>
      <c r="T634" s="2" t="s">
        <v>411</v>
      </c>
      <c r="U634" s="2">
        <v>2996</v>
      </c>
      <c r="V634" s="6">
        <v>43100</v>
      </c>
      <c r="W634" s="3" t="s">
        <v>1769</v>
      </c>
    </row>
    <row r="635" spans="1:24" x14ac:dyDescent="0.2">
      <c r="A635" s="2">
        <v>1708028</v>
      </c>
      <c r="B635" s="6">
        <v>42961.576951041665</v>
      </c>
      <c r="C635" s="6">
        <v>42961.584395254627</v>
      </c>
      <c r="D635" s="6">
        <v>0</v>
      </c>
      <c r="E635" s="6">
        <v>42969</v>
      </c>
      <c r="F635" s="2" t="s">
        <v>26</v>
      </c>
      <c r="G635" s="2" t="s">
        <v>26</v>
      </c>
      <c r="H635" s="2" t="s">
        <v>26</v>
      </c>
      <c r="I635" s="2" t="s">
        <v>26</v>
      </c>
      <c r="J635" s="2" t="s">
        <v>26</v>
      </c>
      <c r="K635" s="2" t="s">
        <v>8</v>
      </c>
      <c r="L635" s="2" t="s">
        <v>27</v>
      </c>
      <c r="M635" s="2" t="s">
        <v>45</v>
      </c>
      <c r="N635" s="2" t="s">
        <v>1770</v>
      </c>
      <c r="P635" s="5">
        <v>863331267</v>
      </c>
      <c r="Q635" s="5">
        <v>863433983</v>
      </c>
      <c r="R635" s="2" t="s">
        <v>1534</v>
      </c>
      <c r="S635" s="2" t="s">
        <v>64</v>
      </c>
      <c r="T635" s="2">
        <v>3</v>
      </c>
      <c r="U635" s="2">
        <v>2014</v>
      </c>
      <c r="V635" s="6">
        <v>42975</v>
      </c>
      <c r="W635" s="3" t="s">
        <v>1289</v>
      </c>
      <c r="X635" s="23">
        <v>0</v>
      </c>
    </row>
    <row r="636" spans="1:24" x14ac:dyDescent="0.2">
      <c r="A636" s="2">
        <v>1708029</v>
      </c>
      <c r="B636" s="6">
        <v>42961.710069212961</v>
      </c>
      <c r="C636" s="6">
        <v>42996.61324259259</v>
      </c>
      <c r="D636" s="6">
        <v>43001</v>
      </c>
      <c r="E636" s="6">
        <v>43004</v>
      </c>
      <c r="F636" s="2" t="s">
        <v>26</v>
      </c>
      <c r="G636" s="2" t="s">
        <v>26</v>
      </c>
      <c r="H636" s="2" t="s">
        <v>26</v>
      </c>
      <c r="I636" s="2" t="s">
        <v>26</v>
      </c>
      <c r="J636" s="2" t="s">
        <v>26</v>
      </c>
      <c r="K636" s="2" t="s">
        <v>8</v>
      </c>
      <c r="L636" s="2" t="s">
        <v>34</v>
      </c>
      <c r="M636" s="2" t="s">
        <v>45</v>
      </c>
      <c r="N636" s="2" t="s">
        <v>1771</v>
      </c>
      <c r="O636" s="2" t="s">
        <v>47</v>
      </c>
      <c r="P636" s="5">
        <v>894864541</v>
      </c>
      <c r="Q636" s="5">
        <v>819865602</v>
      </c>
      <c r="R636" s="2" t="s">
        <v>1772</v>
      </c>
      <c r="S636" s="2" t="s">
        <v>55</v>
      </c>
      <c r="T636" s="2" t="s">
        <v>697</v>
      </c>
      <c r="U636" s="2">
        <v>2012</v>
      </c>
      <c r="V636" s="6">
        <v>43064</v>
      </c>
      <c r="W636" s="3" t="s">
        <v>1034</v>
      </c>
      <c r="X636" s="23">
        <v>1000</v>
      </c>
    </row>
    <row r="637" spans="1:24" x14ac:dyDescent="0.2">
      <c r="A637" s="2">
        <v>1708030</v>
      </c>
      <c r="B637" s="6">
        <v>42962.392393518516</v>
      </c>
      <c r="C637" s="6">
        <v>42990.37515983796</v>
      </c>
      <c r="D637" s="6">
        <v>42994</v>
      </c>
      <c r="E637" s="6">
        <v>43001</v>
      </c>
      <c r="F637" s="2" t="s">
        <v>26</v>
      </c>
      <c r="G637" s="2" t="s">
        <v>26</v>
      </c>
      <c r="H637" s="2" t="s">
        <v>26</v>
      </c>
      <c r="I637" s="2" t="s">
        <v>26</v>
      </c>
      <c r="J637" s="2" t="s">
        <v>26</v>
      </c>
      <c r="K637" s="2" t="s">
        <v>8</v>
      </c>
      <c r="L637" s="2" t="s">
        <v>34</v>
      </c>
      <c r="M637" s="2" t="s">
        <v>81</v>
      </c>
      <c r="N637" s="2" t="s">
        <v>1773</v>
      </c>
      <c r="O637" s="2" t="s">
        <v>41</v>
      </c>
      <c r="P637" s="5">
        <v>802377888</v>
      </c>
      <c r="R637" s="2" t="s">
        <v>1774</v>
      </c>
      <c r="S637" s="2" t="s">
        <v>49</v>
      </c>
      <c r="T637" s="2" t="s">
        <v>79</v>
      </c>
      <c r="U637" s="2">
        <v>2008</v>
      </c>
      <c r="V637" s="6" t="s">
        <v>72</v>
      </c>
      <c r="X637" s="23">
        <v>3520</v>
      </c>
    </row>
    <row r="638" spans="1:24" x14ac:dyDescent="0.2">
      <c r="A638" s="2">
        <v>1708031</v>
      </c>
      <c r="B638" s="6">
        <v>42962.639792013892</v>
      </c>
      <c r="F638" s="2" t="s">
        <v>126</v>
      </c>
      <c r="G638" s="2" t="s">
        <v>126</v>
      </c>
      <c r="H638" s="2" t="s">
        <v>126</v>
      </c>
      <c r="I638" s="2" t="s">
        <v>126</v>
      </c>
      <c r="J638" s="2" t="s">
        <v>126</v>
      </c>
      <c r="K638" s="2" t="s">
        <v>8</v>
      </c>
      <c r="L638" s="2" t="s">
        <v>34</v>
      </c>
      <c r="M638" s="2" t="s">
        <v>88</v>
      </c>
      <c r="N638" s="2" t="s">
        <v>1775</v>
      </c>
      <c r="P638" s="5">
        <v>923848604</v>
      </c>
      <c r="R638" s="2" t="s">
        <v>1776</v>
      </c>
      <c r="S638" s="2" t="s">
        <v>55</v>
      </c>
      <c r="T638" s="2" t="s">
        <v>222</v>
      </c>
      <c r="U638" s="2">
        <v>2004</v>
      </c>
      <c r="V638" s="6" t="s">
        <v>44</v>
      </c>
    </row>
    <row r="639" spans="1:24" x14ac:dyDescent="0.2">
      <c r="A639" s="2">
        <v>1708032</v>
      </c>
      <c r="B639" s="6">
        <v>42962.643698842592</v>
      </c>
      <c r="C639" s="6">
        <v>42980.617718634261</v>
      </c>
      <c r="D639" s="6">
        <v>43003</v>
      </c>
      <c r="E639" s="6">
        <v>43001</v>
      </c>
      <c r="F639" s="2" t="s">
        <v>26</v>
      </c>
      <c r="G639" s="2" t="s">
        <v>26</v>
      </c>
      <c r="H639" s="2" t="s">
        <v>26</v>
      </c>
      <c r="I639" s="2" t="s">
        <v>26</v>
      </c>
      <c r="J639" s="2" t="s">
        <v>26</v>
      </c>
      <c r="K639" s="2" t="s">
        <v>8</v>
      </c>
      <c r="L639" s="2" t="s">
        <v>73</v>
      </c>
      <c r="M639" s="2" t="s">
        <v>45</v>
      </c>
      <c r="N639" s="2" t="s">
        <v>1777</v>
      </c>
      <c r="O639" s="2" t="s">
        <v>114</v>
      </c>
      <c r="P639" s="5">
        <v>874317958</v>
      </c>
      <c r="R639" s="2" t="s">
        <v>1778</v>
      </c>
      <c r="S639" s="2" t="s">
        <v>49</v>
      </c>
      <c r="T639" s="2" t="s">
        <v>79</v>
      </c>
      <c r="U639" s="2">
        <v>2006</v>
      </c>
      <c r="V639" s="6">
        <v>43297</v>
      </c>
      <c r="W639" s="3" t="s">
        <v>974</v>
      </c>
      <c r="X639" s="23">
        <v>11387.85</v>
      </c>
    </row>
    <row r="640" spans="1:24" x14ac:dyDescent="0.2">
      <c r="A640" s="2">
        <v>1708033</v>
      </c>
      <c r="B640" s="6">
        <v>42962.649093749998</v>
      </c>
      <c r="C640" s="6">
        <v>42968.414393402774</v>
      </c>
      <c r="D640" s="6">
        <v>42973</v>
      </c>
      <c r="E640" s="6">
        <v>42975</v>
      </c>
      <c r="F640" s="2" t="s">
        <v>26</v>
      </c>
      <c r="G640" s="2" t="s">
        <v>26</v>
      </c>
      <c r="H640" s="2" t="s">
        <v>26</v>
      </c>
      <c r="I640" s="2" t="s">
        <v>26</v>
      </c>
      <c r="J640" s="2" t="s">
        <v>26</v>
      </c>
      <c r="K640" s="2" t="s">
        <v>8</v>
      </c>
      <c r="L640" s="2" t="s">
        <v>27</v>
      </c>
      <c r="M640" s="2" t="s">
        <v>28</v>
      </c>
      <c r="N640" s="2" t="s">
        <v>1779</v>
      </c>
      <c r="O640" s="2" t="s">
        <v>128</v>
      </c>
      <c r="P640" s="5">
        <v>853435531</v>
      </c>
      <c r="R640" s="2" t="s">
        <v>1780</v>
      </c>
      <c r="S640" s="2" t="s">
        <v>49</v>
      </c>
      <c r="T640" s="2" t="s">
        <v>130</v>
      </c>
      <c r="U640" s="2">
        <v>2015</v>
      </c>
      <c r="V640" s="6">
        <v>42974</v>
      </c>
      <c r="W640" s="3" t="s">
        <v>266</v>
      </c>
    </row>
    <row r="641" spans="1:24" x14ac:dyDescent="0.2">
      <c r="A641" s="2">
        <v>1708034</v>
      </c>
      <c r="B641" s="6">
        <v>42962.694570370368</v>
      </c>
      <c r="F641" s="2" t="s">
        <v>126</v>
      </c>
      <c r="G641" s="2" t="s">
        <v>126</v>
      </c>
      <c r="H641" s="2" t="s">
        <v>126</v>
      </c>
      <c r="I641" s="2" t="s">
        <v>126</v>
      </c>
      <c r="J641" s="2" t="s">
        <v>126</v>
      </c>
      <c r="K641" s="2" t="s">
        <v>8</v>
      </c>
      <c r="L641" s="2" t="s">
        <v>170</v>
      </c>
      <c r="M641" s="2" t="s">
        <v>28</v>
      </c>
      <c r="N641" s="2" t="s">
        <v>1781</v>
      </c>
      <c r="O641" s="2" t="s">
        <v>47</v>
      </c>
      <c r="P641" s="5">
        <v>890619660</v>
      </c>
      <c r="R641" s="2" t="s">
        <v>1782</v>
      </c>
      <c r="S641" s="2" t="s">
        <v>49</v>
      </c>
      <c r="T641" s="2" t="s">
        <v>79</v>
      </c>
      <c r="U641" s="2">
        <v>2012</v>
      </c>
      <c r="V641" s="6">
        <v>43285</v>
      </c>
      <c r="W641" s="3" t="s">
        <v>117</v>
      </c>
      <c r="X641" s="23">
        <v>400</v>
      </c>
    </row>
    <row r="642" spans="1:24" x14ac:dyDescent="0.2">
      <c r="A642" s="2">
        <v>1708035</v>
      </c>
      <c r="B642" s="6">
        <v>42963.392525115742</v>
      </c>
      <c r="C642" s="6">
        <v>42983.404434143522</v>
      </c>
      <c r="D642" s="6">
        <v>42991</v>
      </c>
      <c r="E642" s="6">
        <v>42989</v>
      </c>
      <c r="F642" s="2" t="s">
        <v>26</v>
      </c>
      <c r="G642" s="2" t="s">
        <v>26</v>
      </c>
      <c r="H642" s="2" t="s">
        <v>26</v>
      </c>
      <c r="I642" s="2" t="s">
        <v>26</v>
      </c>
      <c r="J642" s="2" t="s">
        <v>26</v>
      </c>
      <c r="K642" s="2" t="s">
        <v>8</v>
      </c>
      <c r="L642" s="2" t="s">
        <v>27</v>
      </c>
      <c r="M642" s="2" t="s">
        <v>61</v>
      </c>
      <c r="N642" s="2" t="s">
        <v>1783</v>
      </c>
      <c r="O642" s="2" t="s">
        <v>68</v>
      </c>
      <c r="P642" s="5">
        <v>906025864</v>
      </c>
      <c r="R642" s="2" t="s">
        <v>1784</v>
      </c>
      <c r="S642" s="2" t="s">
        <v>55</v>
      </c>
      <c r="T642" s="2" t="s">
        <v>222</v>
      </c>
      <c r="U642" s="2">
        <v>2008</v>
      </c>
      <c r="V642" s="6">
        <v>42967</v>
      </c>
      <c r="W642" s="3" t="s">
        <v>286</v>
      </c>
      <c r="X642" s="23">
        <v>4900</v>
      </c>
    </row>
    <row r="643" spans="1:24" x14ac:dyDescent="0.2">
      <c r="A643" s="2">
        <v>1708036</v>
      </c>
      <c r="B643" s="6">
        <v>42963.395393171297</v>
      </c>
      <c r="C643" s="6">
        <v>42966.47870428241</v>
      </c>
      <c r="D643" s="6">
        <v>42973</v>
      </c>
      <c r="E643" s="6">
        <v>42973</v>
      </c>
      <c r="F643" s="2" t="s">
        <v>26</v>
      </c>
      <c r="G643" s="2" t="s">
        <v>26</v>
      </c>
      <c r="H643" s="2" t="s">
        <v>26</v>
      </c>
      <c r="I643" s="2" t="s">
        <v>26</v>
      </c>
      <c r="J643" s="2" t="s">
        <v>26</v>
      </c>
      <c r="K643" s="2" t="s">
        <v>8</v>
      </c>
      <c r="L643" s="2" t="s">
        <v>981</v>
      </c>
      <c r="M643" s="2" t="s">
        <v>61</v>
      </c>
      <c r="N643" s="2" t="s">
        <v>1785</v>
      </c>
      <c r="O643" s="2" t="s">
        <v>120</v>
      </c>
      <c r="P643" s="5">
        <v>909911380</v>
      </c>
      <c r="R643" s="2" t="s">
        <v>1786</v>
      </c>
      <c r="S643" s="2" t="s">
        <v>64</v>
      </c>
      <c r="T643" s="2">
        <v>2</v>
      </c>
      <c r="V643" s="6" t="s">
        <v>72</v>
      </c>
      <c r="X643" s="23">
        <v>27688.45</v>
      </c>
    </row>
    <row r="644" spans="1:24" x14ac:dyDescent="0.2">
      <c r="A644" s="2">
        <v>1708037</v>
      </c>
      <c r="B644" s="6">
        <v>42963.64561712963</v>
      </c>
      <c r="F644" s="2" t="s">
        <v>126</v>
      </c>
      <c r="G644" s="2" t="s">
        <v>126</v>
      </c>
      <c r="H644" s="2" t="s">
        <v>126</v>
      </c>
      <c r="I644" s="2" t="s">
        <v>126</v>
      </c>
      <c r="J644" s="2" t="s">
        <v>126</v>
      </c>
      <c r="K644" s="2" t="s">
        <v>1787</v>
      </c>
      <c r="L644" s="2" t="s">
        <v>981</v>
      </c>
      <c r="M644" s="2" t="s">
        <v>886</v>
      </c>
      <c r="N644" s="2" t="s">
        <v>1788</v>
      </c>
      <c r="O644" s="2" t="s">
        <v>520</v>
      </c>
      <c r="P644" s="5">
        <v>934257927</v>
      </c>
      <c r="R644" s="2" t="s">
        <v>1789</v>
      </c>
      <c r="S644" s="2" t="s">
        <v>49</v>
      </c>
      <c r="T644" s="2" t="s">
        <v>151</v>
      </c>
      <c r="U644" s="2">
        <v>2014</v>
      </c>
      <c r="V644" s="6">
        <v>43297</v>
      </c>
      <c r="W644" s="3" t="s">
        <v>1790</v>
      </c>
    </row>
    <row r="645" spans="1:24" x14ac:dyDescent="0.2">
      <c r="A645" s="2">
        <v>1708038</v>
      </c>
      <c r="B645" s="6">
        <v>42963.716965624997</v>
      </c>
      <c r="C645" s="6">
        <v>42963.718527199075</v>
      </c>
      <c r="D645" s="6">
        <v>0</v>
      </c>
      <c r="E645" s="6">
        <v>43007</v>
      </c>
      <c r="F645" s="2" t="s">
        <v>26</v>
      </c>
      <c r="G645" s="2" t="s">
        <v>26</v>
      </c>
      <c r="H645" s="2" t="s">
        <v>26</v>
      </c>
      <c r="I645" s="2" t="s">
        <v>26</v>
      </c>
      <c r="J645" s="2" t="s">
        <v>26</v>
      </c>
      <c r="K645" s="2" t="s">
        <v>8</v>
      </c>
      <c r="L645" s="2" t="s">
        <v>170</v>
      </c>
      <c r="M645" s="2" t="s">
        <v>61</v>
      </c>
      <c r="N645" s="2" t="s">
        <v>1791</v>
      </c>
      <c r="O645" s="2" t="s">
        <v>47</v>
      </c>
      <c r="P645" s="5">
        <v>818901398</v>
      </c>
      <c r="R645" s="2" t="s">
        <v>1792</v>
      </c>
      <c r="S645" s="2" t="s">
        <v>183</v>
      </c>
      <c r="T645" s="2" t="s">
        <v>373</v>
      </c>
      <c r="U645" s="2">
        <v>2012</v>
      </c>
      <c r="V645" s="6">
        <v>42977</v>
      </c>
      <c r="W645" s="3" t="s">
        <v>166</v>
      </c>
    </row>
    <row r="646" spans="1:24" x14ac:dyDescent="0.2">
      <c r="A646" s="2">
        <v>1708039</v>
      </c>
      <c r="B646" s="6">
        <v>42964.46158865741</v>
      </c>
      <c r="C646" s="6">
        <v>42982.424498495369</v>
      </c>
      <c r="D646" s="6">
        <v>42987</v>
      </c>
      <c r="E646" s="6">
        <v>42985</v>
      </c>
      <c r="F646" s="2" t="s">
        <v>26</v>
      </c>
      <c r="G646" s="2" t="s">
        <v>26</v>
      </c>
      <c r="H646" s="2" t="s">
        <v>26</v>
      </c>
      <c r="I646" s="2" t="s">
        <v>26</v>
      </c>
      <c r="J646" s="2" t="s">
        <v>26</v>
      </c>
      <c r="K646" s="2" t="s">
        <v>8</v>
      </c>
      <c r="L646" s="2" t="s">
        <v>34</v>
      </c>
      <c r="M646" s="2" t="s">
        <v>28</v>
      </c>
      <c r="N646" s="2" t="s">
        <v>1793</v>
      </c>
      <c r="O646" s="2" t="s">
        <v>114</v>
      </c>
      <c r="P646" s="5">
        <v>892157361</v>
      </c>
      <c r="Q646" s="5">
        <v>896820840</v>
      </c>
      <c r="R646" s="2" t="s">
        <v>1794</v>
      </c>
      <c r="S646" s="2" t="s">
        <v>31</v>
      </c>
      <c r="T646" s="2" t="s">
        <v>116</v>
      </c>
      <c r="U646" s="2">
        <v>2012</v>
      </c>
      <c r="V646" s="6">
        <v>42874</v>
      </c>
      <c r="W646" s="3" t="s">
        <v>232</v>
      </c>
      <c r="X646" s="23">
        <v>14200</v>
      </c>
    </row>
    <row r="647" spans="1:24" x14ac:dyDescent="0.2">
      <c r="A647" s="2">
        <v>1708040</v>
      </c>
      <c r="B647" s="6">
        <v>42964.711662268521</v>
      </c>
      <c r="F647" s="2" t="s">
        <v>126</v>
      </c>
      <c r="G647" s="2" t="s">
        <v>126</v>
      </c>
      <c r="H647" s="2" t="s">
        <v>126</v>
      </c>
      <c r="I647" s="2" t="s">
        <v>126</v>
      </c>
      <c r="J647" s="2" t="s">
        <v>126</v>
      </c>
      <c r="K647" s="2" t="s">
        <v>8</v>
      </c>
      <c r="L647" s="2" t="s">
        <v>27</v>
      </c>
      <c r="M647" s="2" t="s">
        <v>45</v>
      </c>
      <c r="N647" s="2" t="s">
        <v>1795</v>
      </c>
      <c r="O647" s="2" t="s">
        <v>114</v>
      </c>
      <c r="P647" s="5">
        <v>846006828</v>
      </c>
      <c r="R647" s="2" t="s">
        <v>1796</v>
      </c>
      <c r="S647" s="2" t="s">
        <v>55</v>
      </c>
      <c r="T647" s="2" t="s">
        <v>56</v>
      </c>
      <c r="U647" s="2">
        <v>2010</v>
      </c>
      <c r="V647" s="6">
        <v>43118</v>
      </c>
      <c r="W647" s="3" t="s">
        <v>39</v>
      </c>
      <c r="X647" s="23">
        <v>0</v>
      </c>
    </row>
    <row r="648" spans="1:24" x14ac:dyDescent="0.2">
      <c r="A648" s="2">
        <v>1708041</v>
      </c>
      <c r="B648" s="6">
        <v>42965.591852662037</v>
      </c>
      <c r="F648" s="2" t="s">
        <v>126</v>
      </c>
      <c r="G648" s="2" t="s">
        <v>126</v>
      </c>
      <c r="H648" s="2" t="s">
        <v>126</v>
      </c>
      <c r="I648" s="2" t="s">
        <v>126</v>
      </c>
      <c r="J648" s="2" t="s">
        <v>126</v>
      </c>
      <c r="K648" s="2" t="s">
        <v>8</v>
      </c>
      <c r="L648" s="2" t="s">
        <v>73</v>
      </c>
      <c r="M648" s="2" t="s">
        <v>61</v>
      </c>
      <c r="N648" s="2" t="s">
        <v>1797</v>
      </c>
      <c r="O648" s="2" t="s">
        <v>114</v>
      </c>
      <c r="P648" s="5">
        <v>843555244</v>
      </c>
      <c r="R648" s="2" t="s">
        <v>1798</v>
      </c>
      <c r="S648" s="2" t="s">
        <v>49</v>
      </c>
      <c r="T648" s="2" t="s">
        <v>79</v>
      </c>
      <c r="U648" s="2">
        <v>2012</v>
      </c>
      <c r="V648" s="6" t="s">
        <v>72</v>
      </c>
    </row>
    <row r="649" spans="1:24" x14ac:dyDescent="0.2">
      <c r="A649" s="2">
        <v>1708042</v>
      </c>
      <c r="B649" s="6">
        <v>42965.594415624997</v>
      </c>
      <c r="C649" s="6">
        <v>42965.599651504628</v>
      </c>
      <c r="D649" s="6">
        <v>0</v>
      </c>
      <c r="F649" s="2">
        <v>-42965.599651504628</v>
      </c>
      <c r="G649" s="2" t="s">
        <v>11</v>
      </c>
      <c r="H649" s="2" t="s">
        <v>206</v>
      </c>
      <c r="I649" s="2" t="s">
        <v>94</v>
      </c>
      <c r="J649" s="2" t="s">
        <v>95</v>
      </c>
      <c r="K649" s="2" t="s">
        <v>8</v>
      </c>
      <c r="L649" s="2" t="s">
        <v>170</v>
      </c>
      <c r="M649" s="2" t="s">
        <v>45</v>
      </c>
      <c r="N649" s="2" t="s">
        <v>1799</v>
      </c>
      <c r="O649" s="2" t="s">
        <v>1305</v>
      </c>
      <c r="P649" s="5">
        <v>631488789</v>
      </c>
      <c r="R649" s="2" t="s">
        <v>1800</v>
      </c>
      <c r="S649" s="2" t="s">
        <v>49</v>
      </c>
      <c r="T649" s="2" t="s">
        <v>79</v>
      </c>
      <c r="U649" s="2">
        <v>2012</v>
      </c>
      <c r="V649" s="6" t="s">
        <v>72</v>
      </c>
      <c r="X649" s="23">
        <v>0</v>
      </c>
    </row>
    <row r="650" spans="1:24" x14ac:dyDescent="0.2">
      <c r="A650" s="2">
        <v>1708043</v>
      </c>
      <c r="B650" s="6">
        <v>42965.712006481481</v>
      </c>
      <c r="C650" s="6">
        <v>42992.389004629629</v>
      </c>
      <c r="D650" s="6">
        <v>43001</v>
      </c>
      <c r="E650" s="6">
        <v>43004</v>
      </c>
      <c r="F650" s="2" t="s">
        <v>26</v>
      </c>
      <c r="G650" s="2" t="s">
        <v>26</v>
      </c>
      <c r="H650" s="2" t="s">
        <v>26</v>
      </c>
      <c r="I650" s="2" t="s">
        <v>26</v>
      </c>
      <c r="J650" s="2" t="s">
        <v>26</v>
      </c>
      <c r="K650" s="2" t="s">
        <v>8</v>
      </c>
      <c r="L650" s="2" t="s">
        <v>27</v>
      </c>
      <c r="M650" s="2" t="s">
        <v>295</v>
      </c>
      <c r="N650" s="2" t="s">
        <v>1801</v>
      </c>
      <c r="O650" s="2" t="s">
        <v>114</v>
      </c>
      <c r="P650" s="5">
        <v>958176089</v>
      </c>
      <c r="R650" s="2" t="s">
        <v>1802</v>
      </c>
      <c r="S650" s="2" t="s">
        <v>55</v>
      </c>
      <c r="T650" s="2" t="s">
        <v>142</v>
      </c>
      <c r="U650" s="2">
        <v>2009</v>
      </c>
      <c r="V650" s="6">
        <v>42924</v>
      </c>
      <c r="W650" s="3" t="s">
        <v>99</v>
      </c>
      <c r="X650" s="23">
        <v>13480</v>
      </c>
    </row>
    <row r="651" spans="1:24" x14ac:dyDescent="0.2">
      <c r="A651" s="2">
        <v>1708044</v>
      </c>
      <c r="B651" s="6">
        <v>42966.485057291669</v>
      </c>
      <c r="F651" s="2" t="s">
        <v>126</v>
      </c>
      <c r="G651" s="2" t="s">
        <v>126</v>
      </c>
      <c r="H651" s="2" t="s">
        <v>126</v>
      </c>
      <c r="I651" s="2" t="s">
        <v>126</v>
      </c>
      <c r="J651" s="2" t="s">
        <v>126</v>
      </c>
      <c r="K651" s="2" t="s">
        <v>8</v>
      </c>
      <c r="L651" s="2" t="s">
        <v>981</v>
      </c>
      <c r="M651" s="2" t="s">
        <v>28</v>
      </c>
      <c r="N651" s="2" t="s">
        <v>1601</v>
      </c>
      <c r="P651" s="5">
        <v>899383066</v>
      </c>
      <c r="R651" s="2" t="s">
        <v>1803</v>
      </c>
      <c r="S651" s="2" t="s">
        <v>133</v>
      </c>
      <c r="T651" s="2" t="s">
        <v>134</v>
      </c>
      <c r="U651" s="2">
        <v>2013</v>
      </c>
      <c r="V651" s="6">
        <v>43172</v>
      </c>
      <c r="W651" s="3" t="s">
        <v>148</v>
      </c>
    </row>
    <row r="652" spans="1:24" x14ac:dyDescent="0.2">
      <c r="A652" s="2">
        <v>1708045</v>
      </c>
      <c r="B652" s="6">
        <v>42966.624984606482</v>
      </c>
      <c r="C652" s="6">
        <v>42984.558672569445</v>
      </c>
      <c r="D652" s="6">
        <v>43005</v>
      </c>
      <c r="E652" s="6">
        <v>43001</v>
      </c>
      <c r="F652" s="2" t="s">
        <v>26</v>
      </c>
      <c r="G652" s="2" t="s">
        <v>26</v>
      </c>
      <c r="H652" s="2" t="s">
        <v>26</v>
      </c>
      <c r="I652" s="2" t="s">
        <v>26</v>
      </c>
      <c r="J652" s="2" t="s">
        <v>26</v>
      </c>
      <c r="K652" s="2" t="s">
        <v>8</v>
      </c>
      <c r="L652" s="2" t="s">
        <v>73</v>
      </c>
      <c r="M652" s="2" t="s">
        <v>66</v>
      </c>
      <c r="N652" s="2" t="s">
        <v>1804</v>
      </c>
      <c r="O652" s="2" t="s">
        <v>114</v>
      </c>
      <c r="P652" s="5">
        <v>859173411</v>
      </c>
      <c r="R652" s="2" t="s">
        <v>1805</v>
      </c>
      <c r="S652" s="2" t="s">
        <v>49</v>
      </c>
      <c r="T652" s="2" t="s">
        <v>79</v>
      </c>
      <c r="U652" s="2">
        <v>2010</v>
      </c>
      <c r="V652" s="6">
        <v>43002</v>
      </c>
      <c r="W652" s="3" t="s">
        <v>1806</v>
      </c>
      <c r="X652" s="23">
        <v>26174.720000000001</v>
      </c>
    </row>
    <row r="653" spans="1:24" x14ac:dyDescent="0.2">
      <c r="A653" s="2">
        <v>1708046</v>
      </c>
      <c r="B653" s="6">
        <v>42966.628606134262</v>
      </c>
      <c r="C653" s="6">
        <v>42980.621934722221</v>
      </c>
      <c r="D653" s="6">
        <v>42984</v>
      </c>
      <c r="E653" s="6">
        <v>42990</v>
      </c>
      <c r="F653" s="2" t="s">
        <v>26</v>
      </c>
      <c r="G653" s="2" t="s">
        <v>26</v>
      </c>
      <c r="H653" s="2" t="s">
        <v>26</v>
      </c>
      <c r="I653" s="2" t="s">
        <v>26</v>
      </c>
      <c r="J653" s="2" t="s">
        <v>26</v>
      </c>
      <c r="K653" s="2" t="s">
        <v>8</v>
      </c>
      <c r="L653" s="2" t="s">
        <v>981</v>
      </c>
      <c r="M653" s="2" t="s">
        <v>295</v>
      </c>
      <c r="N653" s="2" t="s">
        <v>1807</v>
      </c>
      <c r="O653" s="2" t="s">
        <v>41</v>
      </c>
      <c r="P653" s="5">
        <v>905721615</v>
      </c>
      <c r="R653" s="2" t="s">
        <v>1808</v>
      </c>
      <c r="S653" s="2" t="s">
        <v>55</v>
      </c>
      <c r="T653" s="2" t="s">
        <v>222</v>
      </c>
      <c r="U653" s="2">
        <v>2001</v>
      </c>
      <c r="V653" s="6">
        <v>43139</v>
      </c>
      <c r="W653" s="3" t="s">
        <v>44</v>
      </c>
      <c r="X653" s="23">
        <v>3294</v>
      </c>
    </row>
    <row r="654" spans="1:24" x14ac:dyDescent="0.2">
      <c r="A654" s="2">
        <v>1708047</v>
      </c>
      <c r="B654" s="6">
        <v>42966.630501041669</v>
      </c>
      <c r="C654" s="6">
        <v>42982.463010879626</v>
      </c>
      <c r="D654" s="6">
        <v>42987</v>
      </c>
      <c r="E654" s="6">
        <v>42986</v>
      </c>
      <c r="F654" s="2" t="s">
        <v>26</v>
      </c>
      <c r="G654" s="2" t="s">
        <v>26</v>
      </c>
      <c r="H654" s="2" t="s">
        <v>26</v>
      </c>
      <c r="I654" s="2" t="s">
        <v>26</v>
      </c>
      <c r="J654" s="2" t="s">
        <v>26</v>
      </c>
      <c r="K654" s="2" t="s">
        <v>8</v>
      </c>
      <c r="L654" s="2" t="s">
        <v>34</v>
      </c>
      <c r="M654" s="2" t="s">
        <v>28</v>
      </c>
      <c r="N654" s="2" t="s">
        <v>1809</v>
      </c>
      <c r="O654" s="2" t="s">
        <v>128</v>
      </c>
      <c r="P654" s="5">
        <v>868935324</v>
      </c>
      <c r="R654" s="2" t="s">
        <v>2653</v>
      </c>
      <c r="S654" s="2" t="s">
        <v>55</v>
      </c>
      <c r="T654" s="2" t="s">
        <v>56</v>
      </c>
      <c r="U654" s="2">
        <v>2010</v>
      </c>
      <c r="V654" s="6">
        <v>42930</v>
      </c>
      <c r="W654" s="3" t="s">
        <v>99</v>
      </c>
      <c r="X654" s="23">
        <v>0</v>
      </c>
    </row>
    <row r="655" spans="1:24" x14ac:dyDescent="0.2">
      <c r="A655" s="2">
        <v>1708048</v>
      </c>
      <c r="B655" s="6">
        <v>42966.652481481484</v>
      </c>
      <c r="E655" s="6">
        <v>42987</v>
      </c>
      <c r="F655" s="2" t="s">
        <v>26</v>
      </c>
      <c r="G655" s="2" t="s">
        <v>26</v>
      </c>
      <c r="H655" s="2" t="s">
        <v>26</v>
      </c>
      <c r="I655" s="2" t="s">
        <v>26</v>
      </c>
      <c r="J655" s="2" t="s">
        <v>26</v>
      </c>
      <c r="K655" s="2" t="s">
        <v>8</v>
      </c>
      <c r="L655" s="2" t="s">
        <v>981</v>
      </c>
      <c r="M655" s="2" t="s">
        <v>28</v>
      </c>
      <c r="N655" s="2" t="s">
        <v>1810</v>
      </c>
      <c r="O655" s="2" t="s">
        <v>68</v>
      </c>
      <c r="P655" s="5">
        <v>620496017</v>
      </c>
      <c r="R655" s="2" t="s">
        <v>1811</v>
      </c>
      <c r="S655" s="2" t="s">
        <v>49</v>
      </c>
      <c r="T655" s="2" t="s">
        <v>79</v>
      </c>
      <c r="U655" s="2">
        <v>2012</v>
      </c>
      <c r="V655" s="6">
        <v>43266</v>
      </c>
      <c r="W655" s="3" t="s">
        <v>155</v>
      </c>
    </row>
    <row r="656" spans="1:24" x14ac:dyDescent="0.2">
      <c r="A656" s="2">
        <v>1708049</v>
      </c>
      <c r="B656" s="6">
        <v>42968.603248148145</v>
      </c>
      <c r="C656" s="6">
        <v>43010.695574189813</v>
      </c>
      <c r="D656" s="6">
        <v>43015</v>
      </c>
      <c r="E656" s="6">
        <v>43015</v>
      </c>
      <c r="F656" s="2" t="s">
        <v>26</v>
      </c>
      <c r="G656" s="2" t="s">
        <v>26</v>
      </c>
      <c r="H656" s="2" t="s">
        <v>26</v>
      </c>
      <c r="I656" s="2" t="s">
        <v>26</v>
      </c>
      <c r="J656" s="2" t="s">
        <v>26</v>
      </c>
      <c r="K656" s="2" t="s">
        <v>8</v>
      </c>
      <c r="L656" s="2" t="s">
        <v>34</v>
      </c>
      <c r="M656" s="2" t="s">
        <v>45</v>
      </c>
      <c r="N656" s="2" t="s">
        <v>1812</v>
      </c>
      <c r="O656" s="2" t="s">
        <v>120</v>
      </c>
      <c r="P656" s="5">
        <v>810462905</v>
      </c>
      <c r="R656" s="2" t="s">
        <v>1813</v>
      </c>
      <c r="S656" s="2" t="s">
        <v>49</v>
      </c>
      <c r="T656" s="2" t="s">
        <v>79</v>
      </c>
      <c r="U656" s="2">
        <v>2013</v>
      </c>
      <c r="V656" s="6">
        <v>43184</v>
      </c>
      <c r="W656" s="3" t="s">
        <v>112</v>
      </c>
      <c r="X656" s="23">
        <v>2600</v>
      </c>
    </row>
    <row r="657" spans="1:24" x14ac:dyDescent="0.2">
      <c r="A657" s="2">
        <v>1708050</v>
      </c>
      <c r="B657" s="6">
        <v>42970.379239467591</v>
      </c>
      <c r="C657" s="6">
        <v>42970.381223263888</v>
      </c>
      <c r="D657" s="6">
        <v>42993</v>
      </c>
      <c r="F657" s="2">
        <v>22.618776736111613</v>
      </c>
      <c r="G657" s="2" t="s">
        <v>11</v>
      </c>
      <c r="H657" s="2" t="s">
        <v>93</v>
      </c>
      <c r="I657" s="2" t="s">
        <v>95</v>
      </c>
      <c r="J657" s="2" t="s">
        <v>95</v>
      </c>
      <c r="K657" s="2" t="s">
        <v>8</v>
      </c>
      <c r="L657" s="2" t="s">
        <v>73</v>
      </c>
      <c r="M657" s="2" t="s">
        <v>61</v>
      </c>
      <c r="N657" s="2" t="s">
        <v>1814</v>
      </c>
      <c r="O657" s="2" t="s">
        <v>208</v>
      </c>
      <c r="P657" s="5">
        <v>969199166</v>
      </c>
      <c r="Q657" s="5">
        <v>969191955</v>
      </c>
      <c r="R657" s="2" t="s">
        <v>1815</v>
      </c>
      <c r="S657" s="2" t="s">
        <v>55</v>
      </c>
      <c r="T657" s="2" t="s">
        <v>56</v>
      </c>
      <c r="U657" s="2">
        <v>2013</v>
      </c>
      <c r="V657" s="6">
        <v>43144</v>
      </c>
      <c r="W657" s="3" t="s">
        <v>57</v>
      </c>
      <c r="X657" s="23">
        <v>2800</v>
      </c>
    </row>
    <row r="658" spans="1:24" x14ac:dyDescent="0.2">
      <c r="A658" s="2">
        <v>1708051</v>
      </c>
      <c r="B658" s="6">
        <v>42970.385659490741</v>
      </c>
      <c r="C658" s="6">
        <v>43003.455120833336</v>
      </c>
      <c r="D658" s="6">
        <v>43013</v>
      </c>
      <c r="E658" s="6">
        <v>43008</v>
      </c>
      <c r="F658" s="2" t="s">
        <v>26</v>
      </c>
      <c r="G658" s="2" t="s">
        <v>26</v>
      </c>
      <c r="H658" s="2" t="s">
        <v>26</v>
      </c>
      <c r="I658" s="2" t="s">
        <v>26</v>
      </c>
      <c r="J658" s="2" t="s">
        <v>26</v>
      </c>
      <c r="K658" s="2" t="s">
        <v>8</v>
      </c>
      <c r="L658" s="2" t="s">
        <v>27</v>
      </c>
      <c r="M658" s="2" t="s">
        <v>28</v>
      </c>
      <c r="N658" s="2" t="s">
        <v>1816</v>
      </c>
      <c r="P658" s="5">
        <v>880894183</v>
      </c>
      <c r="R658" s="2" t="s">
        <v>1817</v>
      </c>
      <c r="S658" s="2" t="s">
        <v>31</v>
      </c>
      <c r="T658" s="2" t="s">
        <v>283</v>
      </c>
      <c r="U658" s="2">
        <v>2013</v>
      </c>
      <c r="V658" s="6" t="s">
        <v>72</v>
      </c>
      <c r="X658" s="23">
        <v>7616.76</v>
      </c>
    </row>
    <row r="659" spans="1:24" x14ac:dyDescent="0.2">
      <c r="A659" s="2">
        <v>1708052</v>
      </c>
      <c r="B659" s="6">
        <v>42970.440658564818</v>
      </c>
      <c r="C659" s="6">
        <v>42980.462270949072</v>
      </c>
      <c r="D659" s="6">
        <v>42980</v>
      </c>
      <c r="E659" s="6">
        <v>42980</v>
      </c>
      <c r="F659" s="2" t="s">
        <v>26</v>
      </c>
      <c r="G659" s="2" t="s">
        <v>26</v>
      </c>
      <c r="H659" s="2" t="s">
        <v>26</v>
      </c>
      <c r="I659" s="2" t="s">
        <v>26</v>
      </c>
      <c r="J659" s="2" t="s">
        <v>26</v>
      </c>
      <c r="K659" s="2" t="s">
        <v>8</v>
      </c>
      <c r="L659" s="2" t="s">
        <v>981</v>
      </c>
      <c r="M659" s="2" t="s">
        <v>81</v>
      </c>
      <c r="N659" s="2" t="s">
        <v>1818</v>
      </c>
      <c r="O659" s="2" t="s">
        <v>349</v>
      </c>
      <c r="P659" s="5">
        <v>866295285</v>
      </c>
      <c r="R659" s="2" t="s">
        <v>1819</v>
      </c>
      <c r="S659" s="2" t="s">
        <v>49</v>
      </c>
      <c r="T659" s="2" t="s">
        <v>50</v>
      </c>
      <c r="U659" s="2">
        <v>2012</v>
      </c>
      <c r="V659" s="6">
        <v>43127</v>
      </c>
      <c r="W659" s="3" t="s">
        <v>539</v>
      </c>
      <c r="X659" s="23">
        <v>4108</v>
      </c>
    </row>
    <row r="660" spans="1:24" x14ac:dyDescent="0.2">
      <c r="A660" s="2">
        <v>1708053</v>
      </c>
      <c r="B660" s="6">
        <v>42970.442189583337</v>
      </c>
      <c r="F660" s="2" t="s">
        <v>126</v>
      </c>
      <c r="G660" s="2" t="s">
        <v>126</v>
      </c>
      <c r="H660" s="2" t="s">
        <v>126</v>
      </c>
      <c r="I660" s="2" t="s">
        <v>126</v>
      </c>
      <c r="J660" s="2" t="s">
        <v>126</v>
      </c>
      <c r="K660" s="2" t="s">
        <v>8</v>
      </c>
      <c r="L660" s="2" t="s">
        <v>34</v>
      </c>
      <c r="M660" s="2" t="s">
        <v>61</v>
      </c>
      <c r="N660" s="2" t="s">
        <v>1820</v>
      </c>
      <c r="O660" s="2" t="s">
        <v>346</v>
      </c>
      <c r="P660" s="5">
        <v>971071064</v>
      </c>
      <c r="R660" s="2" t="s">
        <v>1821</v>
      </c>
      <c r="S660" s="2" t="s">
        <v>49</v>
      </c>
      <c r="T660" s="2" t="s">
        <v>111</v>
      </c>
      <c r="U660" s="2">
        <v>2011</v>
      </c>
      <c r="V660" s="6">
        <v>43223</v>
      </c>
      <c r="W660" s="3" t="s">
        <v>250</v>
      </c>
      <c r="X660" s="23">
        <v>0</v>
      </c>
    </row>
    <row r="661" spans="1:24" x14ac:dyDescent="0.2">
      <c r="A661" s="2">
        <v>1708054</v>
      </c>
      <c r="B661" s="6">
        <v>42970.555611226853</v>
      </c>
      <c r="C661" s="6">
        <v>42983.568611458337</v>
      </c>
      <c r="D661" s="6">
        <v>42993</v>
      </c>
      <c r="E661" s="6">
        <v>43000</v>
      </c>
      <c r="F661" s="2" t="s">
        <v>26</v>
      </c>
      <c r="G661" s="2" t="s">
        <v>26</v>
      </c>
      <c r="H661" s="2" t="s">
        <v>26</v>
      </c>
      <c r="I661" s="2" t="s">
        <v>26</v>
      </c>
      <c r="J661" s="2" t="s">
        <v>26</v>
      </c>
      <c r="K661" s="2" t="s">
        <v>8</v>
      </c>
      <c r="L661" s="2" t="s">
        <v>27</v>
      </c>
      <c r="M661" s="2" t="s">
        <v>28</v>
      </c>
      <c r="N661" s="2" t="s">
        <v>1822</v>
      </c>
      <c r="O661" s="2" t="s">
        <v>128</v>
      </c>
      <c r="P661" s="5">
        <v>859010499</v>
      </c>
      <c r="Q661" s="5">
        <v>615789529</v>
      </c>
      <c r="R661" s="2" t="s">
        <v>1823</v>
      </c>
      <c r="S661" s="2" t="s">
        <v>49</v>
      </c>
      <c r="T661" s="2" t="s">
        <v>79</v>
      </c>
      <c r="U661" s="2">
        <v>2005</v>
      </c>
      <c r="V661" s="6">
        <v>43056</v>
      </c>
      <c r="W661" s="3" t="s">
        <v>223</v>
      </c>
      <c r="X661" s="23">
        <v>14462.62</v>
      </c>
    </row>
    <row r="662" spans="1:24" x14ac:dyDescent="0.2">
      <c r="A662" s="2">
        <v>1708055</v>
      </c>
      <c r="B662" s="6">
        <v>42970.587769097219</v>
      </c>
      <c r="C662" s="6">
        <v>42970.591669097223</v>
      </c>
      <c r="D662" s="6">
        <v>0</v>
      </c>
      <c r="F662" s="2">
        <v>-42970.591669097223</v>
      </c>
      <c r="G662" s="2" t="s">
        <v>11</v>
      </c>
      <c r="H662" s="2" t="s">
        <v>975</v>
      </c>
      <c r="I662" s="2" t="s">
        <v>95</v>
      </c>
      <c r="J662" s="2" t="s">
        <v>95</v>
      </c>
      <c r="K662" s="2" t="s">
        <v>8</v>
      </c>
      <c r="L662" s="2" t="s">
        <v>170</v>
      </c>
      <c r="M662" s="2" t="s">
        <v>61</v>
      </c>
      <c r="N662" s="2" t="s">
        <v>1824</v>
      </c>
      <c r="O662" s="2" t="s">
        <v>234</v>
      </c>
      <c r="P662" s="5">
        <v>889135187</v>
      </c>
      <c r="R662" s="2" t="s">
        <v>1825</v>
      </c>
      <c r="S662" s="2" t="s">
        <v>55</v>
      </c>
      <c r="T662" s="2" t="s">
        <v>56</v>
      </c>
      <c r="U662" s="2">
        <v>2011</v>
      </c>
      <c r="V662" s="6" t="s">
        <v>72</v>
      </c>
      <c r="X662" s="23">
        <v>5000</v>
      </c>
    </row>
    <row r="663" spans="1:24" x14ac:dyDescent="0.2">
      <c r="A663" s="2">
        <v>1708056</v>
      </c>
      <c r="B663" s="6">
        <v>42970.590505671295</v>
      </c>
      <c r="F663" s="2" t="s">
        <v>126</v>
      </c>
      <c r="G663" s="2" t="s">
        <v>126</v>
      </c>
      <c r="H663" s="2" t="s">
        <v>126</v>
      </c>
      <c r="I663" s="2" t="s">
        <v>126</v>
      </c>
      <c r="J663" s="2" t="s">
        <v>126</v>
      </c>
      <c r="K663" s="2" t="s">
        <v>8</v>
      </c>
      <c r="L663" s="2" t="s">
        <v>170</v>
      </c>
      <c r="M663" s="2" t="s">
        <v>61</v>
      </c>
      <c r="N663" s="2" t="s">
        <v>1824</v>
      </c>
      <c r="O663" s="2" t="s">
        <v>234</v>
      </c>
      <c r="P663" s="5">
        <v>889135187</v>
      </c>
      <c r="R663" s="2" t="s">
        <v>1825</v>
      </c>
      <c r="S663" s="2" t="s">
        <v>55</v>
      </c>
      <c r="T663" s="2" t="s">
        <v>56</v>
      </c>
      <c r="U663" s="2">
        <v>2011</v>
      </c>
      <c r="V663" s="6" t="s">
        <v>72</v>
      </c>
      <c r="X663" s="23">
        <v>0</v>
      </c>
    </row>
    <row r="664" spans="1:24" x14ac:dyDescent="0.2">
      <c r="A664" s="2">
        <v>1708057</v>
      </c>
      <c r="B664" s="6">
        <v>42972.361673032407</v>
      </c>
      <c r="C664" s="6">
        <v>42972.363389004633</v>
      </c>
      <c r="D664" s="6">
        <v>0</v>
      </c>
      <c r="F664" s="2">
        <v>-42972.363389004633</v>
      </c>
      <c r="G664" s="2" t="s">
        <v>11</v>
      </c>
      <c r="H664" s="2" t="s">
        <v>365</v>
      </c>
      <c r="I664" s="2" t="s">
        <v>94</v>
      </c>
      <c r="J664" s="2" t="s">
        <v>95</v>
      </c>
      <c r="K664" s="2" t="s">
        <v>8</v>
      </c>
      <c r="L664" s="2" t="s">
        <v>170</v>
      </c>
      <c r="M664" s="2" t="s">
        <v>28</v>
      </c>
      <c r="N664" s="2" t="s">
        <v>1826</v>
      </c>
      <c r="P664" s="5">
        <v>986312435</v>
      </c>
      <c r="Q664" s="5">
        <v>638828514</v>
      </c>
      <c r="R664" s="2" t="s">
        <v>1827</v>
      </c>
      <c r="S664" s="2" t="s">
        <v>49</v>
      </c>
      <c r="T664" s="2" t="s">
        <v>130</v>
      </c>
      <c r="U664" s="2">
        <v>2006</v>
      </c>
      <c r="V664" s="6" t="s">
        <v>72</v>
      </c>
      <c r="X664" s="23">
        <v>27600</v>
      </c>
    </row>
    <row r="665" spans="1:24" x14ac:dyDescent="0.2">
      <c r="A665" s="2">
        <v>1708058</v>
      </c>
      <c r="B665" s="6">
        <v>42972.370605208336</v>
      </c>
      <c r="C665" s="6">
        <v>42996.545595833333</v>
      </c>
      <c r="D665" s="6">
        <v>43000</v>
      </c>
      <c r="E665" s="6">
        <v>43003</v>
      </c>
      <c r="F665" s="2" t="s">
        <v>26</v>
      </c>
      <c r="G665" s="2" t="s">
        <v>26</v>
      </c>
      <c r="H665" s="2" t="s">
        <v>26</v>
      </c>
      <c r="I665" s="2" t="s">
        <v>26</v>
      </c>
      <c r="J665" s="2" t="s">
        <v>26</v>
      </c>
      <c r="K665" s="2" t="s">
        <v>8</v>
      </c>
      <c r="L665" s="2" t="s">
        <v>34</v>
      </c>
      <c r="M665" s="2" t="s">
        <v>45</v>
      </c>
      <c r="N665" s="2" t="s">
        <v>1828</v>
      </c>
      <c r="O665" s="2" t="s">
        <v>120</v>
      </c>
      <c r="P665" s="5">
        <v>829952264</v>
      </c>
      <c r="Q665" s="5">
        <v>886662993</v>
      </c>
      <c r="R665" s="2" t="s">
        <v>1829</v>
      </c>
      <c r="S665" s="2" t="s">
        <v>37</v>
      </c>
      <c r="T665" s="2" t="s">
        <v>102</v>
      </c>
      <c r="U665" s="2">
        <v>2013</v>
      </c>
      <c r="V665" s="6">
        <v>43004</v>
      </c>
      <c r="W665" s="3" t="s">
        <v>556</v>
      </c>
      <c r="X665" s="23">
        <v>2699.75</v>
      </c>
    </row>
    <row r="666" spans="1:24" x14ac:dyDescent="0.2">
      <c r="A666" s="2">
        <v>1708059</v>
      </c>
      <c r="B666" s="6">
        <v>42972.382637152776</v>
      </c>
      <c r="C666" s="6">
        <v>42972.38460636574</v>
      </c>
      <c r="D666" s="6">
        <v>42996</v>
      </c>
      <c r="E666" s="6">
        <v>42996</v>
      </c>
      <c r="F666" s="2" t="s">
        <v>26</v>
      </c>
      <c r="G666" s="2" t="s">
        <v>26</v>
      </c>
      <c r="H666" s="2" t="s">
        <v>26</v>
      </c>
      <c r="I666" s="2" t="s">
        <v>26</v>
      </c>
      <c r="J666" s="2" t="s">
        <v>26</v>
      </c>
      <c r="K666" s="2" t="s">
        <v>8</v>
      </c>
      <c r="L666" s="2" t="s">
        <v>73</v>
      </c>
      <c r="M666" s="2" t="s">
        <v>45</v>
      </c>
      <c r="N666" s="2" t="s">
        <v>1830</v>
      </c>
      <c r="O666" s="2" t="s">
        <v>59</v>
      </c>
      <c r="P666" s="5">
        <v>816853407</v>
      </c>
      <c r="Q666" s="5">
        <v>819843243</v>
      </c>
      <c r="R666" s="2" t="s">
        <v>1831</v>
      </c>
      <c r="S666" s="2" t="s">
        <v>183</v>
      </c>
      <c r="T666" s="2" t="s">
        <v>373</v>
      </c>
      <c r="U666" s="2">
        <v>2015</v>
      </c>
      <c r="V666" s="6">
        <v>43094</v>
      </c>
      <c r="W666" s="3" t="s">
        <v>57</v>
      </c>
      <c r="X666" s="23">
        <v>0</v>
      </c>
    </row>
    <row r="667" spans="1:24" x14ac:dyDescent="0.2">
      <c r="A667" s="2">
        <v>1708060</v>
      </c>
      <c r="B667" s="6">
        <v>42972.592584953702</v>
      </c>
      <c r="C667" s="6">
        <v>43000.61909270833</v>
      </c>
      <c r="D667" s="6">
        <v>43007</v>
      </c>
      <c r="E667" s="6">
        <v>43015</v>
      </c>
      <c r="F667" s="2" t="s">
        <v>26</v>
      </c>
      <c r="G667" s="2" t="s">
        <v>26</v>
      </c>
      <c r="H667" s="2" t="s">
        <v>26</v>
      </c>
      <c r="I667" s="2" t="s">
        <v>26</v>
      </c>
      <c r="J667" s="2" t="s">
        <v>26</v>
      </c>
      <c r="K667" s="2" t="s">
        <v>8</v>
      </c>
      <c r="L667" s="2" t="s">
        <v>34</v>
      </c>
      <c r="M667" s="2" t="s">
        <v>66</v>
      </c>
      <c r="N667" s="2" t="s">
        <v>1832</v>
      </c>
      <c r="O667" s="2" t="s">
        <v>41</v>
      </c>
      <c r="P667" s="5">
        <v>811317711</v>
      </c>
      <c r="Q667" s="5">
        <v>942956159</v>
      </c>
      <c r="R667" s="2" t="s">
        <v>1833</v>
      </c>
      <c r="S667" s="2" t="s">
        <v>55</v>
      </c>
      <c r="T667" s="2" t="s">
        <v>76</v>
      </c>
      <c r="U667" s="2">
        <v>2010</v>
      </c>
      <c r="V667" s="6">
        <v>43207</v>
      </c>
      <c r="W667" s="3" t="s">
        <v>219</v>
      </c>
      <c r="X667" s="23">
        <v>8505</v>
      </c>
    </row>
    <row r="668" spans="1:24" x14ac:dyDescent="0.2">
      <c r="A668" s="2">
        <v>1708061</v>
      </c>
      <c r="B668" s="6">
        <v>42972.600687152779</v>
      </c>
      <c r="C668" s="6">
        <v>43024.566556944446</v>
      </c>
      <c r="D668" s="6">
        <v>43052</v>
      </c>
      <c r="F668" s="2">
        <v>27.433443055553653</v>
      </c>
      <c r="G668" s="2" t="s">
        <v>11</v>
      </c>
      <c r="H668" s="2" t="s">
        <v>122</v>
      </c>
      <c r="I668" s="2" t="s">
        <v>95</v>
      </c>
      <c r="J668" s="2" t="s">
        <v>95</v>
      </c>
      <c r="K668" s="2" t="s">
        <v>8</v>
      </c>
      <c r="L668" s="2" t="s">
        <v>27</v>
      </c>
      <c r="M668" s="2" t="s">
        <v>28</v>
      </c>
      <c r="N668" s="2" t="s">
        <v>1834</v>
      </c>
      <c r="O668" s="2" t="s">
        <v>41</v>
      </c>
      <c r="P668" s="5">
        <v>920719202</v>
      </c>
      <c r="R668" s="2" t="s">
        <v>1835</v>
      </c>
      <c r="S668" s="2" t="s">
        <v>55</v>
      </c>
      <c r="T668" s="2" t="s">
        <v>142</v>
      </c>
      <c r="U668" s="2">
        <v>2011</v>
      </c>
      <c r="V668" s="6">
        <v>43149</v>
      </c>
      <c r="W668" s="3" t="s">
        <v>342</v>
      </c>
      <c r="X668" s="23">
        <v>0</v>
      </c>
    </row>
    <row r="669" spans="1:24" x14ac:dyDescent="0.2">
      <c r="A669" s="2">
        <v>1708062</v>
      </c>
      <c r="B669" s="6">
        <v>42972.620497800926</v>
      </c>
      <c r="F669" s="2" t="s">
        <v>126</v>
      </c>
      <c r="G669" s="2" t="s">
        <v>126</v>
      </c>
      <c r="H669" s="2" t="s">
        <v>126</v>
      </c>
      <c r="I669" s="2" t="s">
        <v>126</v>
      </c>
      <c r="J669" s="2" t="s">
        <v>126</v>
      </c>
      <c r="K669" s="2" t="s">
        <v>8</v>
      </c>
      <c r="L669" s="2" t="s">
        <v>981</v>
      </c>
      <c r="M669" s="2" t="s">
        <v>295</v>
      </c>
      <c r="N669" s="2" t="s">
        <v>1836</v>
      </c>
      <c r="O669" s="2" t="s">
        <v>407</v>
      </c>
      <c r="P669" s="5">
        <v>614641747</v>
      </c>
      <c r="R669" s="2" t="s">
        <v>1837</v>
      </c>
      <c r="S669" s="2" t="s">
        <v>49</v>
      </c>
      <c r="T669" s="2" t="s">
        <v>79</v>
      </c>
      <c r="U669" s="2">
        <v>2012</v>
      </c>
      <c r="V669" s="6" t="s">
        <v>72</v>
      </c>
    </row>
    <row r="670" spans="1:24" x14ac:dyDescent="0.2">
      <c r="A670" s="2">
        <v>1708063</v>
      </c>
      <c r="B670" s="6">
        <v>42972.689231597222</v>
      </c>
      <c r="C670" s="6">
        <v>42972.690350810182</v>
      </c>
      <c r="D670" s="6">
        <v>42978</v>
      </c>
      <c r="E670" s="6">
        <v>42978</v>
      </c>
      <c r="F670" s="2" t="s">
        <v>26</v>
      </c>
      <c r="G670" s="2" t="s">
        <v>26</v>
      </c>
      <c r="H670" s="2" t="s">
        <v>26</v>
      </c>
      <c r="I670" s="2" t="s">
        <v>26</v>
      </c>
      <c r="J670" s="2" t="s">
        <v>26</v>
      </c>
      <c r="K670" s="2" t="s">
        <v>8</v>
      </c>
      <c r="L670" s="2" t="s">
        <v>34</v>
      </c>
      <c r="M670" s="2" t="s">
        <v>118</v>
      </c>
      <c r="N670" s="2" t="s">
        <v>1838</v>
      </c>
      <c r="O670" s="2" t="s">
        <v>128</v>
      </c>
      <c r="P670" s="5">
        <v>809679916</v>
      </c>
      <c r="Q670" s="5">
        <v>867189553</v>
      </c>
      <c r="R670" s="2" t="s">
        <v>1839</v>
      </c>
      <c r="S670" s="2" t="s">
        <v>133</v>
      </c>
      <c r="T670" s="2" t="s">
        <v>134</v>
      </c>
      <c r="U670" s="2">
        <v>2013</v>
      </c>
      <c r="V670" s="6" t="s">
        <v>72</v>
      </c>
      <c r="X670" s="23">
        <v>0</v>
      </c>
    </row>
    <row r="671" spans="1:24" x14ac:dyDescent="0.2">
      <c r="A671" s="2">
        <v>1708064</v>
      </c>
      <c r="B671" s="6">
        <v>42973.495586689816</v>
      </c>
      <c r="C671" s="6">
        <v>43012.690281134259</v>
      </c>
      <c r="D671" s="6">
        <v>43017</v>
      </c>
      <c r="E671" s="6">
        <v>43021</v>
      </c>
      <c r="F671" s="2" t="s">
        <v>26</v>
      </c>
      <c r="G671" s="2" t="s">
        <v>26</v>
      </c>
      <c r="H671" s="2" t="s">
        <v>26</v>
      </c>
      <c r="I671" s="2" t="s">
        <v>26</v>
      </c>
      <c r="J671" s="2" t="s">
        <v>26</v>
      </c>
      <c r="K671" s="2" t="s">
        <v>8</v>
      </c>
      <c r="L671" s="2" t="s">
        <v>981</v>
      </c>
      <c r="M671" s="2" t="s">
        <v>295</v>
      </c>
      <c r="N671" s="2" t="s">
        <v>1840</v>
      </c>
      <c r="O671" s="2" t="s">
        <v>41</v>
      </c>
      <c r="P671" s="5">
        <v>896915655</v>
      </c>
      <c r="R671" s="2" t="s">
        <v>1841</v>
      </c>
      <c r="S671" s="2" t="s">
        <v>55</v>
      </c>
      <c r="T671" s="2" t="s">
        <v>56</v>
      </c>
      <c r="U671" s="2">
        <v>2010</v>
      </c>
      <c r="V671" s="6">
        <v>43007</v>
      </c>
      <c r="W671" s="3" t="s">
        <v>39</v>
      </c>
      <c r="X671" s="23">
        <v>2225.6</v>
      </c>
    </row>
    <row r="672" spans="1:24" x14ac:dyDescent="0.2">
      <c r="A672" s="2">
        <v>1708065</v>
      </c>
      <c r="B672" s="6">
        <v>42973.497321296294</v>
      </c>
      <c r="C672" s="6">
        <v>42973.49808391204</v>
      </c>
      <c r="D672" s="6">
        <v>0</v>
      </c>
      <c r="F672" s="2">
        <v>-42973.49808391204</v>
      </c>
      <c r="G672" s="2" t="s">
        <v>11</v>
      </c>
      <c r="H672" s="2" t="s">
        <v>179</v>
      </c>
      <c r="I672" s="2" t="s">
        <v>94</v>
      </c>
      <c r="J672" s="2" t="s">
        <v>95</v>
      </c>
      <c r="K672" s="2" t="s">
        <v>8</v>
      </c>
      <c r="L672" s="2" t="s">
        <v>27</v>
      </c>
      <c r="M672" s="2" t="s">
        <v>45</v>
      </c>
      <c r="N672" s="2" t="s">
        <v>1842</v>
      </c>
      <c r="O672" s="2" t="s">
        <v>520</v>
      </c>
      <c r="P672" s="5">
        <v>818414220</v>
      </c>
      <c r="R672" s="2" t="s">
        <v>1843</v>
      </c>
      <c r="S672" s="2" t="s">
        <v>49</v>
      </c>
      <c r="T672" s="2" t="s">
        <v>883</v>
      </c>
      <c r="U672" s="2">
        <v>2011</v>
      </c>
      <c r="V672" s="6">
        <v>43077</v>
      </c>
      <c r="W672" s="3" t="s">
        <v>889</v>
      </c>
    </row>
    <row r="673" spans="1:24" x14ac:dyDescent="0.2">
      <c r="A673" s="2">
        <v>1708066</v>
      </c>
      <c r="B673" s="6">
        <v>42973.575186226852</v>
      </c>
      <c r="C673" s="6">
        <v>43010.704641435186</v>
      </c>
      <c r="D673" s="6">
        <v>43015</v>
      </c>
      <c r="E673" s="6">
        <v>42994</v>
      </c>
      <c r="F673" s="2" t="s">
        <v>26</v>
      </c>
      <c r="G673" s="2" t="s">
        <v>26</v>
      </c>
      <c r="H673" s="2" t="s">
        <v>26</v>
      </c>
      <c r="I673" s="2" t="s">
        <v>26</v>
      </c>
      <c r="J673" s="2" t="s">
        <v>26</v>
      </c>
      <c r="K673" s="2" t="s">
        <v>8</v>
      </c>
      <c r="L673" s="2" t="s">
        <v>34</v>
      </c>
      <c r="M673" s="2" t="s">
        <v>295</v>
      </c>
      <c r="N673" s="2" t="s">
        <v>1844</v>
      </c>
      <c r="O673" s="2" t="s">
        <v>208</v>
      </c>
      <c r="P673" s="5">
        <v>881051238</v>
      </c>
      <c r="Q673" s="5">
        <v>867750608</v>
      </c>
      <c r="R673" s="2" t="s">
        <v>1845</v>
      </c>
      <c r="S673" s="2" t="s">
        <v>70</v>
      </c>
      <c r="T673" s="2" t="s">
        <v>193</v>
      </c>
      <c r="U673" s="2">
        <v>2015</v>
      </c>
      <c r="V673" s="6">
        <v>42884</v>
      </c>
      <c r="W673" s="3" t="s">
        <v>117</v>
      </c>
      <c r="X673" s="23">
        <v>5735.2</v>
      </c>
    </row>
    <row r="674" spans="1:24" x14ac:dyDescent="0.2">
      <c r="A674" s="2">
        <v>1708067</v>
      </c>
      <c r="B674" s="6">
        <v>42973.585264351852</v>
      </c>
      <c r="C674" s="6">
        <v>42973.587570138887</v>
      </c>
      <c r="D674" s="6">
        <v>42978</v>
      </c>
      <c r="F674" s="2">
        <v>4.4124298611131962</v>
      </c>
      <c r="G674" s="2" t="s">
        <v>11</v>
      </c>
      <c r="H674" s="2" t="s">
        <v>93</v>
      </c>
      <c r="I674" s="2" t="s">
        <v>94</v>
      </c>
      <c r="J674" s="2" t="s">
        <v>95</v>
      </c>
      <c r="K674" s="2" t="s">
        <v>269</v>
      </c>
      <c r="L674" s="2" t="s">
        <v>34</v>
      </c>
      <c r="M674" s="2" t="s">
        <v>126</v>
      </c>
      <c r="P674" s="5">
        <v>993043714</v>
      </c>
      <c r="R674" s="2" t="s">
        <v>1846</v>
      </c>
      <c r="S674" s="2" t="s">
        <v>49</v>
      </c>
      <c r="T674" s="2" t="s">
        <v>79</v>
      </c>
      <c r="X674" s="23">
        <v>0</v>
      </c>
    </row>
    <row r="675" spans="1:24" x14ac:dyDescent="0.2">
      <c r="A675" s="2">
        <v>1708068</v>
      </c>
      <c r="B675" s="6">
        <v>42973.675222800928</v>
      </c>
      <c r="C675" s="6">
        <v>42973.680639930557</v>
      </c>
      <c r="D675" s="6">
        <v>42999</v>
      </c>
      <c r="E675" s="6">
        <v>43006</v>
      </c>
      <c r="F675" s="2" t="s">
        <v>26</v>
      </c>
      <c r="G675" s="2" t="s">
        <v>26</v>
      </c>
      <c r="H675" s="2" t="s">
        <v>26</v>
      </c>
      <c r="I675" s="2" t="s">
        <v>26</v>
      </c>
      <c r="J675" s="2" t="s">
        <v>26</v>
      </c>
      <c r="K675" s="2" t="s">
        <v>8</v>
      </c>
      <c r="L675" s="2" t="s">
        <v>73</v>
      </c>
      <c r="M675" s="2" t="s">
        <v>28</v>
      </c>
      <c r="N675" s="2" t="s">
        <v>1847</v>
      </c>
      <c r="O675" s="2" t="s">
        <v>407</v>
      </c>
      <c r="P675" s="5">
        <v>894542767</v>
      </c>
      <c r="R675" s="2" t="s">
        <v>1848</v>
      </c>
      <c r="S675" s="2" t="s">
        <v>49</v>
      </c>
      <c r="T675" s="2" t="s">
        <v>79</v>
      </c>
      <c r="U675" s="2">
        <v>2011</v>
      </c>
      <c r="V675" s="6" t="s">
        <v>72</v>
      </c>
      <c r="X675" s="23">
        <v>20958</v>
      </c>
    </row>
    <row r="676" spans="1:24" x14ac:dyDescent="0.2">
      <c r="A676" s="2">
        <v>1708069</v>
      </c>
      <c r="B676" s="6">
        <v>42973.726804398146</v>
      </c>
      <c r="C676" s="6">
        <v>42999.373998263887</v>
      </c>
      <c r="D676" s="6">
        <v>43004</v>
      </c>
      <c r="E676" s="6">
        <v>43005</v>
      </c>
      <c r="F676" s="2" t="s">
        <v>26</v>
      </c>
      <c r="G676" s="2" t="s">
        <v>26</v>
      </c>
      <c r="H676" s="2" t="s">
        <v>26</v>
      </c>
      <c r="I676" s="2" t="s">
        <v>26</v>
      </c>
      <c r="J676" s="2" t="s">
        <v>26</v>
      </c>
      <c r="K676" s="2" t="s">
        <v>8</v>
      </c>
      <c r="L676" s="2" t="s">
        <v>981</v>
      </c>
      <c r="M676" s="2" t="s">
        <v>88</v>
      </c>
      <c r="N676" s="2" t="s">
        <v>1849</v>
      </c>
      <c r="P676" s="5">
        <v>958855887</v>
      </c>
      <c r="R676" s="2" t="s">
        <v>1850</v>
      </c>
      <c r="S676" s="2" t="s">
        <v>55</v>
      </c>
      <c r="T676" s="2" t="s">
        <v>56</v>
      </c>
      <c r="U676" s="2">
        <v>2011</v>
      </c>
      <c r="V676" s="6">
        <v>43012</v>
      </c>
      <c r="W676" s="3" t="s">
        <v>219</v>
      </c>
      <c r="X676" s="23">
        <v>2800</v>
      </c>
    </row>
    <row r="677" spans="1:24" x14ac:dyDescent="0.2">
      <c r="A677" s="2">
        <v>1708070</v>
      </c>
      <c r="B677" s="6">
        <v>42976.552480555554</v>
      </c>
      <c r="C677" s="6">
        <v>43017.486611458335</v>
      </c>
      <c r="F677" s="2" t="s">
        <v>92</v>
      </c>
      <c r="G677" s="2" t="s">
        <v>11</v>
      </c>
      <c r="H677" s="2" t="s">
        <v>365</v>
      </c>
      <c r="I677" s="2" t="s">
        <v>94</v>
      </c>
      <c r="J677" s="2" t="s">
        <v>95</v>
      </c>
      <c r="K677" s="2" t="s">
        <v>8</v>
      </c>
      <c r="L677" s="2" t="s">
        <v>27</v>
      </c>
      <c r="M677" s="2" t="s">
        <v>338</v>
      </c>
      <c r="N677" s="2" t="s">
        <v>1851</v>
      </c>
      <c r="O677" s="2" t="s">
        <v>128</v>
      </c>
      <c r="P677" s="5">
        <v>624821247</v>
      </c>
      <c r="R677" s="2" t="s">
        <v>1852</v>
      </c>
      <c r="S677" s="2" t="s">
        <v>31</v>
      </c>
      <c r="T677" s="2" t="s">
        <v>116</v>
      </c>
      <c r="U677" s="2">
        <v>2008</v>
      </c>
      <c r="V677" s="6">
        <v>43145</v>
      </c>
      <c r="W677" s="3" t="s">
        <v>138</v>
      </c>
      <c r="X677" s="23">
        <v>2358.75</v>
      </c>
    </row>
    <row r="678" spans="1:24" x14ac:dyDescent="0.2">
      <c r="A678" s="2">
        <v>1708071</v>
      </c>
      <c r="B678" s="6">
        <v>42977.404825925929</v>
      </c>
      <c r="C678" s="6">
        <v>42996.544013425926</v>
      </c>
      <c r="D678" s="6">
        <v>42999</v>
      </c>
      <c r="E678" s="6">
        <v>43000</v>
      </c>
      <c r="F678" s="2" t="s">
        <v>26</v>
      </c>
      <c r="G678" s="2" t="s">
        <v>26</v>
      </c>
      <c r="H678" s="2" t="s">
        <v>26</v>
      </c>
      <c r="I678" s="2" t="s">
        <v>26</v>
      </c>
      <c r="J678" s="2" t="s">
        <v>26</v>
      </c>
      <c r="K678" s="2" t="s">
        <v>8</v>
      </c>
      <c r="L678" s="2" t="s">
        <v>34</v>
      </c>
      <c r="M678" s="2" t="s">
        <v>45</v>
      </c>
      <c r="N678" s="2" t="s">
        <v>1853</v>
      </c>
      <c r="O678" s="2" t="s">
        <v>47</v>
      </c>
      <c r="P678" s="5">
        <v>958897976</v>
      </c>
      <c r="R678" s="2" t="s">
        <v>1854</v>
      </c>
      <c r="S678" s="2" t="s">
        <v>55</v>
      </c>
      <c r="T678" s="2" t="s">
        <v>142</v>
      </c>
      <c r="U678" s="2">
        <v>2016</v>
      </c>
      <c r="V678" s="6">
        <v>43223</v>
      </c>
      <c r="W678" s="3" t="s">
        <v>135</v>
      </c>
      <c r="X678" s="23">
        <v>2200</v>
      </c>
    </row>
    <row r="679" spans="1:24" x14ac:dyDescent="0.2">
      <c r="A679" s="2">
        <v>1708072</v>
      </c>
      <c r="B679" s="6">
        <v>42977.407036574077</v>
      </c>
      <c r="C679" s="6">
        <v>42991.483986574072</v>
      </c>
      <c r="D679" s="6">
        <v>0</v>
      </c>
      <c r="E679" s="6">
        <v>43001</v>
      </c>
      <c r="F679" s="2" t="s">
        <v>26</v>
      </c>
      <c r="G679" s="2" t="s">
        <v>26</v>
      </c>
      <c r="H679" s="2" t="s">
        <v>26</v>
      </c>
      <c r="I679" s="2" t="s">
        <v>26</v>
      </c>
      <c r="J679" s="2" t="s">
        <v>26</v>
      </c>
      <c r="K679" s="2" t="s">
        <v>8</v>
      </c>
      <c r="L679" s="2" t="s">
        <v>27</v>
      </c>
      <c r="M679" s="2" t="s">
        <v>45</v>
      </c>
      <c r="N679" s="2" t="s">
        <v>1855</v>
      </c>
      <c r="P679" s="5">
        <v>847721043</v>
      </c>
      <c r="Q679" s="5">
        <v>910037730</v>
      </c>
      <c r="R679" s="2" t="s">
        <v>1856</v>
      </c>
      <c r="S679" s="2" t="s">
        <v>49</v>
      </c>
      <c r="T679" s="2" t="s">
        <v>130</v>
      </c>
      <c r="U679" s="2">
        <v>2011</v>
      </c>
      <c r="V679" s="6">
        <v>43160</v>
      </c>
      <c r="W679" s="3" t="s">
        <v>106</v>
      </c>
      <c r="X679" s="23">
        <v>0</v>
      </c>
    </row>
    <row r="680" spans="1:24" x14ac:dyDescent="0.2">
      <c r="A680" s="2">
        <v>1708073</v>
      </c>
      <c r="B680" s="6">
        <v>42977.712997569448</v>
      </c>
      <c r="C680" s="6">
        <v>42977.713731828706</v>
      </c>
      <c r="D680" s="6">
        <v>0</v>
      </c>
      <c r="F680" s="2">
        <v>-42977.713731828706</v>
      </c>
      <c r="G680" s="2" t="s">
        <v>11</v>
      </c>
      <c r="H680" s="2" t="s">
        <v>122</v>
      </c>
      <c r="I680" s="2" t="s">
        <v>94</v>
      </c>
      <c r="J680" s="2" t="s">
        <v>95</v>
      </c>
      <c r="K680" s="2" t="s">
        <v>8</v>
      </c>
      <c r="L680" s="2" t="s">
        <v>170</v>
      </c>
      <c r="M680" s="2" t="s">
        <v>61</v>
      </c>
      <c r="N680" s="2" t="s">
        <v>1857</v>
      </c>
      <c r="O680" s="2" t="s">
        <v>68</v>
      </c>
      <c r="P680" s="5" t="s">
        <v>1858</v>
      </c>
      <c r="R680" s="2" t="s">
        <v>1859</v>
      </c>
      <c r="S680" s="2" t="s">
        <v>49</v>
      </c>
      <c r="T680" s="2" t="s">
        <v>151</v>
      </c>
      <c r="U680" s="2">
        <v>2009</v>
      </c>
      <c r="V680" s="6">
        <v>43051</v>
      </c>
      <c r="W680" s="3" t="s">
        <v>900</v>
      </c>
      <c r="X680" s="23">
        <v>3107.47</v>
      </c>
    </row>
    <row r="681" spans="1:24" x14ac:dyDescent="0.2">
      <c r="A681" s="2">
        <v>1708074</v>
      </c>
      <c r="B681" s="6">
        <v>42978.61010740741</v>
      </c>
      <c r="F681" s="2" t="s">
        <v>126</v>
      </c>
      <c r="G681" s="2" t="s">
        <v>126</v>
      </c>
      <c r="H681" s="2" t="s">
        <v>126</v>
      </c>
      <c r="I681" s="2" t="s">
        <v>126</v>
      </c>
      <c r="J681" s="2" t="s">
        <v>126</v>
      </c>
      <c r="K681" s="2" t="s">
        <v>8</v>
      </c>
      <c r="L681" s="2" t="s">
        <v>981</v>
      </c>
      <c r="M681" s="2" t="s">
        <v>61</v>
      </c>
      <c r="N681" s="2" t="s">
        <v>1860</v>
      </c>
      <c r="O681" s="2" t="s">
        <v>120</v>
      </c>
      <c r="P681" s="5">
        <v>878232471</v>
      </c>
      <c r="R681" s="2" t="s">
        <v>1861</v>
      </c>
      <c r="S681" s="2" t="s">
        <v>37</v>
      </c>
      <c r="T681" s="2" t="s">
        <v>102</v>
      </c>
      <c r="U681" s="2">
        <v>2012</v>
      </c>
      <c r="V681" s="6">
        <v>43066</v>
      </c>
      <c r="W681" s="3" t="s">
        <v>266</v>
      </c>
      <c r="X681" s="23">
        <v>0</v>
      </c>
    </row>
    <row r="682" spans="1:24" x14ac:dyDescent="0.2">
      <c r="A682" s="2">
        <v>1708075</v>
      </c>
      <c r="B682" s="6">
        <v>42978.684706712964</v>
      </c>
      <c r="F682" s="2" t="s">
        <v>126</v>
      </c>
      <c r="G682" s="2" t="s">
        <v>126</v>
      </c>
      <c r="H682" s="2" t="s">
        <v>126</v>
      </c>
      <c r="I682" s="2" t="s">
        <v>126</v>
      </c>
      <c r="J682" s="2" t="s">
        <v>126</v>
      </c>
      <c r="K682" s="2" t="s">
        <v>8</v>
      </c>
      <c r="L682" s="2" t="s">
        <v>27</v>
      </c>
      <c r="M682" s="2" t="s">
        <v>28</v>
      </c>
      <c r="N682" s="2" t="s">
        <v>1862</v>
      </c>
      <c r="O682" s="2" t="s">
        <v>107</v>
      </c>
      <c r="P682" s="5">
        <v>896879023</v>
      </c>
      <c r="Q682" s="5">
        <v>852488622</v>
      </c>
      <c r="R682" s="2" t="s">
        <v>1863</v>
      </c>
      <c r="S682" s="2" t="s">
        <v>49</v>
      </c>
      <c r="T682" s="2" t="s">
        <v>79</v>
      </c>
      <c r="U682" s="2">
        <v>2012</v>
      </c>
      <c r="V682" s="6">
        <v>43323</v>
      </c>
      <c r="W682" s="3" t="s">
        <v>266</v>
      </c>
    </row>
    <row r="683" spans="1:24" x14ac:dyDescent="0.2">
      <c r="A683" s="2">
        <v>1709001</v>
      </c>
      <c r="B683" s="6">
        <v>42979.376712962963</v>
      </c>
      <c r="C683" s="6">
        <v>42979.385057870371</v>
      </c>
      <c r="D683" s="6">
        <v>42986</v>
      </c>
      <c r="E683" s="6">
        <v>42984</v>
      </c>
      <c r="F683" s="2" t="s">
        <v>26</v>
      </c>
      <c r="G683" s="2" t="s">
        <v>26</v>
      </c>
      <c r="H683" s="2" t="s">
        <v>26</v>
      </c>
      <c r="I683" s="2" t="s">
        <v>26</v>
      </c>
      <c r="J683" s="2" t="s">
        <v>26</v>
      </c>
      <c r="K683" s="2" t="s">
        <v>8</v>
      </c>
      <c r="L683" s="2" t="s">
        <v>34</v>
      </c>
      <c r="M683" s="2" t="s">
        <v>118</v>
      </c>
      <c r="N683" s="2" t="s">
        <v>1864</v>
      </c>
      <c r="O683" s="2" t="s">
        <v>68</v>
      </c>
      <c r="P683" s="5">
        <v>863036976</v>
      </c>
      <c r="R683" s="2" t="s">
        <v>1865</v>
      </c>
      <c r="S683" s="2" t="s">
        <v>70</v>
      </c>
      <c r="T683" s="2" t="s">
        <v>317</v>
      </c>
      <c r="U683" s="2">
        <v>2011</v>
      </c>
      <c r="V683" s="6">
        <v>43077</v>
      </c>
      <c r="W683" s="3" t="s">
        <v>342</v>
      </c>
      <c r="X683" s="23">
        <v>3247.66</v>
      </c>
    </row>
    <row r="684" spans="1:24" x14ac:dyDescent="0.2">
      <c r="A684" s="2">
        <v>1709002</v>
      </c>
      <c r="B684" s="6">
        <v>42979.596467708332</v>
      </c>
      <c r="C684" s="6">
        <v>43007.674084143517</v>
      </c>
      <c r="D684" s="6">
        <v>43020</v>
      </c>
      <c r="E684" s="6">
        <v>43024</v>
      </c>
      <c r="F684" s="2" t="s">
        <v>26</v>
      </c>
      <c r="G684" s="2" t="s">
        <v>26</v>
      </c>
      <c r="H684" s="2" t="s">
        <v>26</v>
      </c>
      <c r="I684" s="2" t="s">
        <v>26</v>
      </c>
      <c r="J684" s="2" t="s">
        <v>26</v>
      </c>
      <c r="K684" s="2" t="s">
        <v>8</v>
      </c>
      <c r="L684" s="2" t="s">
        <v>51</v>
      </c>
      <c r="M684" s="2" t="s">
        <v>28</v>
      </c>
      <c r="N684" s="2" t="s">
        <v>1866</v>
      </c>
      <c r="P684" s="5">
        <v>879771511</v>
      </c>
      <c r="R684" s="2" t="s">
        <v>1867</v>
      </c>
      <c r="S684" s="2" t="s">
        <v>49</v>
      </c>
      <c r="T684" s="2" t="s">
        <v>79</v>
      </c>
      <c r="U684" s="2">
        <v>2009</v>
      </c>
      <c r="V684" s="6">
        <v>43101</v>
      </c>
      <c r="W684" s="3" t="s">
        <v>775</v>
      </c>
      <c r="X684" s="23">
        <v>25853.78</v>
      </c>
    </row>
    <row r="685" spans="1:24" x14ac:dyDescent="0.2">
      <c r="A685" s="2">
        <v>1709003</v>
      </c>
      <c r="B685" s="6">
        <v>42980.623878009261</v>
      </c>
      <c r="C685" s="6">
        <v>43025.462977083334</v>
      </c>
      <c r="D685" s="6">
        <v>43033</v>
      </c>
      <c r="F685" s="2">
        <v>7.5370229166655918</v>
      </c>
      <c r="G685" s="2" t="s">
        <v>11</v>
      </c>
      <c r="H685" s="2" t="s">
        <v>95</v>
      </c>
      <c r="I685" s="2" t="s">
        <v>95</v>
      </c>
      <c r="J685" s="2" t="s">
        <v>95</v>
      </c>
      <c r="K685" s="2" t="s">
        <v>8</v>
      </c>
      <c r="L685" s="2" t="s">
        <v>27</v>
      </c>
      <c r="M685" s="2" t="s">
        <v>28</v>
      </c>
      <c r="N685" s="2" t="s">
        <v>1868</v>
      </c>
      <c r="P685" s="5">
        <v>861615665</v>
      </c>
      <c r="R685" s="2" t="s">
        <v>1869</v>
      </c>
      <c r="S685" s="2" t="s">
        <v>37</v>
      </c>
      <c r="T685" s="2" t="s">
        <v>1870</v>
      </c>
      <c r="X685" s="23">
        <v>9116.5</v>
      </c>
    </row>
    <row r="686" spans="1:24" x14ac:dyDescent="0.2">
      <c r="A686" s="2">
        <v>1709004</v>
      </c>
      <c r="B686" s="6">
        <v>42982.426865624999</v>
      </c>
      <c r="C686" s="6">
        <v>43014.651761805559</v>
      </c>
      <c r="F686" s="2" t="s">
        <v>92</v>
      </c>
      <c r="G686" s="2" t="s">
        <v>11</v>
      </c>
      <c r="H686" s="2" t="s">
        <v>173</v>
      </c>
      <c r="I686" s="2" t="s">
        <v>94</v>
      </c>
      <c r="J686" s="2" t="s">
        <v>95</v>
      </c>
      <c r="K686" s="2" t="s">
        <v>8</v>
      </c>
      <c r="L686" s="2" t="s">
        <v>27</v>
      </c>
      <c r="M686" s="2" t="s">
        <v>28</v>
      </c>
      <c r="N686" s="2" t="s">
        <v>1871</v>
      </c>
      <c r="O686" s="2" t="s">
        <v>53</v>
      </c>
      <c r="P686" s="5">
        <v>909735254</v>
      </c>
      <c r="R686" s="2" t="s">
        <v>1872</v>
      </c>
      <c r="S686" s="2" t="s">
        <v>49</v>
      </c>
      <c r="T686" s="2" t="s">
        <v>130</v>
      </c>
      <c r="U686" s="2">
        <v>2013</v>
      </c>
      <c r="V686" s="6">
        <v>43139</v>
      </c>
      <c r="W686" s="3" t="s">
        <v>974</v>
      </c>
      <c r="X686" s="23">
        <v>0</v>
      </c>
    </row>
    <row r="687" spans="1:24" x14ac:dyDescent="0.2">
      <c r="A687" s="2">
        <v>1709005</v>
      </c>
      <c r="B687" s="6">
        <v>42982.428731597225</v>
      </c>
      <c r="C687" s="6">
        <v>42982.432975462965</v>
      </c>
      <c r="D687" s="6">
        <v>42991</v>
      </c>
      <c r="E687" s="6">
        <v>42992</v>
      </c>
      <c r="F687" s="2" t="s">
        <v>26</v>
      </c>
      <c r="G687" s="2" t="s">
        <v>26</v>
      </c>
      <c r="H687" s="2" t="s">
        <v>26</v>
      </c>
      <c r="I687" s="2" t="s">
        <v>26</v>
      </c>
      <c r="J687" s="2" t="s">
        <v>26</v>
      </c>
      <c r="K687" s="2" t="s">
        <v>8</v>
      </c>
      <c r="L687" s="2" t="s">
        <v>27</v>
      </c>
      <c r="M687" s="2" t="s">
        <v>28</v>
      </c>
      <c r="N687" s="2" t="s">
        <v>1871</v>
      </c>
      <c r="O687" s="2" t="s">
        <v>53</v>
      </c>
      <c r="P687" s="5">
        <v>909735254</v>
      </c>
      <c r="R687" s="2" t="s">
        <v>1872</v>
      </c>
      <c r="S687" s="2" t="s">
        <v>49</v>
      </c>
      <c r="T687" s="2" t="s">
        <v>130</v>
      </c>
      <c r="U687" s="2">
        <v>2013</v>
      </c>
      <c r="V687" s="6">
        <v>43139</v>
      </c>
      <c r="W687" s="3" t="s">
        <v>974</v>
      </c>
      <c r="X687" s="23">
        <v>1000</v>
      </c>
    </row>
    <row r="688" spans="1:24" x14ac:dyDescent="0.2">
      <c r="A688" s="2">
        <v>1709006</v>
      </c>
      <c r="B688" s="6">
        <v>42982.435519907405</v>
      </c>
      <c r="C688" s="6">
        <v>42996.384342013887</v>
      </c>
      <c r="D688" s="6">
        <v>42998</v>
      </c>
      <c r="E688" s="6">
        <v>43001</v>
      </c>
      <c r="F688" s="2" t="s">
        <v>26</v>
      </c>
      <c r="G688" s="2" t="s">
        <v>26</v>
      </c>
      <c r="H688" s="2" t="s">
        <v>26</v>
      </c>
      <c r="I688" s="2" t="s">
        <v>26</v>
      </c>
      <c r="J688" s="2" t="s">
        <v>26</v>
      </c>
      <c r="K688" s="2" t="s">
        <v>8</v>
      </c>
      <c r="L688" s="2" t="s">
        <v>27</v>
      </c>
      <c r="M688" s="2" t="s">
        <v>61</v>
      </c>
      <c r="N688" s="2" t="s">
        <v>1873</v>
      </c>
      <c r="O688" s="2" t="s">
        <v>128</v>
      </c>
      <c r="P688" s="5">
        <v>996151885</v>
      </c>
      <c r="Q688" s="5">
        <v>850205572</v>
      </c>
      <c r="R688" s="2" t="s">
        <v>1874</v>
      </c>
      <c r="S688" s="2" t="s">
        <v>55</v>
      </c>
      <c r="T688" s="2" t="s">
        <v>76</v>
      </c>
      <c r="U688" s="2">
        <v>2008</v>
      </c>
      <c r="V688" s="6">
        <v>43294</v>
      </c>
      <c r="W688" s="3" t="s">
        <v>106</v>
      </c>
      <c r="X688" s="23">
        <v>0</v>
      </c>
    </row>
    <row r="689" spans="1:24" x14ac:dyDescent="0.2">
      <c r="A689" s="2">
        <v>1709007</v>
      </c>
      <c r="B689" s="6">
        <v>42982.552711805554</v>
      </c>
      <c r="F689" s="2" t="s">
        <v>126</v>
      </c>
      <c r="G689" s="2" t="s">
        <v>126</v>
      </c>
      <c r="H689" s="2" t="s">
        <v>126</v>
      </c>
      <c r="I689" s="2" t="s">
        <v>126</v>
      </c>
      <c r="J689" s="2" t="s">
        <v>126</v>
      </c>
      <c r="K689" s="2" t="s">
        <v>8</v>
      </c>
      <c r="L689" s="2" t="s">
        <v>27</v>
      </c>
      <c r="M689" s="2" t="s">
        <v>66</v>
      </c>
      <c r="N689" s="2" t="s">
        <v>1875</v>
      </c>
      <c r="O689" s="2" t="s">
        <v>41</v>
      </c>
      <c r="P689" s="5">
        <v>923649995</v>
      </c>
      <c r="R689" s="2" t="s">
        <v>1876</v>
      </c>
      <c r="S689" s="2" t="s">
        <v>49</v>
      </c>
      <c r="T689" s="2" t="s">
        <v>130</v>
      </c>
      <c r="U689" s="2">
        <v>2011</v>
      </c>
      <c r="V689" s="6">
        <v>43054</v>
      </c>
      <c r="W689" s="3" t="s">
        <v>39</v>
      </c>
    </row>
    <row r="690" spans="1:24" x14ac:dyDescent="0.2">
      <c r="A690" s="2">
        <v>1709008</v>
      </c>
      <c r="B690" s="6">
        <v>42982.554624305558</v>
      </c>
      <c r="F690" s="2" t="s">
        <v>126</v>
      </c>
      <c r="G690" s="2" t="s">
        <v>126</v>
      </c>
      <c r="H690" s="2" t="s">
        <v>126</v>
      </c>
      <c r="I690" s="2" t="s">
        <v>126</v>
      </c>
      <c r="J690" s="2" t="s">
        <v>126</v>
      </c>
      <c r="K690" s="2" t="s">
        <v>8</v>
      </c>
      <c r="L690" s="2" t="s">
        <v>981</v>
      </c>
      <c r="M690" s="2" t="s">
        <v>28</v>
      </c>
      <c r="N690" s="2" t="s">
        <v>1877</v>
      </c>
      <c r="O690" s="2" t="s">
        <v>1878</v>
      </c>
      <c r="P690" s="5">
        <v>645245444</v>
      </c>
      <c r="R690" s="2" t="s">
        <v>1879</v>
      </c>
      <c r="S690" s="2" t="s">
        <v>49</v>
      </c>
      <c r="T690" s="2" t="s">
        <v>1007</v>
      </c>
      <c r="U690" s="2">
        <v>2013</v>
      </c>
    </row>
    <row r="691" spans="1:24" x14ac:dyDescent="0.2">
      <c r="A691" s="2">
        <v>1709009</v>
      </c>
      <c r="B691" s="6">
        <v>42982.577575115742</v>
      </c>
      <c r="E691" s="6">
        <v>42989</v>
      </c>
      <c r="F691" s="2" t="s">
        <v>26</v>
      </c>
      <c r="G691" s="2" t="s">
        <v>26</v>
      </c>
      <c r="H691" s="2" t="s">
        <v>26</v>
      </c>
      <c r="I691" s="2" t="s">
        <v>26</v>
      </c>
      <c r="J691" s="2" t="s">
        <v>26</v>
      </c>
      <c r="K691" s="2" t="s">
        <v>8</v>
      </c>
      <c r="L691" s="2" t="s">
        <v>34</v>
      </c>
      <c r="M691" s="2" t="s">
        <v>378</v>
      </c>
      <c r="N691" s="2" t="s">
        <v>1747</v>
      </c>
      <c r="O691" s="2" t="s">
        <v>107</v>
      </c>
      <c r="P691" s="5">
        <v>876668224</v>
      </c>
      <c r="R691" s="2" t="s">
        <v>1748</v>
      </c>
      <c r="S691" s="2" t="s">
        <v>243</v>
      </c>
      <c r="T691" s="2" t="s">
        <v>1202</v>
      </c>
      <c r="U691" s="2">
        <v>2011</v>
      </c>
      <c r="X691" s="23">
        <v>0</v>
      </c>
    </row>
    <row r="692" spans="1:24" x14ac:dyDescent="0.2">
      <c r="A692" s="2">
        <v>1709010</v>
      </c>
      <c r="B692" s="6">
        <v>42983.46382164352</v>
      </c>
      <c r="F692" s="2" t="s">
        <v>126</v>
      </c>
      <c r="G692" s="2" t="s">
        <v>126</v>
      </c>
      <c r="H692" s="2" t="s">
        <v>126</v>
      </c>
      <c r="I692" s="2" t="s">
        <v>126</v>
      </c>
      <c r="J692" s="2" t="s">
        <v>126</v>
      </c>
      <c r="K692" s="2" t="s">
        <v>8</v>
      </c>
      <c r="L692" s="2" t="s">
        <v>34</v>
      </c>
      <c r="M692" s="2" t="s">
        <v>1880</v>
      </c>
      <c r="N692" s="2" t="s">
        <v>1881</v>
      </c>
      <c r="O692" s="2" t="s">
        <v>41</v>
      </c>
      <c r="P692" s="5">
        <v>852126873</v>
      </c>
      <c r="R692" s="2" t="s">
        <v>1882</v>
      </c>
      <c r="S692" s="2" t="s">
        <v>1883</v>
      </c>
      <c r="T692" s="2" t="s">
        <v>222</v>
      </c>
      <c r="U692" s="2">
        <v>2014</v>
      </c>
      <c r="V692" s="6">
        <v>42983</v>
      </c>
      <c r="W692" s="3" t="s">
        <v>840</v>
      </c>
    </row>
    <row r="693" spans="1:24" x14ac:dyDescent="0.2">
      <c r="A693" s="2">
        <v>1709011</v>
      </c>
      <c r="B693" s="6">
        <v>42983.573455787038</v>
      </c>
      <c r="F693" s="2" t="s">
        <v>126</v>
      </c>
      <c r="G693" s="2" t="s">
        <v>126</v>
      </c>
      <c r="H693" s="2" t="s">
        <v>126</v>
      </c>
      <c r="I693" s="2" t="s">
        <v>126</v>
      </c>
      <c r="J693" s="2" t="s">
        <v>126</v>
      </c>
      <c r="K693" s="2" t="s">
        <v>8</v>
      </c>
      <c r="L693" s="2" t="s">
        <v>34</v>
      </c>
      <c r="M693" s="2" t="s">
        <v>28</v>
      </c>
      <c r="N693" s="2" t="s">
        <v>1222</v>
      </c>
      <c r="P693" s="5">
        <v>875584791</v>
      </c>
      <c r="R693" s="2" t="s">
        <v>1224</v>
      </c>
      <c r="S693" s="2" t="s">
        <v>49</v>
      </c>
      <c r="T693" s="2" t="s">
        <v>50</v>
      </c>
      <c r="U693" s="2">
        <v>2006</v>
      </c>
    </row>
    <row r="694" spans="1:24" x14ac:dyDescent="0.2">
      <c r="A694" s="2">
        <v>1709012</v>
      </c>
      <c r="B694" s="6">
        <v>42983.578273726853</v>
      </c>
      <c r="C694" s="6">
        <v>43018.647959837966</v>
      </c>
      <c r="F694" s="2" t="s">
        <v>92</v>
      </c>
      <c r="G694" s="2" t="s">
        <v>11</v>
      </c>
      <c r="H694" s="2" t="s">
        <v>173</v>
      </c>
      <c r="I694" s="2" t="s">
        <v>94</v>
      </c>
      <c r="J694" s="2" t="s">
        <v>95</v>
      </c>
      <c r="K694" s="2" t="s">
        <v>269</v>
      </c>
      <c r="L694" s="2" t="s">
        <v>981</v>
      </c>
      <c r="M694" s="2" t="s">
        <v>66</v>
      </c>
      <c r="N694" s="2" t="s">
        <v>1884</v>
      </c>
      <c r="O694" s="2" t="s">
        <v>208</v>
      </c>
      <c r="P694" s="5">
        <v>873488203</v>
      </c>
      <c r="R694" s="2" t="s">
        <v>1885</v>
      </c>
      <c r="S694" s="2" t="s">
        <v>1886</v>
      </c>
      <c r="T694" s="2" t="s">
        <v>1887</v>
      </c>
      <c r="U694" s="2">
        <v>2004</v>
      </c>
      <c r="V694" s="6">
        <v>22557</v>
      </c>
      <c r="W694" s="3" t="s">
        <v>215</v>
      </c>
      <c r="X694" s="23">
        <v>4800</v>
      </c>
    </row>
    <row r="695" spans="1:24" x14ac:dyDescent="0.2">
      <c r="A695" s="2">
        <v>1709013</v>
      </c>
      <c r="B695" s="6">
        <v>42983.674975462964</v>
      </c>
      <c r="F695" s="2" t="s">
        <v>126</v>
      </c>
      <c r="G695" s="2" t="s">
        <v>126</v>
      </c>
      <c r="H695" s="2" t="s">
        <v>126</v>
      </c>
      <c r="I695" s="2" t="s">
        <v>126</v>
      </c>
      <c r="J695" s="2" t="s">
        <v>126</v>
      </c>
      <c r="K695" s="2" t="s">
        <v>8</v>
      </c>
      <c r="L695" s="2" t="s">
        <v>981</v>
      </c>
      <c r="M695" s="2" t="s">
        <v>81</v>
      </c>
      <c r="N695" s="2" t="s">
        <v>1889</v>
      </c>
      <c r="O695" s="2" t="s">
        <v>47</v>
      </c>
      <c r="P695" s="5">
        <v>942034772</v>
      </c>
      <c r="R695" s="2" t="s">
        <v>1768</v>
      </c>
      <c r="S695" s="2" t="s">
        <v>70</v>
      </c>
      <c r="T695" s="2" t="s">
        <v>411</v>
      </c>
      <c r="U695" s="2">
        <v>1996</v>
      </c>
      <c r="V695" s="6">
        <v>43100</v>
      </c>
      <c r="W695" s="3">
        <v>0</v>
      </c>
    </row>
    <row r="696" spans="1:24" x14ac:dyDescent="0.2">
      <c r="A696" s="2">
        <v>1709014</v>
      </c>
      <c r="B696" s="6">
        <v>42983.690044097224</v>
      </c>
      <c r="F696" s="2" t="s">
        <v>126</v>
      </c>
      <c r="G696" s="2" t="s">
        <v>126</v>
      </c>
      <c r="H696" s="2" t="s">
        <v>126</v>
      </c>
      <c r="I696" s="2" t="s">
        <v>126</v>
      </c>
      <c r="J696" s="2" t="s">
        <v>126</v>
      </c>
      <c r="K696" s="2" t="s">
        <v>8</v>
      </c>
      <c r="L696" s="2" t="s">
        <v>981</v>
      </c>
      <c r="M696" s="2" t="s">
        <v>28</v>
      </c>
      <c r="N696" s="2" t="s">
        <v>1890</v>
      </c>
      <c r="P696" s="5">
        <v>854224404</v>
      </c>
      <c r="R696" s="2" t="s">
        <v>1891</v>
      </c>
      <c r="S696" s="2" t="s">
        <v>31</v>
      </c>
      <c r="T696" s="2" t="s">
        <v>283</v>
      </c>
      <c r="U696" s="2">
        <v>2012</v>
      </c>
    </row>
    <row r="697" spans="1:24" x14ac:dyDescent="0.2">
      <c r="A697" s="2">
        <v>1709015</v>
      </c>
      <c r="B697" s="6">
        <v>42984.561470949076</v>
      </c>
      <c r="C697" s="6">
        <v>42997.449760995369</v>
      </c>
      <c r="D697" s="6">
        <v>43015</v>
      </c>
      <c r="E697" s="6">
        <v>43017</v>
      </c>
      <c r="F697" s="2" t="s">
        <v>26</v>
      </c>
      <c r="G697" s="2" t="s">
        <v>26</v>
      </c>
      <c r="H697" s="2" t="s">
        <v>26</v>
      </c>
      <c r="I697" s="2" t="s">
        <v>26</v>
      </c>
      <c r="J697" s="2" t="s">
        <v>26</v>
      </c>
      <c r="K697" s="2" t="s">
        <v>8</v>
      </c>
      <c r="L697" s="2" t="s">
        <v>73</v>
      </c>
      <c r="M697" s="2" t="s">
        <v>45</v>
      </c>
      <c r="N697" s="2" t="s">
        <v>1902</v>
      </c>
      <c r="O697" s="2" t="s">
        <v>41</v>
      </c>
      <c r="P697" s="5">
        <v>863218629</v>
      </c>
      <c r="R697" s="2" t="s">
        <v>1903</v>
      </c>
      <c r="S697" s="2" t="s">
        <v>70</v>
      </c>
      <c r="T697" s="2" t="s">
        <v>988</v>
      </c>
      <c r="U697" s="2">
        <v>2005</v>
      </c>
      <c r="X697" s="23">
        <v>0</v>
      </c>
    </row>
    <row r="698" spans="1:24" x14ac:dyDescent="0.2">
      <c r="A698" s="2">
        <v>1709016</v>
      </c>
      <c r="B698" s="6">
        <v>42984.564505439812</v>
      </c>
      <c r="C698" s="6">
        <v>43005.702071643522</v>
      </c>
      <c r="D698" s="6">
        <v>43005</v>
      </c>
      <c r="E698" s="6">
        <v>43005</v>
      </c>
      <c r="F698" s="2" t="s">
        <v>26</v>
      </c>
      <c r="G698" s="2" t="s">
        <v>26</v>
      </c>
      <c r="H698" s="2" t="s">
        <v>26</v>
      </c>
      <c r="I698" s="2" t="s">
        <v>26</v>
      </c>
      <c r="J698" s="2" t="s">
        <v>26</v>
      </c>
      <c r="K698" s="2" t="s">
        <v>8</v>
      </c>
      <c r="L698" s="2" t="s">
        <v>981</v>
      </c>
      <c r="M698" s="2" t="s">
        <v>28</v>
      </c>
      <c r="N698" s="2" t="s">
        <v>1904</v>
      </c>
      <c r="O698" s="2" t="s">
        <v>128</v>
      </c>
      <c r="P698" s="5">
        <v>816592509</v>
      </c>
      <c r="R698" s="2" t="s">
        <v>1905</v>
      </c>
      <c r="S698" s="2" t="s">
        <v>49</v>
      </c>
      <c r="T698" s="2" t="s">
        <v>79</v>
      </c>
      <c r="U698" s="2">
        <v>2012</v>
      </c>
      <c r="V698" s="6">
        <v>42979</v>
      </c>
      <c r="W698" s="3" t="s">
        <v>57</v>
      </c>
      <c r="X698" s="23">
        <v>100</v>
      </c>
    </row>
    <row r="699" spans="1:24" x14ac:dyDescent="0.2">
      <c r="A699" s="2">
        <v>1709017</v>
      </c>
      <c r="B699" s="6">
        <v>42984.638966782404</v>
      </c>
      <c r="F699" s="2" t="s">
        <v>126</v>
      </c>
      <c r="G699" s="2" t="s">
        <v>126</v>
      </c>
      <c r="H699" s="2" t="s">
        <v>126</v>
      </c>
      <c r="I699" s="2" t="s">
        <v>126</v>
      </c>
      <c r="J699" s="2" t="s">
        <v>126</v>
      </c>
      <c r="K699" s="2" t="s">
        <v>8</v>
      </c>
      <c r="L699" s="2" t="s">
        <v>34</v>
      </c>
      <c r="M699" s="2" t="s">
        <v>66</v>
      </c>
      <c r="N699" s="2" t="s">
        <v>1906</v>
      </c>
      <c r="O699" s="2" t="s">
        <v>217</v>
      </c>
      <c r="P699" s="5">
        <v>915454551</v>
      </c>
      <c r="Q699" s="5">
        <v>819872369</v>
      </c>
      <c r="R699" s="2" t="s">
        <v>1907</v>
      </c>
      <c r="S699" s="2" t="s">
        <v>49</v>
      </c>
      <c r="T699" s="2" t="s">
        <v>111</v>
      </c>
      <c r="U699" s="2">
        <v>2008</v>
      </c>
      <c r="V699" s="6">
        <v>42842</v>
      </c>
      <c r="W699" s="3" t="s">
        <v>250</v>
      </c>
    </row>
    <row r="700" spans="1:24" x14ac:dyDescent="0.2">
      <c r="A700" s="2">
        <v>1709018</v>
      </c>
      <c r="B700" s="6">
        <v>42985.369225462964</v>
      </c>
      <c r="F700" s="2" t="s">
        <v>126</v>
      </c>
      <c r="G700" s="2" t="s">
        <v>126</v>
      </c>
      <c r="H700" s="2" t="s">
        <v>126</v>
      </c>
      <c r="I700" s="2" t="s">
        <v>126</v>
      </c>
      <c r="J700" s="2" t="s">
        <v>126</v>
      </c>
      <c r="K700" s="2" t="s">
        <v>8</v>
      </c>
      <c r="L700" s="2" t="s">
        <v>27</v>
      </c>
      <c r="M700" s="2" t="s">
        <v>28</v>
      </c>
      <c r="N700" s="2" t="s">
        <v>1908</v>
      </c>
      <c r="O700" s="2" t="s">
        <v>120</v>
      </c>
      <c r="P700" s="5">
        <v>858134347</v>
      </c>
      <c r="R700" s="2" t="s">
        <v>1909</v>
      </c>
      <c r="S700" s="2" t="s">
        <v>49</v>
      </c>
      <c r="T700" s="2" t="s">
        <v>151</v>
      </c>
      <c r="U700" s="2">
        <v>2005</v>
      </c>
      <c r="V700" s="6">
        <v>43032</v>
      </c>
      <c r="W700" s="3" t="s">
        <v>1910</v>
      </c>
    </row>
    <row r="701" spans="1:24" x14ac:dyDescent="0.2">
      <c r="A701" s="2">
        <v>1709019</v>
      </c>
      <c r="B701" s="6">
        <v>42985.406750115741</v>
      </c>
      <c r="F701" s="2" t="s">
        <v>126</v>
      </c>
      <c r="G701" s="2" t="s">
        <v>126</v>
      </c>
      <c r="H701" s="2" t="s">
        <v>126</v>
      </c>
      <c r="I701" s="2" t="s">
        <v>126</v>
      </c>
      <c r="J701" s="2" t="s">
        <v>126</v>
      </c>
      <c r="K701" s="2" t="s">
        <v>8</v>
      </c>
      <c r="L701" s="2" t="s">
        <v>981</v>
      </c>
      <c r="M701" s="2" t="s">
        <v>61</v>
      </c>
      <c r="N701" s="2" t="s">
        <v>1958</v>
      </c>
      <c r="O701" s="2" t="s">
        <v>68</v>
      </c>
      <c r="P701" s="5">
        <v>982868529</v>
      </c>
      <c r="R701" s="2" t="s">
        <v>1959</v>
      </c>
      <c r="S701" s="2" t="s">
        <v>49</v>
      </c>
      <c r="T701" s="2" t="s">
        <v>79</v>
      </c>
      <c r="U701" s="2">
        <v>2013</v>
      </c>
    </row>
    <row r="702" spans="1:24" x14ac:dyDescent="0.2">
      <c r="A702" s="2">
        <v>1709020</v>
      </c>
      <c r="B702" s="6">
        <v>42985.408752546296</v>
      </c>
      <c r="F702" s="2" t="s">
        <v>126</v>
      </c>
      <c r="G702" s="2" t="s">
        <v>126</v>
      </c>
      <c r="H702" s="2" t="s">
        <v>126</v>
      </c>
      <c r="I702" s="2" t="s">
        <v>126</v>
      </c>
      <c r="J702" s="2" t="s">
        <v>126</v>
      </c>
      <c r="K702" s="2" t="s">
        <v>8</v>
      </c>
      <c r="L702" s="2" t="s">
        <v>981</v>
      </c>
      <c r="M702" s="2" t="s">
        <v>61</v>
      </c>
      <c r="N702" s="2" t="s">
        <v>1960</v>
      </c>
      <c r="O702" s="2" t="s">
        <v>186</v>
      </c>
      <c r="P702" s="5">
        <v>814388878</v>
      </c>
      <c r="R702" s="2" t="s">
        <v>1961</v>
      </c>
      <c r="S702" s="2" t="s">
        <v>55</v>
      </c>
      <c r="T702" s="2" t="s">
        <v>76</v>
      </c>
      <c r="U702" s="2">
        <v>2008</v>
      </c>
      <c r="V702" s="6">
        <v>42928</v>
      </c>
      <c r="W702" s="3" t="s">
        <v>117</v>
      </c>
    </row>
    <row r="703" spans="1:24" x14ac:dyDescent="0.2">
      <c r="A703" s="2">
        <v>1709021</v>
      </c>
      <c r="B703" s="6">
        <v>42985.411046527777</v>
      </c>
      <c r="F703" s="2" t="s">
        <v>126</v>
      </c>
      <c r="G703" s="2" t="s">
        <v>126</v>
      </c>
      <c r="H703" s="2" t="s">
        <v>126</v>
      </c>
      <c r="I703" s="2" t="s">
        <v>126</v>
      </c>
      <c r="J703" s="2" t="s">
        <v>126</v>
      </c>
      <c r="K703" s="2" t="s">
        <v>8</v>
      </c>
      <c r="L703" s="2" t="s">
        <v>981</v>
      </c>
      <c r="M703" s="2" t="s">
        <v>61</v>
      </c>
      <c r="N703" s="2" t="s">
        <v>1960</v>
      </c>
      <c r="O703" s="2" t="s">
        <v>186</v>
      </c>
      <c r="P703" s="5">
        <v>814388878</v>
      </c>
      <c r="R703" s="2" t="s">
        <v>1962</v>
      </c>
      <c r="S703" s="2" t="s">
        <v>55</v>
      </c>
      <c r="T703" s="2" t="s">
        <v>76</v>
      </c>
      <c r="U703" s="2">
        <v>2008</v>
      </c>
    </row>
    <row r="704" spans="1:24" x14ac:dyDescent="0.2">
      <c r="A704" s="2">
        <v>1709022</v>
      </c>
      <c r="B704" s="6">
        <v>42985.413315393518</v>
      </c>
      <c r="C704" s="6">
        <v>42985.41807511574</v>
      </c>
      <c r="D704" s="6">
        <v>42992</v>
      </c>
      <c r="F704" s="2">
        <v>6.5819248842599336</v>
      </c>
      <c r="G704" s="2" t="s">
        <v>11</v>
      </c>
      <c r="H704" s="2" t="s">
        <v>93</v>
      </c>
      <c r="I704" s="2" t="s">
        <v>94</v>
      </c>
      <c r="J704" s="2" t="s">
        <v>95</v>
      </c>
      <c r="K704" s="2" t="s">
        <v>8</v>
      </c>
      <c r="L704" s="2" t="s">
        <v>34</v>
      </c>
      <c r="M704" s="2" t="s">
        <v>28</v>
      </c>
      <c r="N704" s="2" t="s">
        <v>1963</v>
      </c>
      <c r="P704" s="5">
        <v>631726970</v>
      </c>
      <c r="R704" s="2" t="s">
        <v>1964</v>
      </c>
      <c r="S704" s="2" t="s">
        <v>49</v>
      </c>
      <c r="T704" s="2" t="s">
        <v>79</v>
      </c>
      <c r="U704" s="2">
        <v>2009</v>
      </c>
      <c r="X704" s="23">
        <v>6045</v>
      </c>
    </row>
    <row r="705" spans="1:24" x14ac:dyDescent="0.2">
      <c r="A705" s="2">
        <v>1709023</v>
      </c>
      <c r="B705" s="6">
        <v>42985.462033912037</v>
      </c>
      <c r="F705" s="2" t="s">
        <v>126</v>
      </c>
      <c r="G705" s="2" t="s">
        <v>126</v>
      </c>
      <c r="H705" s="2" t="s">
        <v>126</v>
      </c>
      <c r="I705" s="2" t="s">
        <v>126</v>
      </c>
      <c r="J705" s="2" t="s">
        <v>126</v>
      </c>
      <c r="K705" s="2" t="s">
        <v>8</v>
      </c>
      <c r="L705" s="2" t="s">
        <v>34</v>
      </c>
      <c r="M705" s="2" t="s">
        <v>28</v>
      </c>
      <c r="N705" s="2" t="s">
        <v>2015</v>
      </c>
      <c r="O705" s="2" t="s">
        <v>128</v>
      </c>
      <c r="P705" s="5">
        <v>969217447</v>
      </c>
      <c r="R705" s="2" t="s">
        <v>2016</v>
      </c>
      <c r="S705" s="2" t="s">
        <v>64</v>
      </c>
      <c r="T705" s="2">
        <v>2</v>
      </c>
      <c r="U705" s="2">
        <v>2011</v>
      </c>
      <c r="V705" s="6">
        <v>42917</v>
      </c>
      <c r="W705" s="3" t="s">
        <v>864</v>
      </c>
    </row>
    <row r="706" spans="1:24" x14ac:dyDescent="0.2">
      <c r="A706" s="2">
        <v>1709024</v>
      </c>
      <c r="B706" s="6">
        <v>42985.485281828704</v>
      </c>
      <c r="E706" s="6">
        <v>43001</v>
      </c>
      <c r="F706" s="2" t="s">
        <v>26</v>
      </c>
      <c r="G706" s="2" t="s">
        <v>26</v>
      </c>
      <c r="H706" s="2" t="s">
        <v>26</v>
      </c>
      <c r="I706" s="2" t="s">
        <v>26</v>
      </c>
      <c r="J706" s="2" t="s">
        <v>26</v>
      </c>
      <c r="K706" s="2" t="s">
        <v>8</v>
      </c>
      <c r="L706" s="2" t="s">
        <v>981</v>
      </c>
      <c r="M706" s="2" t="s">
        <v>28</v>
      </c>
      <c r="N706" s="2" t="s">
        <v>2017</v>
      </c>
      <c r="P706" s="5">
        <v>823045782</v>
      </c>
      <c r="R706" s="2" t="s">
        <v>2018</v>
      </c>
      <c r="S706" s="2" t="s">
        <v>31</v>
      </c>
      <c r="T706" s="2" t="s">
        <v>116</v>
      </c>
      <c r="U706" s="2">
        <v>2016</v>
      </c>
      <c r="V706" s="6">
        <v>43217</v>
      </c>
      <c r="W706" s="3" t="s">
        <v>33</v>
      </c>
    </row>
    <row r="707" spans="1:24" x14ac:dyDescent="0.2">
      <c r="A707" s="2">
        <v>1709025</v>
      </c>
      <c r="B707" s="6">
        <v>42985.698470254632</v>
      </c>
      <c r="C707" s="6">
        <v>43003.725593055555</v>
      </c>
      <c r="D707" s="6">
        <v>42983</v>
      </c>
      <c r="E707" s="6">
        <v>43025</v>
      </c>
      <c r="F707" s="2" t="s">
        <v>26</v>
      </c>
      <c r="G707" s="2" t="s">
        <v>26</v>
      </c>
      <c r="H707" s="2" t="s">
        <v>26</v>
      </c>
      <c r="I707" s="2" t="s">
        <v>26</v>
      </c>
      <c r="J707" s="2" t="s">
        <v>26</v>
      </c>
      <c r="K707" s="2" t="s">
        <v>8</v>
      </c>
      <c r="L707" s="2" t="s">
        <v>27</v>
      </c>
      <c r="M707" s="2" t="s">
        <v>28</v>
      </c>
      <c r="N707" s="2" t="s">
        <v>2068</v>
      </c>
      <c r="O707" s="2" t="s">
        <v>208</v>
      </c>
      <c r="P707" s="5">
        <v>954800106</v>
      </c>
      <c r="R707" s="2" t="s">
        <v>2069</v>
      </c>
      <c r="S707" s="2" t="s">
        <v>55</v>
      </c>
      <c r="T707" s="2" t="s">
        <v>76</v>
      </c>
      <c r="U707" s="2">
        <v>2010</v>
      </c>
      <c r="V707" s="6">
        <v>43122</v>
      </c>
      <c r="W707" s="3" t="s">
        <v>457</v>
      </c>
      <c r="X707" s="23">
        <v>0</v>
      </c>
    </row>
    <row r="708" spans="1:24" x14ac:dyDescent="0.2">
      <c r="A708" s="2">
        <v>1709026</v>
      </c>
      <c r="B708" s="6">
        <v>42985.704575578704</v>
      </c>
      <c r="C708" s="6">
        <v>43000.360913657409</v>
      </c>
      <c r="D708" s="6">
        <v>43008</v>
      </c>
      <c r="E708" s="6">
        <v>43005</v>
      </c>
      <c r="F708" s="2" t="s">
        <v>26</v>
      </c>
      <c r="G708" s="2" t="s">
        <v>26</v>
      </c>
      <c r="H708" s="2" t="s">
        <v>26</v>
      </c>
      <c r="I708" s="2" t="s">
        <v>26</v>
      </c>
      <c r="J708" s="2" t="s">
        <v>26</v>
      </c>
      <c r="K708" s="2" t="s">
        <v>8</v>
      </c>
      <c r="L708" s="2" t="s">
        <v>27</v>
      </c>
      <c r="M708" s="2" t="s">
        <v>61</v>
      </c>
      <c r="N708" s="2" t="s">
        <v>2070</v>
      </c>
      <c r="O708" s="2" t="s">
        <v>128</v>
      </c>
      <c r="P708" s="5">
        <v>959423670</v>
      </c>
      <c r="R708" s="2" t="s">
        <v>783</v>
      </c>
      <c r="S708" s="2" t="s">
        <v>49</v>
      </c>
      <c r="T708" s="2" t="s">
        <v>130</v>
      </c>
      <c r="U708" s="2">
        <v>2010</v>
      </c>
      <c r="V708" s="6">
        <v>43394</v>
      </c>
      <c r="W708" s="3" t="s">
        <v>581</v>
      </c>
      <c r="X708" s="23">
        <v>13570</v>
      </c>
    </row>
    <row r="709" spans="1:24" x14ac:dyDescent="0.2">
      <c r="A709" s="2">
        <v>1709027</v>
      </c>
      <c r="B709" s="6">
        <v>42986.40125949074</v>
      </c>
      <c r="F709" s="2" t="s">
        <v>126</v>
      </c>
      <c r="G709" s="2" t="s">
        <v>126</v>
      </c>
      <c r="H709" s="2" t="s">
        <v>126</v>
      </c>
      <c r="I709" s="2" t="s">
        <v>126</v>
      </c>
      <c r="J709" s="2" t="s">
        <v>126</v>
      </c>
      <c r="K709" s="2" t="s">
        <v>8</v>
      </c>
      <c r="L709" s="2" t="s">
        <v>981</v>
      </c>
      <c r="M709" s="2" t="s">
        <v>295</v>
      </c>
      <c r="N709" s="2" t="s">
        <v>2078</v>
      </c>
      <c r="O709" s="2" t="s">
        <v>208</v>
      </c>
      <c r="P709" s="5">
        <v>810869376</v>
      </c>
      <c r="Q709" s="5">
        <v>865120609</v>
      </c>
      <c r="R709" s="2" t="s">
        <v>2079</v>
      </c>
      <c r="S709" s="2" t="s">
        <v>31</v>
      </c>
      <c r="T709" s="2" t="s">
        <v>283</v>
      </c>
      <c r="U709" s="2">
        <v>2016</v>
      </c>
    </row>
    <row r="710" spans="1:24" x14ac:dyDescent="0.2">
      <c r="A710" s="2">
        <v>1709028</v>
      </c>
      <c r="B710" s="6">
        <v>42986.441431250001</v>
      </c>
      <c r="F710" s="2" t="s">
        <v>126</v>
      </c>
      <c r="G710" s="2" t="s">
        <v>126</v>
      </c>
      <c r="H710" s="2" t="s">
        <v>126</v>
      </c>
      <c r="I710" s="2" t="s">
        <v>126</v>
      </c>
      <c r="J710" s="2" t="s">
        <v>126</v>
      </c>
      <c r="K710" s="2" t="s">
        <v>8</v>
      </c>
      <c r="L710" s="2" t="s">
        <v>34</v>
      </c>
      <c r="M710" s="2" t="s">
        <v>295</v>
      </c>
      <c r="N710" s="2" t="s">
        <v>2092</v>
      </c>
      <c r="O710" s="2" t="s">
        <v>114</v>
      </c>
      <c r="P710" s="5">
        <v>968920146</v>
      </c>
      <c r="R710" s="2" t="s">
        <v>2093</v>
      </c>
      <c r="S710" s="2" t="s">
        <v>64</v>
      </c>
      <c r="T710" s="2">
        <v>3</v>
      </c>
      <c r="U710" s="2">
        <v>2013</v>
      </c>
      <c r="V710" s="6">
        <v>42918</v>
      </c>
      <c r="W710" s="3" t="s">
        <v>342</v>
      </c>
    </row>
    <row r="711" spans="1:24" x14ac:dyDescent="0.2">
      <c r="A711" s="2">
        <v>1709029</v>
      </c>
      <c r="B711" s="6">
        <v>42986.470377777776</v>
      </c>
      <c r="C711" s="6">
        <v>42986.476098148145</v>
      </c>
      <c r="D711" s="6">
        <v>42997</v>
      </c>
      <c r="E711" s="6">
        <v>42997</v>
      </c>
      <c r="F711" s="2" t="s">
        <v>26</v>
      </c>
      <c r="G711" s="2" t="s">
        <v>26</v>
      </c>
      <c r="H711" s="2" t="s">
        <v>26</v>
      </c>
      <c r="I711" s="2" t="s">
        <v>26</v>
      </c>
      <c r="J711" s="2" t="s">
        <v>26</v>
      </c>
      <c r="K711" s="2" t="s">
        <v>8</v>
      </c>
      <c r="L711" s="2" t="s">
        <v>27</v>
      </c>
      <c r="M711" s="2" t="s">
        <v>886</v>
      </c>
      <c r="N711" s="2" t="s">
        <v>887</v>
      </c>
      <c r="O711" s="2" t="s">
        <v>41</v>
      </c>
      <c r="P711" s="5">
        <v>898997275</v>
      </c>
      <c r="Q711" s="5">
        <v>917399296</v>
      </c>
      <c r="R711" s="2" t="s">
        <v>888</v>
      </c>
      <c r="S711" s="2" t="s">
        <v>133</v>
      </c>
      <c r="T711" s="2" t="s">
        <v>134</v>
      </c>
      <c r="U711" s="2">
        <v>2014</v>
      </c>
      <c r="V711" s="6">
        <v>42805</v>
      </c>
      <c r="W711" s="3" t="s">
        <v>889</v>
      </c>
      <c r="X711" s="23">
        <v>10160</v>
      </c>
    </row>
    <row r="712" spans="1:24" x14ac:dyDescent="0.2">
      <c r="A712" s="2">
        <v>1709030</v>
      </c>
      <c r="B712" s="6">
        <v>42986.480678472224</v>
      </c>
      <c r="F712" s="2" t="s">
        <v>126</v>
      </c>
      <c r="G712" s="2" t="s">
        <v>126</v>
      </c>
      <c r="H712" s="2" t="s">
        <v>126</v>
      </c>
      <c r="I712" s="2" t="s">
        <v>126</v>
      </c>
      <c r="J712" s="2" t="s">
        <v>126</v>
      </c>
      <c r="K712" s="2" t="s">
        <v>8</v>
      </c>
      <c r="L712" s="2" t="s">
        <v>981</v>
      </c>
      <c r="M712" s="2" t="s">
        <v>295</v>
      </c>
      <c r="N712" s="2" t="s">
        <v>2099</v>
      </c>
      <c r="O712" s="2" t="s">
        <v>41</v>
      </c>
      <c r="P712" s="5">
        <v>811716733</v>
      </c>
      <c r="R712" s="2" t="s">
        <v>2100</v>
      </c>
      <c r="S712" s="2" t="s">
        <v>183</v>
      </c>
      <c r="T712" s="2" t="s">
        <v>373</v>
      </c>
      <c r="U712" s="2">
        <v>2010</v>
      </c>
      <c r="V712" s="6">
        <v>42697</v>
      </c>
      <c r="W712" s="3" t="s">
        <v>517</v>
      </c>
    </row>
    <row r="713" spans="1:24" x14ac:dyDescent="0.2">
      <c r="A713" s="2">
        <v>1709031</v>
      </c>
      <c r="B713" s="6">
        <v>42986.555127893516</v>
      </c>
      <c r="F713" s="2" t="s">
        <v>126</v>
      </c>
      <c r="G713" s="2" t="s">
        <v>126</v>
      </c>
      <c r="H713" s="2" t="s">
        <v>126</v>
      </c>
      <c r="I713" s="2" t="s">
        <v>126</v>
      </c>
      <c r="J713" s="2" t="s">
        <v>126</v>
      </c>
      <c r="K713" s="2" t="s">
        <v>8</v>
      </c>
      <c r="L713" s="2" t="s">
        <v>73</v>
      </c>
      <c r="M713" s="2" t="s">
        <v>295</v>
      </c>
      <c r="N713" s="2" t="s">
        <v>2339</v>
      </c>
      <c r="O713" s="2" t="s">
        <v>47</v>
      </c>
      <c r="P713" s="5">
        <v>880109860</v>
      </c>
      <c r="Q713" s="5">
        <v>896844514</v>
      </c>
      <c r="R713" s="2" t="s">
        <v>2340</v>
      </c>
      <c r="S713" s="2" t="s">
        <v>37</v>
      </c>
      <c r="T713" s="2" t="s">
        <v>102</v>
      </c>
      <c r="U713" s="2">
        <v>2006</v>
      </c>
      <c r="V713" s="6">
        <v>43100</v>
      </c>
      <c r="W713" s="3" t="s">
        <v>39</v>
      </c>
    </row>
    <row r="714" spans="1:24" x14ac:dyDescent="0.2">
      <c r="A714" s="2">
        <v>1709032</v>
      </c>
      <c r="B714" s="6">
        <v>42987.550712037038</v>
      </c>
      <c r="C714" s="6">
        <v>42987.552232175927</v>
      </c>
      <c r="D714" s="6">
        <v>0</v>
      </c>
      <c r="F714" s="2">
        <v>-42987.552232175927</v>
      </c>
      <c r="G714" s="2" t="s">
        <v>11</v>
      </c>
      <c r="H714" s="2" t="s">
        <v>975</v>
      </c>
      <c r="I714" s="2" t="s">
        <v>107</v>
      </c>
      <c r="J714" s="2" t="s">
        <v>95</v>
      </c>
      <c r="K714" s="2" t="s">
        <v>8</v>
      </c>
      <c r="L714" s="2" t="s">
        <v>170</v>
      </c>
      <c r="M714" s="2" t="s">
        <v>66</v>
      </c>
      <c r="N714" s="2" t="s">
        <v>2341</v>
      </c>
      <c r="P714" s="5">
        <v>928796990</v>
      </c>
      <c r="R714" s="2" t="s">
        <v>2342</v>
      </c>
      <c r="S714" s="2" t="s">
        <v>64</v>
      </c>
      <c r="T714" s="2" t="s">
        <v>2343</v>
      </c>
      <c r="U714" s="2">
        <v>2003</v>
      </c>
      <c r="V714" s="6">
        <v>43063</v>
      </c>
      <c r="W714" s="3" t="s">
        <v>143</v>
      </c>
      <c r="X714" s="23">
        <v>0</v>
      </c>
    </row>
    <row r="715" spans="1:24" x14ac:dyDescent="0.2">
      <c r="A715" s="2">
        <v>1709033</v>
      </c>
      <c r="B715" s="6">
        <v>42987.554250000001</v>
      </c>
      <c r="E715" s="6">
        <v>42990.559460648146</v>
      </c>
      <c r="F715" s="2" t="s">
        <v>26</v>
      </c>
      <c r="G715" s="2" t="s">
        <v>26</v>
      </c>
      <c r="H715" s="2" t="s">
        <v>26</v>
      </c>
      <c r="I715" s="2" t="s">
        <v>26</v>
      </c>
      <c r="J715" s="2" t="s">
        <v>26</v>
      </c>
      <c r="K715" s="2" t="s">
        <v>8</v>
      </c>
      <c r="L715" s="2" t="s">
        <v>34</v>
      </c>
      <c r="M715" s="2" t="s">
        <v>61</v>
      </c>
      <c r="N715" s="2" t="s">
        <v>2344</v>
      </c>
      <c r="O715" s="2" t="s">
        <v>208</v>
      </c>
      <c r="P715" s="5">
        <v>872578823</v>
      </c>
      <c r="R715" s="2" t="s">
        <v>2345</v>
      </c>
      <c r="S715" s="2" t="s">
        <v>31</v>
      </c>
      <c r="T715" s="2" t="s">
        <v>382</v>
      </c>
      <c r="U715" s="2">
        <v>2011</v>
      </c>
      <c r="V715" s="6">
        <v>42656</v>
      </c>
      <c r="W715" s="3" t="s">
        <v>1034</v>
      </c>
    </row>
    <row r="716" spans="1:24" x14ac:dyDescent="0.2">
      <c r="A716" s="2">
        <v>1709034</v>
      </c>
      <c r="B716" s="6">
        <v>42987.597169097222</v>
      </c>
      <c r="C716" s="6">
        <v>42997.451032523146</v>
      </c>
      <c r="D716" s="6">
        <v>43001</v>
      </c>
      <c r="F716" s="2">
        <v>3.548967476854159</v>
      </c>
      <c r="G716" s="2" t="s">
        <v>11</v>
      </c>
      <c r="H716" s="2" t="s">
        <v>93</v>
      </c>
      <c r="I716" s="2" t="s">
        <v>94</v>
      </c>
      <c r="J716" s="2" t="s">
        <v>95</v>
      </c>
      <c r="K716" s="2" t="s">
        <v>8</v>
      </c>
      <c r="L716" s="2" t="s">
        <v>981</v>
      </c>
      <c r="M716" s="2" t="s">
        <v>28</v>
      </c>
      <c r="N716" s="2" t="s">
        <v>2346</v>
      </c>
      <c r="O716" s="2" t="s">
        <v>47</v>
      </c>
      <c r="P716" s="5">
        <v>817206937</v>
      </c>
      <c r="R716" s="2" t="s">
        <v>2347</v>
      </c>
      <c r="S716" s="2" t="s">
        <v>64</v>
      </c>
      <c r="T716" s="2">
        <v>3</v>
      </c>
      <c r="U716" s="2">
        <v>2016</v>
      </c>
      <c r="V716" s="6">
        <v>43276</v>
      </c>
      <c r="W716" s="3" t="s">
        <v>1762</v>
      </c>
      <c r="X716" s="23">
        <v>0</v>
      </c>
    </row>
    <row r="717" spans="1:24" x14ac:dyDescent="0.2">
      <c r="A717" s="2">
        <v>1709035</v>
      </c>
      <c r="B717" s="6">
        <v>42990.376886921294</v>
      </c>
      <c r="F717" s="2" t="s">
        <v>126</v>
      </c>
      <c r="G717" s="2" t="s">
        <v>126</v>
      </c>
      <c r="H717" s="2" t="s">
        <v>126</v>
      </c>
      <c r="I717" s="2" t="s">
        <v>126</v>
      </c>
      <c r="J717" s="2" t="s">
        <v>126</v>
      </c>
      <c r="K717" s="2" t="s">
        <v>8</v>
      </c>
      <c r="L717" s="2" t="s">
        <v>981</v>
      </c>
      <c r="M717" s="2" t="s">
        <v>88</v>
      </c>
      <c r="N717" s="2" t="s">
        <v>127</v>
      </c>
      <c r="O717" s="2" t="s">
        <v>128</v>
      </c>
      <c r="P717" s="5">
        <v>849396438</v>
      </c>
      <c r="R717" s="2" t="s">
        <v>2348</v>
      </c>
      <c r="S717" s="2" t="s">
        <v>49</v>
      </c>
      <c r="T717" s="2" t="s">
        <v>130</v>
      </c>
      <c r="U717" s="2">
        <v>2010</v>
      </c>
    </row>
    <row r="718" spans="1:24" x14ac:dyDescent="0.2">
      <c r="A718" s="2">
        <v>1709036</v>
      </c>
      <c r="B718" s="6">
        <v>42990.383053356483</v>
      </c>
      <c r="C718" s="6">
        <v>43000.493395138888</v>
      </c>
      <c r="D718" s="6">
        <v>43007</v>
      </c>
      <c r="E718" s="6">
        <v>43008</v>
      </c>
      <c r="F718" s="2" t="s">
        <v>26</v>
      </c>
      <c r="G718" s="2" t="s">
        <v>26</v>
      </c>
      <c r="H718" s="2" t="s">
        <v>26</v>
      </c>
      <c r="I718" s="2" t="s">
        <v>26</v>
      </c>
      <c r="J718" s="2" t="s">
        <v>26</v>
      </c>
      <c r="K718" s="2" t="s">
        <v>8</v>
      </c>
      <c r="L718" s="2" t="s">
        <v>34</v>
      </c>
      <c r="M718" s="2" t="s">
        <v>118</v>
      </c>
      <c r="N718" s="2" t="s">
        <v>1205</v>
      </c>
      <c r="O718" s="2" t="s">
        <v>186</v>
      </c>
      <c r="P718" s="5">
        <v>859206108</v>
      </c>
      <c r="R718" s="2" t="s">
        <v>1206</v>
      </c>
      <c r="S718" s="2" t="s">
        <v>31</v>
      </c>
      <c r="T718" s="2" t="s">
        <v>283</v>
      </c>
      <c r="X718" s="23">
        <v>4640</v>
      </c>
    </row>
    <row r="719" spans="1:24" x14ac:dyDescent="0.2">
      <c r="A719" s="2">
        <v>1709037</v>
      </c>
      <c r="B719" s="6">
        <v>42990.387922569447</v>
      </c>
      <c r="F719" s="2" t="s">
        <v>126</v>
      </c>
      <c r="G719" s="2" t="s">
        <v>126</v>
      </c>
      <c r="H719" s="2" t="s">
        <v>126</v>
      </c>
      <c r="I719" s="2" t="s">
        <v>126</v>
      </c>
      <c r="J719" s="2" t="s">
        <v>126</v>
      </c>
      <c r="K719" s="2" t="s">
        <v>8</v>
      </c>
      <c r="L719" s="2" t="s">
        <v>981</v>
      </c>
      <c r="M719" s="2" t="s">
        <v>28</v>
      </c>
      <c r="N719" s="2" t="s">
        <v>2349</v>
      </c>
      <c r="O719" s="2" t="s">
        <v>41</v>
      </c>
      <c r="P719" s="5">
        <v>816441514</v>
      </c>
      <c r="R719" s="2" t="s">
        <v>2350</v>
      </c>
      <c r="S719" s="2" t="s">
        <v>64</v>
      </c>
      <c r="T719" s="2" t="s">
        <v>445</v>
      </c>
      <c r="U719" s="2">
        <v>2015</v>
      </c>
      <c r="V719" s="6">
        <v>43258</v>
      </c>
      <c r="W719" s="3" t="s">
        <v>337</v>
      </c>
    </row>
    <row r="720" spans="1:24" x14ac:dyDescent="0.2">
      <c r="A720" s="2">
        <v>1709038</v>
      </c>
      <c r="B720" s="6">
        <v>42990.390896296296</v>
      </c>
      <c r="C720" s="6">
        <v>43006.542225231482</v>
      </c>
      <c r="D720" s="6">
        <v>42983</v>
      </c>
      <c r="E720" s="6">
        <v>43014</v>
      </c>
      <c r="F720" s="2" t="s">
        <v>26</v>
      </c>
      <c r="G720" s="2" t="s">
        <v>26</v>
      </c>
      <c r="H720" s="2" t="s">
        <v>26</v>
      </c>
      <c r="I720" s="2" t="s">
        <v>26</v>
      </c>
      <c r="J720" s="2" t="s">
        <v>26</v>
      </c>
      <c r="K720" s="2" t="s">
        <v>8</v>
      </c>
      <c r="L720" s="2" t="s">
        <v>34</v>
      </c>
      <c r="M720" s="2" t="s">
        <v>28</v>
      </c>
      <c r="N720" s="2" t="s">
        <v>2351</v>
      </c>
      <c r="P720" s="5">
        <v>851609611</v>
      </c>
      <c r="R720" s="2" t="s">
        <v>2352</v>
      </c>
      <c r="S720" s="2" t="s">
        <v>31</v>
      </c>
      <c r="T720" s="2" t="s">
        <v>283</v>
      </c>
      <c r="U720" s="2">
        <v>2006</v>
      </c>
      <c r="X720" s="23">
        <v>0</v>
      </c>
    </row>
    <row r="721" spans="1:24" x14ac:dyDescent="0.2">
      <c r="A721" s="2">
        <v>1709039</v>
      </c>
      <c r="B721" s="6">
        <v>42990.433978240741</v>
      </c>
      <c r="F721" s="2" t="s">
        <v>126</v>
      </c>
      <c r="G721" s="2" t="s">
        <v>126</v>
      </c>
      <c r="H721" s="2" t="s">
        <v>126</v>
      </c>
      <c r="I721" s="2" t="s">
        <v>126</v>
      </c>
      <c r="J721" s="2" t="s">
        <v>126</v>
      </c>
      <c r="K721" s="2" t="s">
        <v>8</v>
      </c>
      <c r="L721" s="2" t="s">
        <v>981</v>
      </c>
      <c r="M721" s="2" t="s">
        <v>61</v>
      </c>
      <c r="N721" s="2" t="s">
        <v>2353</v>
      </c>
      <c r="P721" s="5">
        <v>876267055</v>
      </c>
      <c r="Q721" s="5">
        <v>955625325</v>
      </c>
      <c r="R721" s="2" t="s">
        <v>2354</v>
      </c>
      <c r="S721" s="2" t="s">
        <v>31</v>
      </c>
      <c r="T721" s="2" t="s">
        <v>283</v>
      </c>
      <c r="U721" s="2">
        <v>2014</v>
      </c>
      <c r="V721" s="6">
        <v>43217</v>
      </c>
      <c r="W721" s="3" t="s">
        <v>528</v>
      </c>
    </row>
    <row r="722" spans="1:24" x14ac:dyDescent="0.2">
      <c r="A722" s="2">
        <v>1709040</v>
      </c>
      <c r="B722" s="6">
        <v>42990.561580324073</v>
      </c>
      <c r="F722" s="2" t="s">
        <v>126</v>
      </c>
      <c r="G722" s="2" t="s">
        <v>126</v>
      </c>
      <c r="H722" s="2" t="s">
        <v>126</v>
      </c>
      <c r="I722" s="2" t="s">
        <v>126</v>
      </c>
      <c r="J722" s="2" t="s">
        <v>126</v>
      </c>
      <c r="K722" s="2" t="s">
        <v>8</v>
      </c>
      <c r="L722" s="2" t="s">
        <v>73</v>
      </c>
      <c r="M722" s="2" t="s">
        <v>61</v>
      </c>
      <c r="N722" s="2" t="s">
        <v>2344</v>
      </c>
      <c r="O722" s="2" t="s">
        <v>208</v>
      </c>
      <c r="P722" s="5">
        <v>872578823</v>
      </c>
      <c r="R722" s="2" t="s">
        <v>2345</v>
      </c>
      <c r="S722" s="2" t="s">
        <v>31</v>
      </c>
      <c r="T722" s="2" t="s">
        <v>382</v>
      </c>
      <c r="U722" s="2">
        <v>2011</v>
      </c>
      <c r="V722" s="6">
        <v>43020</v>
      </c>
      <c r="W722" s="3" t="s">
        <v>421</v>
      </c>
    </row>
    <row r="723" spans="1:24" x14ac:dyDescent="0.2">
      <c r="A723" s="2">
        <v>1709041</v>
      </c>
      <c r="B723" s="6">
        <v>42990.569760185186</v>
      </c>
      <c r="C723" s="6">
        <v>42990.576728587963</v>
      </c>
      <c r="D723" s="6">
        <v>0</v>
      </c>
      <c r="E723" s="6">
        <v>43014</v>
      </c>
      <c r="F723" s="2" t="s">
        <v>26</v>
      </c>
      <c r="G723" s="2" t="s">
        <v>26</v>
      </c>
      <c r="H723" s="2" t="s">
        <v>26</v>
      </c>
      <c r="I723" s="2" t="s">
        <v>26</v>
      </c>
      <c r="J723" s="2" t="s">
        <v>26</v>
      </c>
      <c r="K723" s="2" t="s">
        <v>8</v>
      </c>
      <c r="L723" s="2" t="s">
        <v>73</v>
      </c>
      <c r="M723" s="2" t="s">
        <v>61</v>
      </c>
      <c r="N723" s="2" t="s">
        <v>2344</v>
      </c>
      <c r="O723" s="2" t="s">
        <v>208</v>
      </c>
      <c r="P723" s="5">
        <v>872578823</v>
      </c>
      <c r="R723" s="2" t="s">
        <v>2355</v>
      </c>
      <c r="S723" s="2" t="s">
        <v>31</v>
      </c>
      <c r="T723" s="2" t="s">
        <v>382</v>
      </c>
      <c r="U723" s="2">
        <v>2011</v>
      </c>
      <c r="X723" s="23">
        <v>0</v>
      </c>
    </row>
    <row r="724" spans="1:24" x14ac:dyDescent="0.2">
      <c r="A724" s="2">
        <v>1709042</v>
      </c>
      <c r="B724" s="6">
        <v>42990.702267708337</v>
      </c>
      <c r="F724" s="2" t="s">
        <v>126</v>
      </c>
      <c r="G724" s="2" t="s">
        <v>126</v>
      </c>
      <c r="H724" s="2" t="s">
        <v>126</v>
      </c>
      <c r="I724" s="2" t="s">
        <v>126</v>
      </c>
      <c r="J724" s="2" t="s">
        <v>126</v>
      </c>
      <c r="K724" s="2" t="s">
        <v>8</v>
      </c>
      <c r="L724" s="2" t="s">
        <v>34</v>
      </c>
      <c r="M724" s="2" t="s">
        <v>295</v>
      </c>
      <c r="N724" s="2" t="s">
        <v>2356</v>
      </c>
      <c r="O724" s="2" t="s">
        <v>437</v>
      </c>
      <c r="P724" s="5">
        <v>897929135</v>
      </c>
      <c r="R724" s="2" t="s">
        <v>2357</v>
      </c>
      <c r="S724" s="2" t="s">
        <v>49</v>
      </c>
      <c r="T724" s="2" t="s">
        <v>151</v>
      </c>
      <c r="U724" s="2">
        <v>2006</v>
      </c>
      <c r="V724" s="6">
        <v>43056</v>
      </c>
      <c r="W724" s="3" t="s">
        <v>39</v>
      </c>
    </row>
    <row r="725" spans="1:24" x14ac:dyDescent="0.2">
      <c r="A725" s="2">
        <v>1709043</v>
      </c>
      <c r="B725" s="6">
        <v>42991.394901851854</v>
      </c>
      <c r="F725" s="2" t="s">
        <v>126</v>
      </c>
      <c r="G725" s="2" t="s">
        <v>126</v>
      </c>
      <c r="H725" s="2" t="s">
        <v>126</v>
      </c>
      <c r="I725" s="2" t="s">
        <v>126</v>
      </c>
      <c r="J725" s="2" t="s">
        <v>126</v>
      </c>
      <c r="K725" s="2" t="s">
        <v>8</v>
      </c>
      <c r="L725" s="2" t="s">
        <v>170</v>
      </c>
      <c r="M725" s="2" t="s">
        <v>61</v>
      </c>
      <c r="N725" s="2" t="s">
        <v>2358</v>
      </c>
      <c r="P725" s="5">
        <v>955427446</v>
      </c>
      <c r="R725" s="2" t="s">
        <v>2359</v>
      </c>
      <c r="S725" s="2" t="s">
        <v>49</v>
      </c>
      <c r="T725" s="2" t="s">
        <v>79</v>
      </c>
      <c r="U725" s="2">
        <v>2013</v>
      </c>
    </row>
    <row r="726" spans="1:24" x14ac:dyDescent="0.2">
      <c r="A726" s="2">
        <v>1709044</v>
      </c>
      <c r="B726" s="6">
        <v>42991.399574421295</v>
      </c>
      <c r="C726" s="6" t="s">
        <v>307</v>
      </c>
      <c r="D726" s="6" t="s">
        <v>307</v>
      </c>
      <c r="E726" s="6" t="s">
        <v>307</v>
      </c>
      <c r="F726" s="2" t="s">
        <v>307</v>
      </c>
      <c r="G726" s="2" t="s">
        <v>307</v>
      </c>
      <c r="H726" s="2" t="s">
        <v>307</v>
      </c>
      <c r="I726" s="2" t="s">
        <v>307</v>
      </c>
      <c r="J726" s="2" t="s">
        <v>307</v>
      </c>
      <c r="K726" s="2" t="s">
        <v>307</v>
      </c>
      <c r="L726" s="2" t="s">
        <v>307</v>
      </c>
      <c r="M726" s="2" t="s">
        <v>307</v>
      </c>
      <c r="N726" s="2" t="s">
        <v>307</v>
      </c>
      <c r="P726" s="5" t="s">
        <v>307</v>
      </c>
      <c r="R726" s="2" t="s">
        <v>307</v>
      </c>
      <c r="S726" s="2" t="s">
        <v>307</v>
      </c>
      <c r="T726" s="2" t="s">
        <v>307</v>
      </c>
      <c r="U726" s="2" t="s">
        <v>307</v>
      </c>
      <c r="V726" s="6" t="s">
        <v>307</v>
      </c>
    </row>
    <row r="727" spans="1:24" x14ac:dyDescent="0.2">
      <c r="A727" s="2">
        <v>1709045</v>
      </c>
      <c r="B727" s="6">
        <v>42991.556133333332</v>
      </c>
      <c r="F727" s="2" t="s">
        <v>126</v>
      </c>
      <c r="G727" s="2" t="s">
        <v>126</v>
      </c>
      <c r="H727" s="2" t="s">
        <v>126</v>
      </c>
      <c r="I727" s="2" t="s">
        <v>126</v>
      </c>
      <c r="J727" s="2" t="s">
        <v>126</v>
      </c>
      <c r="K727" s="2" t="s">
        <v>8</v>
      </c>
      <c r="L727" s="2" t="s">
        <v>34</v>
      </c>
      <c r="M727" s="2" t="s">
        <v>295</v>
      </c>
      <c r="N727" s="2" t="s">
        <v>2360</v>
      </c>
      <c r="P727" s="5">
        <v>924024034</v>
      </c>
      <c r="R727" s="2" t="s">
        <v>2361</v>
      </c>
      <c r="S727" s="2" t="s">
        <v>37</v>
      </c>
      <c r="T727" s="2" t="s">
        <v>102</v>
      </c>
      <c r="U727" s="2">
        <v>2006</v>
      </c>
    </row>
    <row r="728" spans="1:24" x14ac:dyDescent="0.2">
      <c r="A728" s="2">
        <v>1709046</v>
      </c>
      <c r="B728" s="6">
        <v>42991.582858796297</v>
      </c>
      <c r="C728" s="6">
        <v>43005.703291666665</v>
      </c>
      <c r="D728" s="6">
        <v>43005</v>
      </c>
      <c r="E728" s="6">
        <v>43005</v>
      </c>
      <c r="F728" s="2" t="s">
        <v>26</v>
      </c>
      <c r="G728" s="2" t="s">
        <v>26</v>
      </c>
      <c r="H728" s="2" t="s">
        <v>26</v>
      </c>
      <c r="I728" s="2" t="s">
        <v>26</v>
      </c>
      <c r="J728" s="2" t="s">
        <v>26</v>
      </c>
      <c r="K728" s="2" t="s">
        <v>8</v>
      </c>
      <c r="L728" s="2" t="s">
        <v>981</v>
      </c>
      <c r="M728" s="2" t="s">
        <v>81</v>
      </c>
      <c r="N728" s="2" t="s">
        <v>2362</v>
      </c>
      <c r="O728" s="2" t="s">
        <v>41</v>
      </c>
      <c r="P728" s="5">
        <v>851568555</v>
      </c>
      <c r="R728" s="2" t="s">
        <v>2363</v>
      </c>
      <c r="S728" s="2" t="s">
        <v>49</v>
      </c>
      <c r="T728" s="2" t="s">
        <v>79</v>
      </c>
      <c r="U728" s="2">
        <v>2005</v>
      </c>
      <c r="V728" s="6" t="s">
        <v>72</v>
      </c>
      <c r="X728" s="23">
        <v>320</v>
      </c>
    </row>
    <row r="729" spans="1:24" x14ac:dyDescent="0.2">
      <c r="A729" s="2">
        <v>1709047</v>
      </c>
      <c r="B729" s="6">
        <v>42993.572228819445</v>
      </c>
      <c r="F729" s="2" t="s">
        <v>126</v>
      </c>
      <c r="G729" s="2" t="s">
        <v>126</v>
      </c>
      <c r="H729" s="2" t="s">
        <v>126</v>
      </c>
      <c r="I729" s="2" t="s">
        <v>126</v>
      </c>
      <c r="J729" s="2" t="s">
        <v>126</v>
      </c>
      <c r="K729" s="2" t="s">
        <v>8</v>
      </c>
      <c r="L729" s="2" t="s">
        <v>126</v>
      </c>
      <c r="M729" s="2" t="s">
        <v>295</v>
      </c>
      <c r="N729" s="2" t="s">
        <v>2364</v>
      </c>
      <c r="O729" s="2" t="s">
        <v>120</v>
      </c>
      <c r="P729" s="5">
        <v>814805518</v>
      </c>
      <c r="Q729" s="5">
        <v>24018686</v>
      </c>
      <c r="R729" s="2" t="s">
        <v>2365</v>
      </c>
      <c r="S729" s="2" t="s">
        <v>49</v>
      </c>
      <c r="T729" s="2" t="s">
        <v>130</v>
      </c>
      <c r="U729" s="2">
        <v>2012</v>
      </c>
      <c r="V729" s="6">
        <v>42999</v>
      </c>
      <c r="W729" s="3" t="s">
        <v>166</v>
      </c>
    </row>
    <row r="730" spans="1:24" x14ac:dyDescent="0.2">
      <c r="A730" s="2">
        <v>1709048</v>
      </c>
      <c r="B730" s="6">
        <v>42993.576958449077</v>
      </c>
      <c r="C730" s="6">
        <v>43010.484356597219</v>
      </c>
      <c r="D730" s="6">
        <v>43017</v>
      </c>
      <c r="E730" s="6">
        <v>43020</v>
      </c>
      <c r="F730" s="2" t="s">
        <v>26</v>
      </c>
      <c r="G730" s="2" t="s">
        <v>26</v>
      </c>
      <c r="H730" s="2" t="s">
        <v>26</v>
      </c>
      <c r="I730" s="2" t="s">
        <v>26</v>
      </c>
      <c r="J730" s="2" t="s">
        <v>26</v>
      </c>
      <c r="K730" s="2" t="s">
        <v>8</v>
      </c>
      <c r="L730" s="2" t="s">
        <v>34</v>
      </c>
      <c r="M730" s="2" t="s">
        <v>45</v>
      </c>
      <c r="N730" s="2" t="s">
        <v>2366</v>
      </c>
      <c r="O730" s="2" t="s">
        <v>41</v>
      </c>
      <c r="P730" s="5">
        <v>899655665</v>
      </c>
      <c r="R730" s="2" t="s">
        <v>2367</v>
      </c>
      <c r="S730" s="2" t="s">
        <v>49</v>
      </c>
      <c r="T730" s="2" t="s">
        <v>130</v>
      </c>
      <c r="U730" s="2">
        <v>2006</v>
      </c>
      <c r="V730" s="6">
        <v>43137</v>
      </c>
      <c r="W730" s="3" t="s">
        <v>44</v>
      </c>
      <c r="X730" s="23">
        <v>10060.049999999999</v>
      </c>
    </row>
    <row r="731" spans="1:24" x14ac:dyDescent="0.2">
      <c r="A731" s="2">
        <v>1709049</v>
      </c>
      <c r="B731" s="6">
        <v>42993.579544907407</v>
      </c>
      <c r="C731" s="6">
        <v>42998.72912546296</v>
      </c>
      <c r="D731" s="6">
        <v>43007</v>
      </c>
      <c r="E731" s="6">
        <v>43005</v>
      </c>
      <c r="F731" s="2" t="s">
        <v>26</v>
      </c>
      <c r="G731" s="2" t="s">
        <v>26</v>
      </c>
      <c r="H731" s="2" t="s">
        <v>26</v>
      </c>
      <c r="I731" s="2" t="s">
        <v>26</v>
      </c>
      <c r="J731" s="2" t="s">
        <v>26</v>
      </c>
      <c r="K731" s="2" t="s">
        <v>8</v>
      </c>
      <c r="L731" s="2" t="s">
        <v>981</v>
      </c>
      <c r="M731" s="2" t="s">
        <v>28</v>
      </c>
      <c r="N731" s="2" t="s">
        <v>2368</v>
      </c>
      <c r="O731" s="2" t="s">
        <v>208</v>
      </c>
      <c r="R731" s="2" t="s">
        <v>2369</v>
      </c>
      <c r="S731" s="2" t="s">
        <v>70</v>
      </c>
      <c r="T731" s="2" t="s">
        <v>988</v>
      </c>
      <c r="U731" s="2">
        <v>2011</v>
      </c>
      <c r="V731" s="6">
        <v>43272</v>
      </c>
      <c r="W731" s="3" t="s">
        <v>1762</v>
      </c>
      <c r="X731" s="23">
        <v>9639</v>
      </c>
    </row>
    <row r="732" spans="1:24" x14ac:dyDescent="0.2">
      <c r="A732" s="2">
        <v>1709050</v>
      </c>
      <c r="B732" s="6">
        <v>42993.584809953703</v>
      </c>
      <c r="F732" s="2" t="s">
        <v>126</v>
      </c>
      <c r="G732" s="2" t="s">
        <v>126</v>
      </c>
      <c r="H732" s="2" t="s">
        <v>126</v>
      </c>
      <c r="I732" s="2" t="s">
        <v>126</v>
      </c>
      <c r="J732" s="2" t="s">
        <v>126</v>
      </c>
      <c r="K732" s="2" t="s">
        <v>8</v>
      </c>
      <c r="L732" s="2" t="s">
        <v>981</v>
      </c>
      <c r="M732" s="2" t="s">
        <v>118</v>
      </c>
      <c r="N732" s="2" t="s">
        <v>2370</v>
      </c>
      <c r="O732" s="2" t="s">
        <v>128</v>
      </c>
      <c r="P732" s="5">
        <v>859168198</v>
      </c>
      <c r="R732" s="2" t="s">
        <v>2371</v>
      </c>
      <c r="S732" s="2" t="s">
        <v>37</v>
      </c>
      <c r="T732" s="2" t="s">
        <v>98</v>
      </c>
      <c r="U732" s="2">
        <v>2015</v>
      </c>
      <c r="V732" s="6">
        <v>43305</v>
      </c>
      <c r="W732" s="3" t="s">
        <v>215</v>
      </c>
    </row>
    <row r="733" spans="1:24" x14ac:dyDescent="0.2">
      <c r="A733" s="2">
        <v>1709051</v>
      </c>
      <c r="B733" s="6">
        <v>42993.683817129633</v>
      </c>
      <c r="F733" s="2" t="s">
        <v>126</v>
      </c>
      <c r="G733" s="2" t="s">
        <v>126</v>
      </c>
      <c r="H733" s="2" t="s">
        <v>126</v>
      </c>
      <c r="I733" s="2" t="s">
        <v>126</v>
      </c>
      <c r="J733" s="2" t="s">
        <v>126</v>
      </c>
      <c r="K733" s="2" t="s">
        <v>8</v>
      </c>
      <c r="L733" s="2" t="s">
        <v>170</v>
      </c>
      <c r="M733" s="2" t="s">
        <v>61</v>
      </c>
      <c r="N733" s="2" t="s">
        <v>2372</v>
      </c>
      <c r="O733" s="2" t="s">
        <v>217</v>
      </c>
      <c r="P733" s="5">
        <v>909890442</v>
      </c>
      <c r="R733" s="2" t="s">
        <v>2373</v>
      </c>
      <c r="S733" s="2" t="s">
        <v>55</v>
      </c>
      <c r="T733" s="2" t="s">
        <v>76</v>
      </c>
      <c r="U733" s="2">
        <v>2008</v>
      </c>
      <c r="V733" s="6">
        <v>43232</v>
      </c>
      <c r="W733" s="3" t="s">
        <v>517</v>
      </c>
    </row>
    <row r="734" spans="1:24" x14ac:dyDescent="0.2">
      <c r="A734" s="2">
        <v>1709052</v>
      </c>
      <c r="B734" s="6">
        <v>42993.686674537035</v>
      </c>
      <c r="C734" s="6">
        <v>43017.460281250002</v>
      </c>
      <c r="F734" s="2" t="s">
        <v>92</v>
      </c>
      <c r="G734" s="2" t="s">
        <v>11</v>
      </c>
      <c r="H734" s="2" t="s">
        <v>206</v>
      </c>
      <c r="I734" s="2" t="s">
        <v>95</v>
      </c>
      <c r="J734" s="2" t="s">
        <v>95</v>
      </c>
      <c r="K734" s="2" t="s">
        <v>8</v>
      </c>
      <c r="L734" s="2" t="s">
        <v>73</v>
      </c>
      <c r="M734" s="2" t="s">
        <v>61</v>
      </c>
      <c r="N734" s="2" t="s">
        <v>2374</v>
      </c>
      <c r="P734" s="5">
        <v>853705925</v>
      </c>
      <c r="Q734" s="5">
        <v>884959056</v>
      </c>
      <c r="R734" s="2" t="s">
        <v>2375</v>
      </c>
      <c r="S734" s="2" t="s">
        <v>49</v>
      </c>
      <c r="T734" s="2" t="s">
        <v>79</v>
      </c>
      <c r="U734" s="2">
        <v>2012</v>
      </c>
      <c r="X734" s="23">
        <v>21976.17</v>
      </c>
    </row>
    <row r="735" spans="1:24" x14ac:dyDescent="0.2">
      <c r="A735" s="2">
        <v>1709053</v>
      </c>
      <c r="B735" s="6">
        <v>42994.413916898149</v>
      </c>
      <c r="C735" s="6">
        <v>43012.704299305558</v>
      </c>
      <c r="D735" s="6">
        <v>43004</v>
      </c>
      <c r="E735" s="6">
        <v>43012</v>
      </c>
      <c r="F735" s="2" t="s">
        <v>26</v>
      </c>
      <c r="G735" s="2" t="s">
        <v>26</v>
      </c>
      <c r="H735" s="2" t="s">
        <v>26</v>
      </c>
      <c r="I735" s="2" t="s">
        <v>26</v>
      </c>
      <c r="J735" s="2" t="s">
        <v>26</v>
      </c>
      <c r="K735" s="2" t="s">
        <v>8</v>
      </c>
      <c r="L735" s="2" t="s">
        <v>34</v>
      </c>
      <c r="M735" s="2" t="s">
        <v>45</v>
      </c>
      <c r="N735" s="2" t="s">
        <v>931</v>
      </c>
      <c r="P735" s="5">
        <v>944930087</v>
      </c>
      <c r="R735" s="2" t="s">
        <v>932</v>
      </c>
      <c r="S735" s="2" t="s">
        <v>31</v>
      </c>
      <c r="T735" s="2" t="s">
        <v>283</v>
      </c>
      <c r="U735" s="2">
        <v>2008</v>
      </c>
      <c r="V735" s="6">
        <v>42898</v>
      </c>
      <c r="W735" s="3" t="s">
        <v>232</v>
      </c>
      <c r="X735" s="23">
        <v>8157</v>
      </c>
    </row>
    <row r="736" spans="1:24" x14ac:dyDescent="0.2">
      <c r="A736" s="2">
        <v>1709054</v>
      </c>
      <c r="B736" s="6">
        <v>42994.642637962963</v>
      </c>
      <c r="F736" s="2" t="s">
        <v>126</v>
      </c>
      <c r="G736" s="2" t="s">
        <v>126</v>
      </c>
      <c r="H736" s="2" t="s">
        <v>126</v>
      </c>
      <c r="I736" s="2" t="s">
        <v>126</v>
      </c>
      <c r="J736" s="2" t="s">
        <v>126</v>
      </c>
      <c r="K736" s="2" t="s">
        <v>8</v>
      </c>
      <c r="L736" s="2" t="s">
        <v>34</v>
      </c>
      <c r="M736" s="2" t="s">
        <v>88</v>
      </c>
      <c r="N736" s="2" t="s">
        <v>1276</v>
      </c>
      <c r="P736" s="5">
        <v>814421709</v>
      </c>
      <c r="R736" s="2" t="s">
        <v>1277</v>
      </c>
      <c r="S736" s="2" t="s">
        <v>64</v>
      </c>
      <c r="T736" s="2">
        <v>2</v>
      </c>
      <c r="U736" s="2">
        <v>2013</v>
      </c>
      <c r="V736" s="6">
        <v>43214</v>
      </c>
      <c r="W736" s="3" t="s">
        <v>219</v>
      </c>
    </row>
    <row r="737" spans="1:24" x14ac:dyDescent="0.2">
      <c r="A737" s="2">
        <v>1709055</v>
      </c>
      <c r="B737" s="6">
        <v>42994.646119328703</v>
      </c>
      <c r="C737" s="6">
        <v>43018.448375231485</v>
      </c>
      <c r="D737" s="6">
        <v>43015</v>
      </c>
      <c r="F737" s="2">
        <v>-3.4483752314845333</v>
      </c>
      <c r="G737" s="2" t="s">
        <v>11</v>
      </c>
      <c r="H737" s="2" t="s">
        <v>179</v>
      </c>
      <c r="I737" s="2" t="s">
        <v>94</v>
      </c>
      <c r="J737" s="2" t="s">
        <v>95</v>
      </c>
      <c r="K737" s="2" t="s">
        <v>8</v>
      </c>
      <c r="L737" s="2" t="s">
        <v>27</v>
      </c>
      <c r="M737" s="2" t="s">
        <v>118</v>
      </c>
      <c r="N737" s="2" t="s">
        <v>2376</v>
      </c>
      <c r="O737" s="2" t="s">
        <v>1732</v>
      </c>
      <c r="P737" s="5">
        <v>621978934</v>
      </c>
      <c r="R737" s="2" t="s">
        <v>2377</v>
      </c>
      <c r="S737" s="2" t="s">
        <v>55</v>
      </c>
      <c r="T737" s="2" t="s">
        <v>142</v>
      </c>
      <c r="U737" s="2">
        <v>2010</v>
      </c>
      <c r="V737" s="6">
        <v>43136</v>
      </c>
      <c r="W737" s="3" t="s">
        <v>1562</v>
      </c>
      <c r="X737" s="23">
        <v>0</v>
      </c>
    </row>
    <row r="738" spans="1:24" x14ac:dyDescent="0.2">
      <c r="A738" s="2">
        <v>1709056</v>
      </c>
      <c r="B738" s="6">
        <v>42994.716543518516</v>
      </c>
      <c r="C738" s="6">
        <v>43014.402451388887</v>
      </c>
      <c r="D738" s="6">
        <v>43022</v>
      </c>
      <c r="F738" s="2">
        <v>7.5975486111128703</v>
      </c>
      <c r="G738" s="2" t="s">
        <v>11</v>
      </c>
      <c r="H738" s="2" t="s">
        <v>179</v>
      </c>
      <c r="I738" s="2" t="s">
        <v>94</v>
      </c>
      <c r="J738" s="2" t="s">
        <v>95</v>
      </c>
      <c r="K738" s="2" t="s">
        <v>8</v>
      </c>
      <c r="L738" s="2" t="s">
        <v>34</v>
      </c>
      <c r="M738" s="2" t="s">
        <v>61</v>
      </c>
      <c r="N738" s="2" t="s">
        <v>2378</v>
      </c>
      <c r="P738" s="5">
        <v>915365344</v>
      </c>
      <c r="R738" s="2" t="s">
        <v>2379</v>
      </c>
      <c r="S738" s="2" t="s">
        <v>49</v>
      </c>
      <c r="T738" s="2" t="s">
        <v>79</v>
      </c>
      <c r="U738" s="2">
        <v>2010</v>
      </c>
      <c r="X738" s="23">
        <v>5700</v>
      </c>
    </row>
    <row r="739" spans="1:24" x14ac:dyDescent="0.2">
      <c r="A739" s="2">
        <v>1709057</v>
      </c>
      <c r="B739" s="6">
        <v>42996.48986134259</v>
      </c>
      <c r="F739" s="2" t="s">
        <v>126</v>
      </c>
      <c r="G739" s="2" t="s">
        <v>126</v>
      </c>
      <c r="H739" s="2" t="s">
        <v>126</v>
      </c>
      <c r="I739" s="2" t="s">
        <v>126</v>
      </c>
      <c r="J739" s="2" t="s">
        <v>126</v>
      </c>
      <c r="K739" s="2" t="s">
        <v>8</v>
      </c>
      <c r="L739" s="2" t="s">
        <v>981</v>
      </c>
      <c r="M739" s="2" t="s">
        <v>66</v>
      </c>
      <c r="N739" s="2" t="s">
        <v>794</v>
      </c>
      <c r="O739" s="2" t="s">
        <v>68</v>
      </c>
      <c r="P739" s="5">
        <v>818908396</v>
      </c>
      <c r="R739" s="2" t="s">
        <v>796</v>
      </c>
      <c r="S739" s="2" t="s">
        <v>55</v>
      </c>
      <c r="T739" s="2" t="s">
        <v>56</v>
      </c>
      <c r="U739" s="2">
        <v>2012</v>
      </c>
      <c r="V739" s="6">
        <v>43249</v>
      </c>
      <c r="W739" s="3" t="s">
        <v>166</v>
      </c>
    </row>
    <row r="740" spans="1:24" x14ac:dyDescent="0.2">
      <c r="A740" s="2">
        <v>1709058</v>
      </c>
      <c r="B740" s="6">
        <v>42996.49601145833</v>
      </c>
      <c r="C740" s="6">
        <v>43006.54416539352</v>
      </c>
      <c r="D740" s="6">
        <v>43018</v>
      </c>
      <c r="E740" s="6">
        <v>43014</v>
      </c>
      <c r="F740" s="2" t="s">
        <v>26</v>
      </c>
      <c r="G740" s="2" t="s">
        <v>26</v>
      </c>
      <c r="H740" s="2" t="s">
        <v>26</v>
      </c>
      <c r="I740" s="2" t="s">
        <v>26</v>
      </c>
      <c r="J740" s="2" t="s">
        <v>26</v>
      </c>
      <c r="K740" s="2" t="s">
        <v>8</v>
      </c>
      <c r="L740" s="2" t="s">
        <v>27</v>
      </c>
      <c r="M740" s="2" t="s">
        <v>45</v>
      </c>
      <c r="N740" s="2" t="s">
        <v>2380</v>
      </c>
      <c r="O740" s="2" t="s">
        <v>68</v>
      </c>
      <c r="P740" s="5">
        <v>895446676</v>
      </c>
      <c r="R740" s="2" t="s">
        <v>2381</v>
      </c>
      <c r="S740" s="2" t="s">
        <v>64</v>
      </c>
      <c r="T740" s="2" t="s">
        <v>445</v>
      </c>
      <c r="U740" s="2">
        <v>2013</v>
      </c>
      <c r="V740" s="6">
        <v>43148</v>
      </c>
      <c r="W740" s="3" t="s">
        <v>266</v>
      </c>
      <c r="X740" s="23">
        <v>0</v>
      </c>
    </row>
    <row r="741" spans="1:24" x14ac:dyDescent="0.2">
      <c r="A741" s="2">
        <v>1709059</v>
      </c>
      <c r="B741" s="6">
        <v>42996.615582986109</v>
      </c>
      <c r="C741" s="6">
        <v>42996.626179513885</v>
      </c>
      <c r="D741" s="6">
        <v>43005</v>
      </c>
      <c r="E741" s="6">
        <v>43015</v>
      </c>
      <c r="F741" s="2" t="s">
        <v>26</v>
      </c>
      <c r="G741" s="2" t="s">
        <v>26</v>
      </c>
      <c r="H741" s="2" t="s">
        <v>26</v>
      </c>
      <c r="I741" s="2" t="s">
        <v>26</v>
      </c>
      <c r="J741" s="2" t="s">
        <v>26</v>
      </c>
      <c r="K741" s="2" t="s">
        <v>8</v>
      </c>
      <c r="L741" s="2" t="s">
        <v>27</v>
      </c>
      <c r="M741" s="2" t="s">
        <v>61</v>
      </c>
      <c r="N741" s="2" t="s">
        <v>2382</v>
      </c>
      <c r="O741" s="2" t="s">
        <v>128</v>
      </c>
      <c r="P741" s="5">
        <v>971699594</v>
      </c>
      <c r="Q741" s="5">
        <v>818468051</v>
      </c>
      <c r="R741" s="2" t="s">
        <v>2383</v>
      </c>
      <c r="S741" s="2" t="s">
        <v>49</v>
      </c>
      <c r="T741" s="2" t="s">
        <v>50</v>
      </c>
      <c r="U741" s="2">
        <v>2010</v>
      </c>
      <c r="V741" s="6">
        <v>42940</v>
      </c>
      <c r="W741" s="3" t="s">
        <v>509</v>
      </c>
      <c r="X741" s="23">
        <v>0</v>
      </c>
    </row>
    <row r="742" spans="1:24" x14ac:dyDescent="0.2">
      <c r="A742" s="2">
        <v>1709060</v>
      </c>
      <c r="B742" s="6">
        <v>42996.628679050926</v>
      </c>
      <c r="C742" s="6">
        <v>43024.633562962961</v>
      </c>
      <c r="D742" s="6">
        <v>43054</v>
      </c>
      <c r="F742" s="2">
        <v>29.36643703703885</v>
      </c>
      <c r="G742" s="2" t="s">
        <v>11</v>
      </c>
      <c r="H742" s="2" t="s">
        <v>122</v>
      </c>
      <c r="I742" s="2" t="s">
        <v>95</v>
      </c>
      <c r="J742" s="2" t="s">
        <v>95</v>
      </c>
      <c r="K742" s="2" t="s">
        <v>8</v>
      </c>
      <c r="L742" s="2" t="s">
        <v>73</v>
      </c>
      <c r="M742" s="2" t="s">
        <v>61</v>
      </c>
      <c r="N742" s="2" t="s">
        <v>2384</v>
      </c>
      <c r="P742" s="5">
        <v>863662649</v>
      </c>
      <c r="R742" s="2" t="s">
        <v>2385</v>
      </c>
      <c r="S742" s="2" t="s">
        <v>37</v>
      </c>
      <c r="T742" s="2" t="s">
        <v>102</v>
      </c>
      <c r="U742" s="2">
        <v>2011</v>
      </c>
      <c r="V742" s="6">
        <v>43039</v>
      </c>
      <c r="W742" s="3" t="s">
        <v>84</v>
      </c>
      <c r="X742" s="23">
        <v>22429.91</v>
      </c>
    </row>
    <row r="743" spans="1:24" x14ac:dyDescent="0.2">
      <c r="A743" s="2">
        <v>1709061</v>
      </c>
      <c r="B743" s="6">
        <v>42997.568173263891</v>
      </c>
      <c r="F743" s="2" t="s">
        <v>126</v>
      </c>
      <c r="G743" s="2" t="s">
        <v>126</v>
      </c>
      <c r="H743" s="2" t="s">
        <v>126</v>
      </c>
      <c r="I743" s="2" t="s">
        <v>126</v>
      </c>
      <c r="J743" s="2" t="s">
        <v>126</v>
      </c>
      <c r="K743" s="2" t="s">
        <v>8</v>
      </c>
      <c r="L743" s="2" t="s">
        <v>34</v>
      </c>
      <c r="M743" s="2" t="s">
        <v>28</v>
      </c>
      <c r="N743" s="2" t="s">
        <v>2386</v>
      </c>
      <c r="O743" s="2" t="s">
        <v>47</v>
      </c>
      <c r="P743" s="5">
        <v>833048865</v>
      </c>
      <c r="Q743" s="5">
        <v>800602274</v>
      </c>
      <c r="R743" s="2" t="s">
        <v>2387</v>
      </c>
      <c r="S743" s="2" t="s">
        <v>49</v>
      </c>
      <c r="T743" s="2" t="s">
        <v>79</v>
      </c>
      <c r="U743" s="2">
        <v>2012</v>
      </c>
    </row>
    <row r="744" spans="1:24" x14ac:dyDescent="0.2">
      <c r="A744" s="2">
        <v>1709062</v>
      </c>
      <c r="B744" s="6">
        <v>42997.597495717593</v>
      </c>
      <c r="F744" s="2" t="s">
        <v>126</v>
      </c>
      <c r="G744" s="2" t="s">
        <v>126</v>
      </c>
      <c r="H744" s="2" t="s">
        <v>126</v>
      </c>
      <c r="I744" s="2" t="s">
        <v>126</v>
      </c>
      <c r="J744" s="2" t="s">
        <v>126</v>
      </c>
      <c r="K744" s="2" t="s">
        <v>8</v>
      </c>
      <c r="L744" s="2" t="s">
        <v>170</v>
      </c>
      <c r="M744" s="2" t="s">
        <v>28</v>
      </c>
      <c r="N744" s="2" t="s">
        <v>2500</v>
      </c>
      <c r="O744" s="2" t="s">
        <v>107</v>
      </c>
      <c r="P744" s="5">
        <v>909931031</v>
      </c>
      <c r="R744" s="2" t="s">
        <v>2501</v>
      </c>
      <c r="S744" s="2" t="s">
        <v>55</v>
      </c>
      <c r="T744" s="2" t="s">
        <v>222</v>
      </c>
      <c r="U744" s="2">
        <v>2010</v>
      </c>
      <c r="V744" s="6">
        <v>43076</v>
      </c>
      <c r="W744" s="3" t="s">
        <v>33</v>
      </c>
    </row>
    <row r="745" spans="1:24" x14ac:dyDescent="0.2">
      <c r="A745" s="2">
        <v>1709063</v>
      </c>
      <c r="B745" s="6">
        <v>42997.723959722221</v>
      </c>
      <c r="F745" s="2" t="s">
        <v>126</v>
      </c>
      <c r="G745" s="2" t="s">
        <v>126</v>
      </c>
      <c r="H745" s="2" t="s">
        <v>126</v>
      </c>
      <c r="I745" s="2" t="s">
        <v>126</v>
      </c>
      <c r="J745" s="2" t="s">
        <v>126</v>
      </c>
      <c r="K745" s="2" t="s">
        <v>8</v>
      </c>
      <c r="L745" s="2" t="s">
        <v>981</v>
      </c>
      <c r="M745" s="2" t="s">
        <v>295</v>
      </c>
      <c r="N745" s="2" t="s">
        <v>2502</v>
      </c>
      <c r="P745" s="5">
        <v>847691562</v>
      </c>
      <c r="R745" s="2" t="s">
        <v>2503</v>
      </c>
      <c r="S745" s="2" t="s">
        <v>243</v>
      </c>
      <c r="T745" s="2" t="s">
        <v>456</v>
      </c>
      <c r="U745" s="2">
        <v>2013</v>
      </c>
    </row>
    <row r="746" spans="1:24" x14ac:dyDescent="0.2">
      <c r="A746" s="2">
        <v>1709064</v>
      </c>
      <c r="B746" s="6">
        <v>42998.700710532408</v>
      </c>
      <c r="F746" s="2" t="s">
        <v>126</v>
      </c>
      <c r="G746" s="2" t="s">
        <v>126</v>
      </c>
      <c r="H746" s="2" t="s">
        <v>126</v>
      </c>
      <c r="I746" s="2" t="s">
        <v>126</v>
      </c>
      <c r="J746" s="2" t="s">
        <v>126</v>
      </c>
      <c r="K746" s="2" t="s">
        <v>8</v>
      </c>
      <c r="L746" s="2" t="s">
        <v>981</v>
      </c>
      <c r="M746" s="2" t="s">
        <v>295</v>
      </c>
      <c r="N746" s="2" t="s">
        <v>2504</v>
      </c>
      <c r="O746" s="2" t="s">
        <v>520</v>
      </c>
      <c r="P746" s="5">
        <v>851810052</v>
      </c>
      <c r="R746" s="2" t="s">
        <v>2505</v>
      </c>
      <c r="S746" s="2" t="s">
        <v>49</v>
      </c>
      <c r="T746" s="2" t="s">
        <v>130</v>
      </c>
      <c r="U746" s="2">
        <v>2014</v>
      </c>
    </row>
    <row r="747" spans="1:24" x14ac:dyDescent="0.2">
      <c r="A747" s="2">
        <v>1709065</v>
      </c>
      <c r="B747" s="6">
        <v>42999.426573495373</v>
      </c>
      <c r="C747" s="6">
        <v>43013.842522569445</v>
      </c>
      <c r="D747" s="6">
        <v>43008</v>
      </c>
      <c r="E747" s="6">
        <v>43008</v>
      </c>
      <c r="F747" s="2" t="s">
        <v>26</v>
      </c>
      <c r="G747" s="2" t="s">
        <v>26</v>
      </c>
      <c r="H747" s="2" t="s">
        <v>26</v>
      </c>
      <c r="I747" s="2" t="s">
        <v>26</v>
      </c>
      <c r="J747" s="2" t="s">
        <v>26</v>
      </c>
      <c r="K747" s="2" t="s">
        <v>8</v>
      </c>
      <c r="L747" s="2" t="s">
        <v>34</v>
      </c>
      <c r="M747" s="2" t="s">
        <v>28</v>
      </c>
      <c r="N747" s="2" t="s">
        <v>2506</v>
      </c>
      <c r="O747" s="2" t="s">
        <v>41</v>
      </c>
      <c r="P747" s="5">
        <v>631641884</v>
      </c>
      <c r="R747" s="2" t="s">
        <v>2507</v>
      </c>
      <c r="S747" s="2" t="s">
        <v>31</v>
      </c>
      <c r="T747" s="2" t="s">
        <v>283</v>
      </c>
      <c r="U747" s="2">
        <v>2013</v>
      </c>
      <c r="X747" s="23">
        <v>5421.59</v>
      </c>
    </row>
    <row r="748" spans="1:24" x14ac:dyDescent="0.2">
      <c r="A748" s="2">
        <v>1709066</v>
      </c>
      <c r="B748" s="6">
        <v>42999.58292789352</v>
      </c>
      <c r="F748" s="2" t="s">
        <v>126</v>
      </c>
      <c r="G748" s="2" t="s">
        <v>126</v>
      </c>
      <c r="H748" s="2" t="s">
        <v>126</v>
      </c>
      <c r="I748" s="2" t="s">
        <v>126</v>
      </c>
      <c r="J748" s="2" t="s">
        <v>126</v>
      </c>
      <c r="K748" s="2" t="s">
        <v>8</v>
      </c>
      <c r="L748" s="2" t="s">
        <v>27</v>
      </c>
      <c r="M748" s="2" t="s">
        <v>126</v>
      </c>
      <c r="N748" s="2" t="s">
        <v>2508</v>
      </c>
      <c r="R748" s="2" t="s">
        <v>2509</v>
      </c>
      <c r="S748" s="2" t="s">
        <v>243</v>
      </c>
      <c r="T748" s="2" t="s">
        <v>456</v>
      </c>
    </row>
    <row r="749" spans="1:24" x14ac:dyDescent="0.2">
      <c r="A749" s="2">
        <v>1709067</v>
      </c>
      <c r="B749" s="6">
        <v>42999.598210995369</v>
      </c>
      <c r="C749" s="6">
        <v>43000.46879097222</v>
      </c>
      <c r="D749" s="6">
        <v>0</v>
      </c>
      <c r="E749" s="6">
        <v>43000.46958877315</v>
      </c>
      <c r="F749" s="2" t="s">
        <v>26</v>
      </c>
      <c r="G749" s="2" t="s">
        <v>26</v>
      </c>
      <c r="H749" s="2" t="s">
        <v>26</v>
      </c>
      <c r="I749" s="2" t="s">
        <v>26</v>
      </c>
      <c r="J749" s="2" t="s">
        <v>26</v>
      </c>
      <c r="K749" s="2" t="s">
        <v>269</v>
      </c>
      <c r="L749" s="2" t="s">
        <v>981</v>
      </c>
      <c r="M749" s="2" t="s">
        <v>126</v>
      </c>
      <c r="R749" s="2" t="s">
        <v>2510</v>
      </c>
      <c r="S749" s="2" t="s">
        <v>70</v>
      </c>
      <c r="T749" s="2" t="s">
        <v>988</v>
      </c>
      <c r="X749" s="23">
        <v>2100</v>
      </c>
    </row>
    <row r="750" spans="1:24" x14ac:dyDescent="0.2">
      <c r="A750" s="2">
        <v>1709068</v>
      </c>
      <c r="B750" s="6">
        <v>43000.487571180558</v>
      </c>
      <c r="F750" s="2" t="s">
        <v>126</v>
      </c>
      <c r="G750" s="2" t="s">
        <v>126</v>
      </c>
      <c r="H750" s="2" t="s">
        <v>126</v>
      </c>
      <c r="I750" s="2" t="s">
        <v>126</v>
      </c>
      <c r="J750" s="2" t="s">
        <v>126</v>
      </c>
      <c r="K750" s="2" t="s">
        <v>8</v>
      </c>
      <c r="L750" s="2" t="s">
        <v>170</v>
      </c>
      <c r="M750" s="2" t="s">
        <v>28</v>
      </c>
      <c r="N750" s="2" t="s">
        <v>2511</v>
      </c>
      <c r="P750" s="5">
        <v>972145469</v>
      </c>
      <c r="R750" s="2" t="s">
        <v>2512</v>
      </c>
      <c r="S750" s="2" t="s">
        <v>31</v>
      </c>
      <c r="T750" s="2" t="s">
        <v>283</v>
      </c>
    </row>
    <row r="751" spans="1:24" x14ac:dyDescent="0.2">
      <c r="A751" s="2">
        <v>1709069</v>
      </c>
      <c r="B751" s="6">
        <v>43000.608737731483</v>
      </c>
      <c r="F751" s="2" t="s">
        <v>126</v>
      </c>
      <c r="G751" s="2" t="s">
        <v>126</v>
      </c>
      <c r="H751" s="2" t="s">
        <v>126</v>
      </c>
      <c r="I751" s="2" t="s">
        <v>126</v>
      </c>
      <c r="J751" s="2" t="s">
        <v>126</v>
      </c>
      <c r="K751" s="2" t="s">
        <v>8</v>
      </c>
      <c r="L751" s="2" t="s">
        <v>27</v>
      </c>
      <c r="M751" s="2" t="s">
        <v>61</v>
      </c>
      <c r="N751" s="2" t="s">
        <v>2513</v>
      </c>
      <c r="O751" s="2" t="s">
        <v>254</v>
      </c>
      <c r="P751" s="5">
        <v>864749746</v>
      </c>
      <c r="R751" s="2" t="s">
        <v>2514</v>
      </c>
      <c r="S751" s="2" t="s">
        <v>55</v>
      </c>
      <c r="T751" s="2" t="s">
        <v>222</v>
      </c>
      <c r="U751" s="2">
        <v>2010</v>
      </c>
    </row>
    <row r="752" spans="1:24" x14ac:dyDescent="0.2">
      <c r="A752" s="2">
        <v>1709070</v>
      </c>
      <c r="B752" s="6">
        <v>43000.611235069446</v>
      </c>
      <c r="F752" s="2" t="s">
        <v>126</v>
      </c>
      <c r="G752" s="2" t="s">
        <v>126</v>
      </c>
      <c r="H752" s="2" t="s">
        <v>126</v>
      </c>
      <c r="I752" s="2" t="s">
        <v>126</v>
      </c>
      <c r="J752" s="2" t="s">
        <v>126</v>
      </c>
      <c r="K752" s="2" t="s">
        <v>8</v>
      </c>
      <c r="L752" s="2" t="s">
        <v>27</v>
      </c>
      <c r="M752" s="2" t="s">
        <v>295</v>
      </c>
      <c r="N752" s="2" t="s">
        <v>2515</v>
      </c>
      <c r="O752" s="2" t="s">
        <v>41</v>
      </c>
      <c r="P752" s="5">
        <v>945051931</v>
      </c>
      <c r="R752" s="2" t="s">
        <v>2516</v>
      </c>
      <c r="S752" s="2" t="s">
        <v>49</v>
      </c>
      <c r="T752" s="2" t="s">
        <v>79</v>
      </c>
      <c r="U752" s="2">
        <v>2008</v>
      </c>
      <c r="V752" s="6">
        <v>43201</v>
      </c>
      <c r="W752" s="3" t="s">
        <v>219</v>
      </c>
    </row>
    <row r="753" spans="1:24" x14ac:dyDescent="0.2">
      <c r="A753" s="2">
        <v>1709071</v>
      </c>
      <c r="B753" s="6">
        <v>43001.490115509259</v>
      </c>
      <c r="C753" s="6">
        <v>43001.491080902779</v>
      </c>
      <c r="D753" s="6">
        <v>0</v>
      </c>
      <c r="F753" s="2">
        <v>-43001.491080902779</v>
      </c>
      <c r="G753" s="2" t="s">
        <v>11</v>
      </c>
      <c r="H753" s="2" t="s">
        <v>93</v>
      </c>
      <c r="I753" s="2" t="s">
        <v>95</v>
      </c>
      <c r="J753" s="2" t="s">
        <v>95</v>
      </c>
      <c r="K753" s="2" t="s">
        <v>269</v>
      </c>
      <c r="L753" s="2" t="s">
        <v>27</v>
      </c>
      <c r="M753" s="2" t="s">
        <v>126</v>
      </c>
      <c r="N753" s="2" t="s">
        <v>2517</v>
      </c>
      <c r="O753" s="2" t="s">
        <v>128</v>
      </c>
      <c r="P753" s="5">
        <v>894928725</v>
      </c>
      <c r="R753" s="2" t="s">
        <v>2518</v>
      </c>
      <c r="S753" s="2" t="s">
        <v>49</v>
      </c>
      <c r="T753" s="2" t="s">
        <v>111</v>
      </c>
      <c r="U753" s="2">
        <v>2004</v>
      </c>
      <c r="X753" s="23">
        <v>0</v>
      </c>
    </row>
    <row r="754" spans="1:24" x14ac:dyDescent="0.2">
      <c r="A754" s="2">
        <v>1709072</v>
      </c>
      <c r="B754" s="6">
        <v>43001.628783912034</v>
      </c>
      <c r="C754" s="6">
        <v>43001.633354282407</v>
      </c>
      <c r="D754" s="6">
        <v>0</v>
      </c>
      <c r="E754" s="6">
        <v>43021</v>
      </c>
      <c r="F754" s="2" t="s">
        <v>26</v>
      </c>
      <c r="G754" s="2" t="s">
        <v>26</v>
      </c>
      <c r="H754" s="2" t="s">
        <v>26</v>
      </c>
      <c r="I754" s="2" t="s">
        <v>26</v>
      </c>
      <c r="J754" s="2" t="s">
        <v>26</v>
      </c>
      <c r="K754" s="2" t="s">
        <v>8</v>
      </c>
      <c r="L754" s="2" t="s">
        <v>73</v>
      </c>
      <c r="M754" s="2" t="s">
        <v>28</v>
      </c>
      <c r="N754" s="2" t="s">
        <v>2519</v>
      </c>
      <c r="O754" s="2" t="s">
        <v>68</v>
      </c>
      <c r="P754" s="5">
        <v>835481413</v>
      </c>
      <c r="R754" s="2" t="s">
        <v>2520</v>
      </c>
      <c r="S754" s="2" t="s">
        <v>49</v>
      </c>
      <c r="T754" s="2" t="s">
        <v>2521</v>
      </c>
      <c r="U754" s="2">
        <v>2004</v>
      </c>
      <c r="V754" s="6">
        <v>43296</v>
      </c>
      <c r="W754" s="3" t="s">
        <v>775</v>
      </c>
      <c r="X754" s="23">
        <v>0</v>
      </c>
    </row>
    <row r="755" spans="1:24" x14ac:dyDescent="0.2">
      <c r="A755" s="2">
        <v>1709073</v>
      </c>
      <c r="B755" s="6">
        <v>43001.711719560182</v>
      </c>
      <c r="C755" s="6">
        <v>43018.674606597226</v>
      </c>
      <c r="F755" s="2" t="s">
        <v>92</v>
      </c>
      <c r="G755" s="2" t="s">
        <v>11</v>
      </c>
      <c r="H755" s="2" t="s">
        <v>179</v>
      </c>
      <c r="I755" s="2" t="s">
        <v>94</v>
      </c>
      <c r="J755" s="2" t="s">
        <v>95</v>
      </c>
      <c r="K755" s="2" t="s">
        <v>8</v>
      </c>
      <c r="L755" s="2" t="s">
        <v>981</v>
      </c>
      <c r="M755" s="2" t="s">
        <v>45</v>
      </c>
      <c r="N755" s="2" t="s">
        <v>2522</v>
      </c>
      <c r="P755" s="5">
        <v>890036067</v>
      </c>
      <c r="R755" s="2" t="s">
        <v>2523</v>
      </c>
      <c r="S755" s="2" t="s">
        <v>49</v>
      </c>
      <c r="T755" s="2" t="s">
        <v>151</v>
      </c>
      <c r="U755" s="2">
        <v>2005</v>
      </c>
      <c r="X755" s="23">
        <v>1800</v>
      </c>
    </row>
    <row r="756" spans="1:24" x14ac:dyDescent="0.2">
      <c r="A756" s="2">
        <v>1709074</v>
      </c>
      <c r="B756" s="6">
        <v>43003.54633287037</v>
      </c>
      <c r="C756" s="6">
        <v>43003.659514583334</v>
      </c>
      <c r="D756" s="6">
        <v>0</v>
      </c>
      <c r="F756" s="2">
        <v>-43003.659514583334</v>
      </c>
      <c r="G756" s="2" t="s">
        <v>11</v>
      </c>
      <c r="H756" s="2" t="s">
        <v>365</v>
      </c>
      <c r="I756" s="2" t="s">
        <v>95</v>
      </c>
      <c r="J756" s="2" t="s">
        <v>95</v>
      </c>
      <c r="K756" s="2" t="s">
        <v>8</v>
      </c>
      <c r="L756" s="2" t="s">
        <v>73</v>
      </c>
      <c r="M756" s="2" t="s">
        <v>66</v>
      </c>
      <c r="N756" s="2" t="s">
        <v>2654</v>
      </c>
      <c r="O756" s="2" t="s">
        <v>120</v>
      </c>
      <c r="P756" s="5">
        <v>818228587</v>
      </c>
      <c r="R756" s="2" t="s">
        <v>2655</v>
      </c>
      <c r="S756" s="2" t="s">
        <v>49</v>
      </c>
      <c r="X756" s="23">
        <v>0</v>
      </c>
    </row>
    <row r="757" spans="1:24" x14ac:dyDescent="0.2">
      <c r="A757" s="2">
        <v>1709075</v>
      </c>
      <c r="B757" s="6">
        <v>43003.61527199074</v>
      </c>
      <c r="C757" s="6">
        <v>43021.561861574075</v>
      </c>
      <c r="F757" s="2" t="s">
        <v>92</v>
      </c>
      <c r="G757" s="2" t="s">
        <v>11</v>
      </c>
      <c r="H757" s="2" t="s">
        <v>365</v>
      </c>
      <c r="I757" s="2" t="s">
        <v>107</v>
      </c>
      <c r="J757" s="2" t="s">
        <v>95</v>
      </c>
      <c r="K757" s="2" t="s">
        <v>8</v>
      </c>
      <c r="L757" s="2" t="s">
        <v>981</v>
      </c>
      <c r="M757" s="2" t="s">
        <v>81</v>
      </c>
      <c r="N757" s="2" t="s">
        <v>2656</v>
      </c>
      <c r="O757" s="2" t="s">
        <v>68</v>
      </c>
      <c r="P757" s="5">
        <v>815594926</v>
      </c>
      <c r="R757" s="2" t="s">
        <v>2657</v>
      </c>
      <c r="S757" s="2" t="s">
        <v>49</v>
      </c>
      <c r="T757" s="2" t="s">
        <v>79</v>
      </c>
      <c r="U757" s="2">
        <v>2011</v>
      </c>
      <c r="V757" s="6">
        <v>43168</v>
      </c>
      <c r="W757" s="3" t="s">
        <v>155</v>
      </c>
      <c r="X757" s="23">
        <v>5120</v>
      </c>
    </row>
    <row r="758" spans="1:24" x14ac:dyDescent="0.2">
      <c r="A758" s="2">
        <v>1709076</v>
      </c>
      <c r="B758" s="6">
        <v>43003.617097685186</v>
      </c>
      <c r="C758" s="6">
        <v>43010.583623842591</v>
      </c>
      <c r="D758" s="6">
        <v>0</v>
      </c>
      <c r="F758" s="2">
        <v>-43010.583623842591</v>
      </c>
      <c r="G758" s="2" t="s">
        <v>11</v>
      </c>
      <c r="H758" s="2" t="s">
        <v>173</v>
      </c>
      <c r="I758" s="2" t="s">
        <v>94</v>
      </c>
      <c r="J758" s="2" t="s">
        <v>95</v>
      </c>
      <c r="K758" s="2" t="s">
        <v>8</v>
      </c>
      <c r="L758" s="2" t="s">
        <v>27</v>
      </c>
      <c r="M758" s="2" t="s">
        <v>28</v>
      </c>
      <c r="N758" s="2" t="s">
        <v>2658</v>
      </c>
      <c r="O758" s="2" t="s">
        <v>128</v>
      </c>
      <c r="P758" s="5">
        <v>899627163</v>
      </c>
      <c r="R758" s="2" t="s">
        <v>2659</v>
      </c>
      <c r="S758" s="2" t="s">
        <v>31</v>
      </c>
      <c r="T758" s="2" t="s">
        <v>283</v>
      </c>
      <c r="U758" s="2">
        <v>2013</v>
      </c>
      <c r="X758" s="23">
        <v>12710.29</v>
      </c>
    </row>
    <row r="759" spans="1:24" x14ac:dyDescent="0.2">
      <c r="A759" s="2">
        <v>1709077</v>
      </c>
      <c r="B759" s="6">
        <v>43003.628680902781</v>
      </c>
      <c r="F759" s="2" t="s">
        <v>126</v>
      </c>
      <c r="G759" s="2" t="s">
        <v>126</v>
      </c>
      <c r="H759" s="2" t="s">
        <v>126</v>
      </c>
      <c r="I759" s="2" t="s">
        <v>126</v>
      </c>
      <c r="J759" s="2" t="s">
        <v>126</v>
      </c>
      <c r="K759" s="2" t="s">
        <v>8</v>
      </c>
      <c r="L759" s="2" t="s">
        <v>27</v>
      </c>
      <c r="M759" s="2" t="s">
        <v>28</v>
      </c>
      <c r="N759" s="2" t="s">
        <v>2660</v>
      </c>
      <c r="O759" s="2" t="s">
        <v>2661</v>
      </c>
      <c r="P759" s="5">
        <v>892061085</v>
      </c>
      <c r="R759" s="2" t="s">
        <v>2662</v>
      </c>
      <c r="S759" s="2" t="s">
        <v>31</v>
      </c>
      <c r="T759" s="2" t="s">
        <v>834</v>
      </c>
      <c r="U759" s="2">
        <v>2012</v>
      </c>
      <c r="V759" s="6">
        <v>43033</v>
      </c>
      <c r="W759" s="3" t="s">
        <v>266</v>
      </c>
    </row>
    <row r="760" spans="1:24" x14ac:dyDescent="0.2">
      <c r="A760" s="2">
        <v>1709078</v>
      </c>
      <c r="B760" s="6">
        <v>43003.633295023152</v>
      </c>
      <c r="F760" s="2" t="s">
        <v>126</v>
      </c>
      <c r="G760" s="2" t="s">
        <v>126</v>
      </c>
      <c r="H760" s="2" t="s">
        <v>126</v>
      </c>
      <c r="I760" s="2" t="s">
        <v>126</v>
      </c>
      <c r="J760" s="2" t="s">
        <v>126</v>
      </c>
      <c r="K760" s="2" t="s">
        <v>8</v>
      </c>
      <c r="L760" s="2" t="s">
        <v>34</v>
      </c>
      <c r="M760" s="2" t="s">
        <v>28</v>
      </c>
      <c r="N760" s="2" t="s">
        <v>2663</v>
      </c>
      <c r="O760" s="2" t="s">
        <v>120</v>
      </c>
      <c r="P760" s="5">
        <v>815523757</v>
      </c>
      <c r="R760" s="2" t="s">
        <v>2664</v>
      </c>
      <c r="S760" s="2" t="s">
        <v>49</v>
      </c>
      <c r="V760" s="6">
        <v>43275</v>
      </c>
      <c r="W760" s="3" t="s">
        <v>775</v>
      </c>
    </row>
    <row r="761" spans="1:24" x14ac:dyDescent="0.2">
      <c r="A761" s="2">
        <v>1709079</v>
      </c>
      <c r="B761" s="6">
        <v>43004.655787037038</v>
      </c>
      <c r="C761" s="6">
        <v>43017.495302083335</v>
      </c>
      <c r="F761" s="2" t="s">
        <v>92</v>
      </c>
      <c r="G761" s="2" t="s">
        <v>11</v>
      </c>
      <c r="H761" s="2" t="s">
        <v>206</v>
      </c>
      <c r="I761" s="2" t="s">
        <v>95</v>
      </c>
      <c r="J761" s="2" t="s">
        <v>95</v>
      </c>
      <c r="K761" s="2" t="s">
        <v>8</v>
      </c>
      <c r="L761" s="2" t="s">
        <v>73</v>
      </c>
      <c r="M761" s="2" t="s">
        <v>81</v>
      </c>
      <c r="N761" s="2" t="s">
        <v>2665</v>
      </c>
      <c r="O761" s="2" t="s">
        <v>114</v>
      </c>
      <c r="P761" s="5">
        <v>894045495</v>
      </c>
      <c r="R761" s="2" t="s">
        <v>2666</v>
      </c>
      <c r="S761" s="2" t="s">
        <v>31</v>
      </c>
      <c r="T761" s="2" t="s">
        <v>283</v>
      </c>
      <c r="U761" s="2">
        <v>2011</v>
      </c>
      <c r="V761" s="6">
        <v>43370</v>
      </c>
      <c r="W761" s="3" t="s">
        <v>974</v>
      </c>
      <c r="X761" s="23">
        <v>25348</v>
      </c>
    </row>
    <row r="762" spans="1:24" x14ac:dyDescent="0.2">
      <c r="A762" s="2">
        <v>1709080</v>
      </c>
      <c r="B762" s="6">
        <v>43004.693136805552</v>
      </c>
      <c r="F762" s="2" t="s">
        <v>126</v>
      </c>
      <c r="G762" s="2" t="s">
        <v>126</v>
      </c>
      <c r="H762" s="2" t="s">
        <v>126</v>
      </c>
      <c r="I762" s="2" t="s">
        <v>126</v>
      </c>
      <c r="J762" s="2" t="s">
        <v>126</v>
      </c>
      <c r="K762" s="2" t="s">
        <v>8</v>
      </c>
      <c r="L762" s="2" t="s">
        <v>27</v>
      </c>
      <c r="M762" s="2" t="s">
        <v>28</v>
      </c>
      <c r="N762" s="2" t="s">
        <v>753</v>
      </c>
      <c r="O762" s="2" t="s">
        <v>239</v>
      </c>
      <c r="P762" s="5">
        <v>868199479</v>
      </c>
      <c r="R762" s="2" t="s">
        <v>754</v>
      </c>
      <c r="S762" s="2" t="s">
        <v>49</v>
      </c>
      <c r="T762" s="2" t="s">
        <v>2667</v>
      </c>
      <c r="U762" s="2">
        <v>2014</v>
      </c>
    </row>
    <row r="763" spans="1:24" x14ac:dyDescent="0.2">
      <c r="A763" s="2">
        <v>1709081</v>
      </c>
      <c r="B763" s="6">
        <v>43004.696583680554</v>
      </c>
      <c r="F763" s="2" t="s">
        <v>126</v>
      </c>
      <c r="G763" s="2" t="s">
        <v>126</v>
      </c>
      <c r="H763" s="2" t="s">
        <v>126</v>
      </c>
      <c r="I763" s="2" t="s">
        <v>126</v>
      </c>
      <c r="J763" s="2" t="s">
        <v>126</v>
      </c>
      <c r="K763" s="2" t="s">
        <v>8</v>
      </c>
      <c r="L763" s="2" t="s">
        <v>981</v>
      </c>
      <c r="M763" s="2" t="s">
        <v>118</v>
      </c>
      <c r="N763" s="2" t="s">
        <v>2668</v>
      </c>
      <c r="O763" s="2" t="s">
        <v>128</v>
      </c>
      <c r="P763" s="5">
        <v>971542299</v>
      </c>
      <c r="R763" s="2" t="s">
        <v>2669</v>
      </c>
      <c r="S763" s="2" t="s">
        <v>49</v>
      </c>
      <c r="T763" s="2" t="s">
        <v>50</v>
      </c>
      <c r="U763" s="2">
        <v>2010</v>
      </c>
      <c r="V763" s="6">
        <v>43011</v>
      </c>
      <c r="W763" s="3" t="s">
        <v>1018</v>
      </c>
    </row>
    <row r="764" spans="1:24" x14ac:dyDescent="0.2">
      <c r="A764" s="2">
        <v>1709082</v>
      </c>
      <c r="B764" s="6">
        <v>43004.719820949074</v>
      </c>
      <c r="F764" s="2" t="s">
        <v>126</v>
      </c>
      <c r="G764" s="2" t="s">
        <v>126</v>
      </c>
      <c r="H764" s="2" t="s">
        <v>126</v>
      </c>
      <c r="I764" s="2" t="s">
        <v>126</v>
      </c>
      <c r="J764" s="2" t="s">
        <v>126</v>
      </c>
      <c r="K764" s="2" t="s">
        <v>8</v>
      </c>
      <c r="L764" s="2" t="s">
        <v>73</v>
      </c>
      <c r="M764" s="2" t="s">
        <v>295</v>
      </c>
      <c r="N764" s="2" t="s">
        <v>2670</v>
      </c>
      <c r="O764" s="2" t="s">
        <v>68</v>
      </c>
      <c r="P764" s="5">
        <v>897916542</v>
      </c>
      <c r="R764" s="2" t="s">
        <v>2671</v>
      </c>
      <c r="S764" s="2" t="s">
        <v>49</v>
      </c>
      <c r="T764" s="2" t="s">
        <v>151</v>
      </c>
      <c r="U764" s="2">
        <v>2010</v>
      </c>
      <c r="V764" s="6">
        <v>43006</v>
      </c>
      <c r="W764" s="3" t="s">
        <v>2672</v>
      </c>
    </row>
    <row r="765" spans="1:24" x14ac:dyDescent="0.2">
      <c r="A765" s="2">
        <v>1709083</v>
      </c>
      <c r="B765" s="6">
        <v>43004.721507754628</v>
      </c>
      <c r="F765" s="2" t="s">
        <v>126</v>
      </c>
      <c r="G765" s="2" t="s">
        <v>126</v>
      </c>
      <c r="H765" s="2" t="s">
        <v>126</v>
      </c>
      <c r="I765" s="2" t="s">
        <v>126</v>
      </c>
      <c r="J765" s="2" t="s">
        <v>126</v>
      </c>
      <c r="K765" s="2" t="s">
        <v>8</v>
      </c>
      <c r="L765" s="2" t="s">
        <v>981</v>
      </c>
      <c r="M765" s="2" t="s">
        <v>45</v>
      </c>
      <c r="N765" s="2" t="s">
        <v>2673</v>
      </c>
      <c r="O765" s="2" t="s">
        <v>128</v>
      </c>
      <c r="P765" s="5">
        <v>831222271</v>
      </c>
      <c r="R765" s="2" t="s">
        <v>2674</v>
      </c>
      <c r="S765" s="2" t="s">
        <v>49</v>
      </c>
      <c r="T765" s="2" t="s">
        <v>79</v>
      </c>
      <c r="U765" s="2">
        <v>2006</v>
      </c>
      <c r="V765" s="6">
        <v>43090</v>
      </c>
      <c r="W765" s="3">
        <v>2100000</v>
      </c>
    </row>
    <row r="766" spans="1:24" x14ac:dyDescent="0.2">
      <c r="A766" s="2">
        <v>1709084</v>
      </c>
      <c r="B766" s="6">
        <v>43005.668519907405</v>
      </c>
      <c r="C766" s="6">
        <v>43006.553110069442</v>
      </c>
      <c r="D766" s="6">
        <v>43010</v>
      </c>
      <c r="E766" s="6">
        <v>43008</v>
      </c>
      <c r="F766" s="2" t="s">
        <v>26</v>
      </c>
      <c r="G766" s="2" t="s">
        <v>26</v>
      </c>
      <c r="H766" s="2" t="s">
        <v>26</v>
      </c>
      <c r="I766" s="2" t="s">
        <v>26</v>
      </c>
      <c r="J766" s="2" t="s">
        <v>26</v>
      </c>
      <c r="K766" s="2" t="s">
        <v>8</v>
      </c>
      <c r="L766" s="2" t="s">
        <v>34</v>
      </c>
      <c r="M766" s="2" t="s">
        <v>28</v>
      </c>
      <c r="N766" s="2" t="s">
        <v>2675</v>
      </c>
      <c r="O766" s="2" t="s">
        <v>239</v>
      </c>
      <c r="P766" s="5">
        <v>984046499</v>
      </c>
      <c r="R766" s="2" t="s">
        <v>2676</v>
      </c>
      <c r="S766" s="2" t="s">
        <v>49</v>
      </c>
      <c r="T766" s="2" t="s">
        <v>130</v>
      </c>
      <c r="U766" s="2">
        <v>2009</v>
      </c>
      <c r="V766" s="6">
        <v>43326</v>
      </c>
      <c r="W766" s="3" t="s">
        <v>44</v>
      </c>
      <c r="X766" s="23">
        <v>0</v>
      </c>
    </row>
    <row r="767" spans="1:24" x14ac:dyDescent="0.2">
      <c r="A767" s="2">
        <v>1709085</v>
      </c>
      <c r="B767" s="6">
        <v>43005.6769599537</v>
      </c>
      <c r="C767" s="6">
        <v>43018.689300810183</v>
      </c>
      <c r="F767" s="2" t="s">
        <v>92</v>
      </c>
      <c r="G767" s="2" t="s">
        <v>11</v>
      </c>
      <c r="H767" s="2" t="s">
        <v>206</v>
      </c>
      <c r="I767" s="2" t="s">
        <v>95</v>
      </c>
      <c r="J767" s="2" t="s">
        <v>95</v>
      </c>
      <c r="K767" s="2" t="s">
        <v>8</v>
      </c>
      <c r="L767" s="2" t="s">
        <v>73</v>
      </c>
      <c r="M767" s="2" t="s">
        <v>66</v>
      </c>
      <c r="N767" s="2" t="s">
        <v>2677</v>
      </c>
      <c r="P767" s="5">
        <v>909075377</v>
      </c>
      <c r="R767" s="2" t="s">
        <v>2678</v>
      </c>
      <c r="S767" s="2" t="s">
        <v>31</v>
      </c>
      <c r="T767" s="2" t="s">
        <v>283</v>
      </c>
      <c r="U767" s="2">
        <v>2008</v>
      </c>
      <c r="V767" s="6">
        <v>43070</v>
      </c>
      <c r="W767" s="3" t="s">
        <v>106</v>
      </c>
      <c r="X767" s="23">
        <v>21610</v>
      </c>
    </row>
    <row r="768" spans="1:24" x14ac:dyDescent="0.2">
      <c r="A768" s="2">
        <v>1709086</v>
      </c>
      <c r="B768" s="6">
        <v>43005.680677199074</v>
      </c>
      <c r="F768" s="2" t="s">
        <v>126</v>
      </c>
      <c r="G768" s="2" t="s">
        <v>126</v>
      </c>
      <c r="H768" s="2" t="s">
        <v>126</v>
      </c>
      <c r="I768" s="2" t="s">
        <v>126</v>
      </c>
      <c r="J768" s="2" t="s">
        <v>126</v>
      </c>
      <c r="K768" s="2" t="s">
        <v>8</v>
      </c>
      <c r="L768" s="2" t="s">
        <v>981</v>
      </c>
      <c r="M768" s="2" t="s">
        <v>28</v>
      </c>
      <c r="N768" s="2" t="s">
        <v>2679</v>
      </c>
      <c r="P768" s="5">
        <v>943374097</v>
      </c>
      <c r="R768" s="2" t="s">
        <v>2680</v>
      </c>
      <c r="S768" s="2" t="s">
        <v>49</v>
      </c>
      <c r="T768" s="2" t="s">
        <v>130</v>
      </c>
      <c r="U768" s="2">
        <v>2011</v>
      </c>
    </row>
    <row r="769" spans="1:24" x14ac:dyDescent="0.2">
      <c r="A769" s="2">
        <v>1709087</v>
      </c>
      <c r="B769" s="6">
        <v>43006.54666064815</v>
      </c>
      <c r="C769" s="6">
        <v>43006.548386689814</v>
      </c>
      <c r="D769" s="6">
        <v>43022</v>
      </c>
      <c r="E769" s="6">
        <v>43022</v>
      </c>
      <c r="F769" s="2" t="s">
        <v>26</v>
      </c>
      <c r="G769" s="2" t="s">
        <v>26</v>
      </c>
      <c r="H769" s="2" t="s">
        <v>26</v>
      </c>
      <c r="I769" s="2" t="s">
        <v>26</v>
      </c>
      <c r="J769" s="2" t="s">
        <v>26</v>
      </c>
      <c r="K769" s="2" t="s">
        <v>8</v>
      </c>
      <c r="L769" s="2" t="s">
        <v>27</v>
      </c>
      <c r="M769" s="2" t="s">
        <v>378</v>
      </c>
      <c r="N769" s="2" t="s">
        <v>2681</v>
      </c>
      <c r="O769" s="2" t="s">
        <v>2682</v>
      </c>
      <c r="P769" s="5">
        <v>815165465</v>
      </c>
      <c r="Q769" s="5">
        <v>815145264</v>
      </c>
      <c r="R769" s="2" t="s">
        <v>2683</v>
      </c>
      <c r="S769" s="2" t="s">
        <v>55</v>
      </c>
      <c r="T769" s="2" t="s">
        <v>56</v>
      </c>
      <c r="U769" s="2">
        <v>2008</v>
      </c>
      <c r="V769" s="6">
        <v>43039</v>
      </c>
      <c r="W769" s="3" t="s">
        <v>99</v>
      </c>
      <c r="X769" s="23">
        <v>0</v>
      </c>
    </row>
    <row r="770" spans="1:24" x14ac:dyDescent="0.2">
      <c r="A770" s="2">
        <v>1709088</v>
      </c>
      <c r="B770" s="6">
        <v>43006.633775578703</v>
      </c>
      <c r="F770" s="2" t="s">
        <v>126</v>
      </c>
      <c r="G770" s="2" t="s">
        <v>126</v>
      </c>
      <c r="H770" s="2" t="s">
        <v>126</v>
      </c>
      <c r="I770" s="2" t="s">
        <v>126</v>
      </c>
      <c r="J770" s="2" t="s">
        <v>126</v>
      </c>
      <c r="K770" s="2" t="s">
        <v>8</v>
      </c>
      <c r="L770" s="2" t="s">
        <v>981</v>
      </c>
      <c r="M770" s="2" t="s">
        <v>61</v>
      </c>
      <c r="N770" s="2" t="s">
        <v>2684</v>
      </c>
      <c r="P770" s="5">
        <v>863838429</v>
      </c>
      <c r="R770" s="2" t="s">
        <v>2685</v>
      </c>
      <c r="S770" s="2" t="s">
        <v>55</v>
      </c>
      <c r="T770" s="2" t="s">
        <v>76</v>
      </c>
      <c r="U770" s="2">
        <v>2010</v>
      </c>
      <c r="V770" s="6">
        <v>43170</v>
      </c>
      <c r="W770" s="3" t="s">
        <v>342</v>
      </c>
    </row>
    <row r="771" spans="1:24" x14ac:dyDescent="0.2">
      <c r="A771" s="2">
        <v>1709089</v>
      </c>
      <c r="B771" s="6">
        <v>43007.379737037038</v>
      </c>
      <c r="F771" s="2" t="s">
        <v>126</v>
      </c>
      <c r="G771" s="2" t="s">
        <v>126</v>
      </c>
      <c r="H771" s="2" t="s">
        <v>126</v>
      </c>
      <c r="I771" s="2" t="s">
        <v>126</v>
      </c>
      <c r="J771" s="2" t="s">
        <v>126</v>
      </c>
      <c r="K771" s="2" t="s">
        <v>8</v>
      </c>
      <c r="L771" s="2" t="s">
        <v>73</v>
      </c>
      <c r="M771" s="2" t="s">
        <v>66</v>
      </c>
      <c r="N771" s="2" t="s">
        <v>2686</v>
      </c>
      <c r="O771" s="2" t="s">
        <v>2687</v>
      </c>
      <c r="P771" s="5">
        <v>892004048</v>
      </c>
      <c r="R771" s="2" t="s">
        <v>2688</v>
      </c>
      <c r="S771" s="2" t="s">
        <v>133</v>
      </c>
      <c r="T771" s="2" t="s">
        <v>2689</v>
      </c>
      <c r="U771" s="2">
        <v>2013</v>
      </c>
      <c r="V771" s="6">
        <v>43109</v>
      </c>
      <c r="W771" s="3" t="s">
        <v>457</v>
      </c>
    </row>
    <row r="772" spans="1:24" x14ac:dyDescent="0.2">
      <c r="A772" s="2">
        <v>1709090</v>
      </c>
      <c r="B772" s="6">
        <v>43007.542143055558</v>
      </c>
      <c r="C772" s="6">
        <v>43018.720223379627</v>
      </c>
      <c r="F772" s="2" t="s">
        <v>92</v>
      </c>
      <c r="G772" s="2" t="s">
        <v>11</v>
      </c>
      <c r="H772" s="2" t="s">
        <v>95</v>
      </c>
      <c r="I772" s="2" t="s">
        <v>95</v>
      </c>
      <c r="J772" s="2" t="s">
        <v>95</v>
      </c>
      <c r="K772" s="2" t="s">
        <v>8</v>
      </c>
      <c r="L772" s="2" t="s">
        <v>170</v>
      </c>
      <c r="M772" s="2" t="s">
        <v>28</v>
      </c>
      <c r="N772" s="2" t="s">
        <v>2690</v>
      </c>
      <c r="O772" s="2" t="s">
        <v>217</v>
      </c>
      <c r="P772" s="5">
        <v>818142343</v>
      </c>
      <c r="R772" s="2" t="s">
        <v>2691</v>
      </c>
      <c r="S772" s="2" t="s">
        <v>133</v>
      </c>
      <c r="X772" s="23">
        <v>0</v>
      </c>
    </row>
    <row r="773" spans="1:24" x14ac:dyDescent="0.2">
      <c r="A773" s="2">
        <v>1709091</v>
      </c>
      <c r="B773" s="6">
        <v>43007.666134490741</v>
      </c>
      <c r="F773" s="2" t="s">
        <v>126</v>
      </c>
      <c r="G773" s="2" t="s">
        <v>126</v>
      </c>
      <c r="H773" s="2" t="s">
        <v>126</v>
      </c>
      <c r="I773" s="2" t="s">
        <v>126</v>
      </c>
      <c r="J773" s="2" t="s">
        <v>126</v>
      </c>
      <c r="K773" s="2" t="s">
        <v>8</v>
      </c>
      <c r="L773" s="2" t="s">
        <v>34</v>
      </c>
      <c r="M773" s="2" t="s">
        <v>66</v>
      </c>
      <c r="N773" s="2" t="s">
        <v>2692</v>
      </c>
      <c r="O773" s="2" t="s">
        <v>114</v>
      </c>
      <c r="P773" s="5">
        <v>819288796</v>
      </c>
      <c r="R773" s="2" t="s">
        <v>2693</v>
      </c>
      <c r="S773" s="2" t="s">
        <v>31</v>
      </c>
      <c r="T773" s="2" t="s">
        <v>283</v>
      </c>
      <c r="U773" s="2">
        <v>2008</v>
      </c>
    </row>
    <row r="774" spans="1:24" x14ac:dyDescent="0.2">
      <c r="A774" s="2">
        <v>1709092</v>
      </c>
      <c r="B774" s="6">
        <v>43007.713574652778</v>
      </c>
      <c r="F774" s="2" t="s">
        <v>126</v>
      </c>
      <c r="G774" s="2" t="s">
        <v>126</v>
      </c>
      <c r="H774" s="2" t="s">
        <v>126</v>
      </c>
      <c r="I774" s="2" t="s">
        <v>126</v>
      </c>
      <c r="J774" s="2" t="s">
        <v>126</v>
      </c>
      <c r="K774" s="2" t="s">
        <v>8</v>
      </c>
      <c r="L774" s="2" t="s">
        <v>981</v>
      </c>
      <c r="M774" s="2" t="s">
        <v>28</v>
      </c>
      <c r="N774" s="2" t="s">
        <v>2694</v>
      </c>
      <c r="O774" s="2" t="s">
        <v>41</v>
      </c>
      <c r="P774" s="5">
        <v>935978383</v>
      </c>
      <c r="R774" s="2" t="s">
        <v>2695</v>
      </c>
      <c r="S774" s="2" t="s">
        <v>55</v>
      </c>
      <c r="T774" s="2" t="s">
        <v>222</v>
      </c>
      <c r="U774" s="2">
        <v>2014</v>
      </c>
      <c r="V774" s="6">
        <v>43371</v>
      </c>
      <c r="W774" s="3" t="s">
        <v>2696</v>
      </c>
    </row>
    <row r="775" spans="1:24" x14ac:dyDescent="0.2">
      <c r="A775" s="2">
        <v>1709093</v>
      </c>
      <c r="B775" s="6">
        <v>43008.692789814813</v>
      </c>
      <c r="F775" s="2" t="s">
        <v>126</v>
      </c>
      <c r="G775" s="2" t="s">
        <v>126</v>
      </c>
      <c r="H775" s="2" t="s">
        <v>126</v>
      </c>
      <c r="I775" s="2" t="s">
        <v>126</v>
      </c>
      <c r="J775" s="2" t="s">
        <v>126</v>
      </c>
      <c r="K775" s="2" t="s">
        <v>8</v>
      </c>
      <c r="L775" s="2" t="s">
        <v>981</v>
      </c>
      <c r="M775" s="2" t="s">
        <v>61</v>
      </c>
      <c r="N775" s="2" t="s">
        <v>2697</v>
      </c>
      <c r="O775" s="2" t="s">
        <v>855</v>
      </c>
      <c r="P775" s="5">
        <v>816341597</v>
      </c>
      <c r="R775" s="2" t="s">
        <v>2698</v>
      </c>
      <c r="S775" s="2" t="s">
        <v>49</v>
      </c>
      <c r="T775" s="2" t="s">
        <v>151</v>
      </c>
      <c r="U775" s="2">
        <v>2013</v>
      </c>
      <c r="V775" s="6">
        <v>43134</v>
      </c>
      <c r="W775" s="3" t="s">
        <v>2699</v>
      </c>
    </row>
    <row r="776" spans="1:24" x14ac:dyDescent="0.2">
      <c r="A776" s="2">
        <v>1709094</v>
      </c>
      <c r="B776" s="6">
        <v>43008.694482523148</v>
      </c>
      <c r="C776" s="6">
        <v>43008.695939004632</v>
      </c>
      <c r="D776" s="6">
        <v>43015</v>
      </c>
      <c r="E776" s="6">
        <v>43015</v>
      </c>
      <c r="F776" s="2" t="s">
        <v>26</v>
      </c>
      <c r="G776" s="2" t="s">
        <v>26</v>
      </c>
      <c r="H776" s="2" t="s">
        <v>26</v>
      </c>
      <c r="I776" s="2" t="s">
        <v>26</v>
      </c>
      <c r="J776" s="2" t="s">
        <v>26</v>
      </c>
      <c r="K776" s="2" t="s">
        <v>8</v>
      </c>
      <c r="L776" s="2" t="s">
        <v>34</v>
      </c>
      <c r="M776" s="2" t="s">
        <v>28</v>
      </c>
      <c r="N776" s="2" t="s">
        <v>2700</v>
      </c>
      <c r="P776" s="5">
        <v>867837392</v>
      </c>
      <c r="R776" s="2" t="s">
        <v>2701</v>
      </c>
      <c r="S776" s="2" t="s">
        <v>31</v>
      </c>
      <c r="T776" s="2" t="s">
        <v>283</v>
      </c>
      <c r="U776" s="2">
        <v>2013</v>
      </c>
      <c r="X776" s="23">
        <v>0</v>
      </c>
    </row>
    <row r="777" spans="1:24" x14ac:dyDescent="0.2">
      <c r="A777" s="2">
        <v>1709095</v>
      </c>
      <c r="B777" s="6">
        <v>43008.697505555552</v>
      </c>
      <c r="C777" s="6">
        <v>43012.452900231481</v>
      </c>
      <c r="D777" s="6">
        <v>43012</v>
      </c>
      <c r="E777" s="6">
        <v>43015</v>
      </c>
      <c r="F777" s="2" t="s">
        <v>26</v>
      </c>
      <c r="G777" s="2" t="s">
        <v>26</v>
      </c>
      <c r="H777" s="2" t="s">
        <v>26</v>
      </c>
      <c r="I777" s="2" t="s">
        <v>26</v>
      </c>
      <c r="J777" s="2" t="s">
        <v>26</v>
      </c>
      <c r="K777" s="2" t="s">
        <v>8</v>
      </c>
      <c r="L777" s="2" t="s">
        <v>981</v>
      </c>
      <c r="M777" s="2" t="s">
        <v>28</v>
      </c>
      <c r="N777" s="2" t="s">
        <v>450</v>
      </c>
      <c r="O777" s="2" t="s">
        <v>41</v>
      </c>
      <c r="P777" s="5">
        <v>970861777</v>
      </c>
      <c r="R777" s="2" t="s">
        <v>451</v>
      </c>
      <c r="S777" s="2" t="s">
        <v>49</v>
      </c>
      <c r="T777" s="2" t="s">
        <v>130</v>
      </c>
      <c r="U777" s="2">
        <v>2005</v>
      </c>
      <c r="X777" s="23">
        <v>0</v>
      </c>
    </row>
    <row r="778" spans="1:24" x14ac:dyDescent="0.2">
      <c r="A778" s="2">
        <v>1709096</v>
      </c>
      <c r="B778" s="6">
        <v>43008.700015972223</v>
      </c>
      <c r="F778" s="2" t="s">
        <v>126</v>
      </c>
      <c r="G778" s="2" t="s">
        <v>126</v>
      </c>
      <c r="H778" s="2" t="s">
        <v>126</v>
      </c>
      <c r="I778" s="2" t="s">
        <v>126</v>
      </c>
      <c r="J778" s="2" t="s">
        <v>126</v>
      </c>
      <c r="K778" s="2" t="s">
        <v>8</v>
      </c>
      <c r="L778" s="2" t="s">
        <v>27</v>
      </c>
      <c r="M778" s="2" t="s">
        <v>295</v>
      </c>
      <c r="N778" s="2" t="s">
        <v>2702</v>
      </c>
      <c r="O778" s="2" t="s">
        <v>120</v>
      </c>
      <c r="P778" s="5">
        <v>875039343</v>
      </c>
      <c r="R778" s="2" t="s">
        <v>2703</v>
      </c>
      <c r="S778" s="2" t="s">
        <v>49</v>
      </c>
      <c r="T778" s="2" t="s">
        <v>130</v>
      </c>
      <c r="U778" s="2">
        <v>2013</v>
      </c>
      <c r="V778" s="6">
        <v>43154</v>
      </c>
      <c r="W778" s="3" t="s">
        <v>117</v>
      </c>
    </row>
    <row r="779" spans="1:24" x14ac:dyDescent="0.2">
      <c r="A779" s="2">
        <v>1710001</v>
      </c>
      <c r="B779" s="6">
        <v>43010.554677314816</v>
      </c>
      <c r="C779" s="6">
        <v>43017.652207060186</v>
      </c>
      <c r="D779" s="6">
        <v>0</v>
      </c>
      <c r="F779" s="2">
        <v>-43017.652207060186</v>
      </c>
      <c r="G779" s="2" t="s">
        <v>11</v>
      </c>
      <c r="H779" s="2" t="s">
        <v>173</v>
      </c>
      <c r="I779" s="2" t="s">
        <v>94</v>
      </c>
      <c r="J779" s="2" t="s">
        <v>95</v>
      </c>
      <c r="K779" s="2" t="s">
        <v>8</v>
      </c>
      <c r="L779" s="2" t="s">
        <v>27</v>
      </c>
      <c r="M779" s="2" t="s">
        <v>45</v>
      </c>
      <c r="N779" s="2" t="s">
        <v>1523</v>
      </c>
      <c r="P779" s="5">
        <v>844827321</v>
      </c>
      <c r="R779" s="2" t="s">
        <v>1524</v>
      </c>
      <c r="S779" s="2" t="s">
        <v>55</v>
      </c>
      <c r="T779" s="2" t="s">
        <v>76</v>
      </c>
      <c r="U779" s="2">
        <v>2010</v>
      </c>
      <c r="X779" s="23">
        <v>8000</v>
      </c>
    </row>
    <row r="780" spans="1:24" x14ac:dyDescent="0.2">
      <c r="A780" s="2">
        <v>1710002</v>
      </c>
      <c r="B780" s="6">
        <v>43010.688672569442</v>
      </c>
      <c r="C780" s="6">
        <v>43010.689656481482</v>
      </c>
      <c r="D780" s="6">
        <v>0</v>
      </c>
      <c r="F780" s="2">
        <v>-43010.689656481482</v>
      </c>
      <c r="G780" s="2" t="s">
        <v>11</v>
      </c>
      <c r="H780" s="2" t="s">
        <v>975</v>
      </c>
      <c r="I780" s="2" t="s">
        <v>95</v>
      </c>
      <c r="J780" s="2" t="s">
        <v>95</v>
      </c>
      <c r="K780" s="2" t="s">
        <v>8</v>
      </c>
      <c r="L780" s="2" t="s">
        <v>170</v>
      </c>
      <c r="M780" s="2" t="s">
        <v>61</v>
      </c>
      <c r="N780" s="2" t="s">
        <v>2794</v>
      </c>
      <c r="O780" s="2" t="s">
        <v>2795</v>
      </c>
      <c r="P780" s="5">
        <v>814498893</v>
      </c>
      <c r="R780" s="2" t="s">
        <v>2796</v>
      </c>
      <c r="S780" s="2" t="s">
        <v>55</v>
      </c>
      <c r="T780" s="2" t="s">
        <v>76</v>
      </c>
      <c r="U780" s="2">
        <v>2007</v>
      </c>
      <c r="V780" s="6">
        <v>43247</v>
      </c>
      <c r="W780" s="3" t="s">
        <v>166</v>
      </c>
      <c r="X780" s="23">
        <v>0</v>
      </c>
    </row>
    <row r="781" spans="1:24" x14ac:dyDescent="0.2">
      <c r="A781" s="2">
        <v>1710003</v>
      </c>
      <c r="B781" s="6">
        <v>43010.716544328701</v>
      </c>
      <c r="C781" s="6">
        <v>43018.672332060189</v>
      </c>
      <c r="F781" s="2" t="s">
        <v>92</v>
      </c>
      <c r="G781" s="2" t="s">
        <v>11</v>
      </c>
      <c r="H781" s="2" t="s">
        <v>365</v>
      </c>
      <c r="I781" s="2" t="s">
        <v>94</v>
      </c>
      <c r="J781" s="2" t="s">
        <v>95</v>
      </c>
      <c r="K781" s="2" t="s">
        <v>8</v>
      </c>
      <c r="L781" s="2" t="s">
        <v>27</v>
      </c>
      <c r="M781" s="2" t="s">
        <v>28</v>
      </c>
      <c r="N781" s="2" t="s">
        <v>2797</v>
      </c>
      <c r="O781" s="2" t="s">
        <v>208</v>
      </c>
      <c r="P781" s="5">
        <v>815100454</v>
      </c>
      <c r="Q781" s="5">
        <v>27036936</v>
      </c>
      <c r="R781" s="2" t="s">
        <v>2798</v>
      </c>
      <c r="S781" s="2" t="s">
        <v>31</v>
      </c>
      <c r="T781" s="2" t="s">
        <v>116</v>
      </c>
      <c r="U781" s="2">
        <v>2015</v>
      </c>
      <c r="V781" s="6">
        <v>43313</v>
      </c>
      <c r="W781" s="3" t="s">
        <v>112</v>
      </c>
      <c r="X781" s="23">
        <v>8537.9699999999993</v>
      </c>
    </row>
    <row r="782" spans="1:24" x14ac:dyDescent="0.2">
      <c r="A782" s="2">
        <v>1710004</v>
      </c>
      <c r="B782" s="6">
        <v>43011.454886111111</v>
      </c>
      <c r="C782" s="6">
        <v>43022.5737912037</v>
      </c>
      <c r="D782" s="6">
        <v>43033</v>
      </c>
      <c r="F782" s="2">
        <v>10.426208796299761</v>
      </c>
      <c r="G782" s="2" t="s">
        <v>11</v>
      </c>
      <c r="H782" s="2" t="s">
        <v>122</v>
      </c>
      <c r="I782" s="2" t="s">
        <v>107</v>
      </c>
      <c r="J782" s="2" t="s">
        <v>95</v>
      </c>
      <c r="K782" s="2" t="s">
        <v>8</v>
      </c>
      <c r="L782" s="2" t="s">
        <v>34</v>
      </c>
      <c r="M782" s="2" t="s">
        <v>66</v>
      </c>
      <c r="N782" s="2" t="s">
        <v>2799</v>
      </c>
      <c r="O782" s="2" t="s">
        <v>59</v>
      </c>
      <c r="P782" s="5">
        <v>882916873</v>
      </c>
      <c r="R782" s="2" t="s">
        <v>2800</v>
      </c>
      <c r="S782" s="2" t="s">
        <v>49</v>
      </c>
      <c r="T782" s="2" t="s">
        <v>111</v>
      </c>
      <c r="U782" s="2">
        <v>2004</v>
      </c>
      <c r="V782" s="6">
        <v>43225</v>
      </c>
      <c r="W782" s="3" t="s">
        <v>44</v>
      </c>
      <c r="X782" s="23">
        <v>9100</v>
      </c>
    </row>
    <row r="783" spans="1:24" x14ac:dyDescent="0.2">
      <c r="A783" s="2">
        <v>1710005</v>
      </c>
      <c r="B783" s="6">
        <v>43011.475850000003</v>
      </c>
      <c r="F783" s="2" t="s">
        <v>126</v>
      </c>
      <c r="G783" s="2" t="s">
        <v>126</v>
      </c>
      <c r="H783" s="2" t="s">
        <v>126</v>
      </c>
      <c r="I783" s="2" t="s">
        <v>126</v>
      </c>
      <c r="J783" s="2" t="s">
        <v>126</v>
      </c>
      <c r="K783" s="2" t="s">
        <v>8</v>
      </c>
      <c r="L783" s="2" t="s">
        <v>981</v>
      </c>
      <c r="M783" s="2" t="s">
        <v>45</v>
      </c>
      <c r="N783" s="2" t="s">
        <v>2801</v>
      </c>
      <c r="P783" s="5">
        <v>896942934</v>
      </c>
      <c r="R783" s="2" t="s">
        <v>2802</v>
      </c>
      <c r="S783" s="2" t="s">
        <v>31</v>
      </c>
      <c r="T783" s="2" t="s">
        <v>283</v>
      </c>
    </row>
    <row r="784" spans="1:24" x14ac:dyDescent="0.2">
      <c r="A784" s="2">
        <v>1710006</v>
      </c>
      <c r="B784" s="6">
        <v>43011.478248148145</v>
      </c>
      <c r="F784" s="2" t="s">
        <v>126</v>
      </c>
      <c r="G784" s="2" t="s">
        <v>126</v>
      </c>
      <c r="H784" s="2" t="s">
        <v>126</v>
      </c>
      <c r="I784" s="2" t="s">
        <v>126</v>
      </c>
      <c r="J784" s="2" t="s">
        <v>126</v>
      </c>
      <c r="K784" s="2" t="s">
        <v>8</v>
      </c>
      <c r="L784" s="2" t="s">
        <v>27</v>
      </c>
      <c r="M784" s="2" t="s">
        <v>28</v>
      </c>
      <c r="N784" s="2" t="s">
        <v>2803</v>
      </c>
      <c r="O784" s="2" t="s">
        <v>59</v>
      </c>
      <c r="P784" s="5">
        <v>27563982</v>
      </c>
      <c r="R784" s="2" t="s">
        <v>2804</v>
      </c>
      <c r="S784" s="2" t="s">
        <v>55</v>
      </c>
      <c r="T784" s="2" t="s">
        <v>142</v>
      </c>
      <c r="U784" s="2">
        <v>2006</v>
      </c>
      <c r="V784" s="6">
        <v>43327</v>
      </c>
      <c r="W784" s="3" t="s">
        <v>103</v>
      </c>
    </row>
    <row r="785" spans="1:24" x14ac:dyDescent="0.2">
      <c r="A785" s="2">
        <v>1710007</v>
      </c>
      <c r="B785" s="6">
        <v>43012.678842013891</v>
      </c>
      <c r="F785" s="2" t="s">
        <v>126</v>
      </c>
      <c r="G785" s="2" t="s">
        <v>126</v>
      </c>
      <c r="H785" s="2" t="s">
        <v>126</v>
      </c>
      <c r="I785" s="2" t="s">
        <v>126</v>
      </c>
      <c r="J785" s="2" t="s">
        <v>126</v>
      </c>
      <c r="K785" s="2" t="s">
        <v>8</v>
      </c>
      <c r="L785" s="2" t="s">
        <v>981</v>
      </c>
      <c r="M785" s="2" t="s">
        <v>28</v>
      </c>
      <c r="N785" s="2" t="s">
        <v>167</v>
      </c>
      <c r="O785" s="2" t="s">
        <v>107</v>
      </c>
      <c r="P785" s="5">
        <v>984420211</v>
      </c>
      <c r="R785" s="2" t="s">
        <v>168</v>
      </c>
      <c r="S785" s="2" t="s">
        <v>31</v>
      </c>
      <c r="T785" s="2" t="s">
        <v>834</v>
      </c>
      <c r="U785" s="2">
        <v>2014</v>
      </c>
      <c r="V785" s="6">
        <v>43094</v>
      </c>
      <c r="W785" s="3" t="s">
        <v>112</v>
      </c>
    </row>
    <row r="786" spans="1:24" x14ac:dyDescent="0.2">
      <c r="A786" s="2">
        <v>1710008</v>
      </c>
      <c r="B786" s="6">
        <v>43012.682681365739</v>
      </c>
      <c r="F786" s="2" t="s">
        <v>126</v>
      </c>
      <c r="G786" s="2" t="s">
        <v>126</v>
      </c>
      <c r="H786" s="2" t="s">
        <v>126</v>
      </c>
      <c r="I786" s="2" t="s">
        <v>126</v>
      </c>
      <c r="J786" s="2" t="s">
        <v>126</v>
      </c>
      <c r="K786" s="2" t="s">
        <v>8</v>
      </c>
      <c r="L786" s="2" t="s">
        <v>34</v>
      </c>
      <c r="M786" s="2" t="s">
        <v>28</v>
      </c>
      <c r="N786" s="2" t="s">
        <v>2805</v>
      </c>
      <c r="O786" s="2" t="s">
        <v>346</v>
      </c>
      <c r="P786" s="5">
        <v>883562399</v>
      </c>
      <c r="R786" s="2" t="s">
        <v>2806</v>
      </c>
      <c r="S786" s="2" t="s">
        <v>37</v>
      </c>
      <c r="T786" s="2" t="s">
        <v>1142</v>
      </c>
      <c r="U786" s="2">
        <v>2016</v>
      </c>
      <c r="V786" s="6">
        <v>43275</v>
      </c>
      <c r="W786" s="3" t="s">
        <v>57</v>
      </c>
    </row>
    <row r="787" spans="1:24" x14ac:dyDescent="0.2">
      <c r="A787" s="2">
        <v>1710009</v>
      </c>
      <c r="B787" s="6">
        <v>43012.71086446759</v>
      </c>
      <c r="F787" s="2" t="s">
        <v>126</v>
      </c>
      <c r="G787" s="2" t="s">
        <v>126</v>
      </c>
      <c r="H787" s="2" t="s">
        <v>126</v>
      </c>
      <c r="I787" s="2" t="s">
        <v>126</v>
      </c>
      <c r="J787" s="2" t="s">
        <v>126</v>
      </c>
      <c r="K787" s="2" t="s">
        <v>8</v>
      </c>
      <c r="L787" s="2" t="s">
        <v>27</v>
      </c>
      <c r="M787" s="2" t="s">
        <v>28</v>
      </c>
      <c r="N787" s="2" t="s">
        <v>2807</v>
      </c>
      <c r="O787" s="2" t="s">
        <v>68</v>
      </c>
      <c r="P787" s="5">
        <v>870627180</v>
      </c>
      <c r="R787" s="2" t="s">
        <v>2808</v>
      </c>
      <c r="S787" s="2" t="s">
        <v>31</v>
      </c>
      <c r="T787" s="2" t="s">
        <v>116</v>
      </c>
      <c r="U787" s="2">
        <v>2012</v>
      </c>
      <c r="V787" s="6">
        <v>43262</v>
      </c>
      <c r="W787" s="3" t="s">
        <v>155</v>
      </c>
    </row>
    <row r="788" spans="1:24" x14ac:dyDescent="0.2">
      <c r="A788" s="2">
        <v>1710010</v>
      </c>
      <c r="B788" s="6">
        <v>43013.651131481478</v>
      </c>
      <c r="C788" s="6">
        <v>43020.653505324073</v>
      </c>
      <c r="F788" s="2" t="s">
        <v>92</v>
      </c>
      <c r="G788" s="2" t="s">
        <v>11</v>
      </c>
      <c r="H788" s="2" t="s">
        <v>95</v>
      </c>
      <c r="I788" s="2" t="s">
        <v>95</v>
      </c>
      <c r="J788" s="2" t="s">
        <v>95</v>
      </c>
      <c r="K788" s="2" t="s">
        <v>8</v>
      </c>
      <c r="L788" s="2" t="s">
        <v>170</v>
      </c>
      <c r="M788" s="2" t="s">
        <v>61</v>
      </c>
      <c r="N788" s="2" t="s">
        <v>2809</v>
      </c>
      <c r="O788" s="2" t="s">
        <v>128</v>
      </c>
      <c r="P788" s="5">
        <v>939823196</v>
      </c>
      <c r="R788" s="2" t="s">
        <v>2810</v>
      </c>
      <c r="S788" s="2" t="s">
        <v>64</v>
      </c>
      <c r="T788" s="2">
        <v>2</v>
      </c>
      <c r="U788" s="2">
        <v>2013</v>
      </c>
      <c r="V788" s="6">
        <v>43016</v>
      </c>
      <c r="W788" s="3" t="s">
        <v>517</v>
      </c>
      <c r="X788" s="23">
        <v>0</v>
      </c>
    </row>
    <row r="789" spans="1:24" x14ac:dyDescent="0.2">
      <c r="A789" s="2">
        <v>1710011</v>
      </c>
      <c r="B789" s="6">
        <v>43013.654462847226</v>
      </c>
      <c r="F789" s="2" t="s">
        <v>126</v>
      </c>
      <c r="G789" s="2" t="s">
        <v>126</v>
      </c>
      <c r="H789" s="2" t="s">
        <v>126</v>
      </c>
      <c r="I789" s="2" t="s">
        <v>126</v>
      </c>
      <c r="J789" s="2" t="s">
        <v>126</v>
      </c>
      <c r="K789" s="2" t="s">
        <v>8</v>
      </c>
      <c r="L789" s="2" t="s">
        <v>34</v>
      </c>
      <c r="M789" s="2" t="s">
        <v>28</v>
      </c>
      <c r="N789" s="2" t="s">
        <v>2811</v>
      </c>
      <c r="O789" s="2" t="s">
        <v>120</v>
      </c>
      <c r="P789" s="5">
        <v>988697981</v>
      </c>
      <c r="R789" s="2" t="s">
        <v>2812</v>
      </c>
      <c r="S789" s="2" t="s">
        <v>49</v>
      </c>
      <c r="T789" s="2" t="s">
        <v>111</v>
      </c>
      <c r="U789" s="2">
        <v>2012</v>
      </c>
      <c r="V789" s="6">
        <v>43253</v>
      </c>
      <c r="W789" s="3" t="s">
        <v>57</v>
      </c>
    </row>
    <row r="790" spans="1:24" x14ac:dyDescent="0.2">
      <c r="A790" s="2">
        <v>1710012</v>
      </c>
      <c r="B790" s="6">
        <v>43013.665914583333</v>
      </c>
      <c r="F790" s="2" t="s">
        <v>126</v>
      </c>
      <c r="G790" s="2" t="s">
        <v>126</v>
      </c>
      <c r="H790" s="2" t="s">
        <v>126</v>
      </c>
      <c r="I790" s="2" t="s">
        <v>126</v>
      </c>
      <c r="J790" s="2" t="s">
        <v>126</v>
      </c>
      <c r="K790" s="2" t="s">
        <v>8</v>
      </c>
      <c r="L790" s="2" t="s">
        <v>981</v>
      </c>
      <c r="M790" s="2" t="s">
        <v>28</v>
      </c>
      <c r="N790" s="2" t="s">
        <v>2805</v>
      </c>
      <c r="O790" s="2" t="s">
        <v>346</v>
      </c>
      <c r="P790" s="5">
        <v>883562399</v>
      </c>
      <c r="R790" s="2" t="s">
        <v>2806</v>
      </c>
      <c r="S790" s="2" t="s">
        <v>37</v>
      </c>
      <c r="T790" s="2" t="s">
        <v>1142</v>
      </c>
      <c r="U790" s="2">
        <v>2016</v>
      </c>
      <c r="V790" s="6">
        <v>43265</v>
      </c>
      <c r="W790" s="3" t="s">
        <v>57</v>
      </c>
    </row>
    <row r="791" spans="1:24" x14ac:dyDescent="0.2">
      <c r="A791" s="2">
        <v>1710013</v>
      </c>
      <c r="B791" s="6">
        <v>43013.725765162038</v>
      </c>
      <c r="F791" s="2" t="s">
        <v>126</v>
      </c>
      <c r="G791" s="2" t="s">
        <v>126</v>
      </c>
      <c r="H791" s="2" t="s">
        <v>126</v>
      </c>
      <c r="I791" s="2" t="s">
        <v>126</v>
      </c>
      <c r="J791" s="2" t="s">
        <v>126</v>
      </c>
      <c r="K791" s="2" t="s">
        <v>8</v>
      </c>
      <c r="L791" s="2" t="s">
        <v>34</v>
      </c>
      <c r="M791" s="2" t="s">
        <v>28</v>
      </c>
      <c r="N791" s="2" t="s">
        <v>2813</v>
      </c>
      <c r="O791" s="2" t="s">
        <v>120</v>
      </c>
      <c r="P791" s="5">
        <v>875488847</v>
      </c>
      <c r="R791" s="2" t="s">
        <v>2814</v>
      </c>
      <c r="S791" s="2" t="s">
        <v>70</v>
      </c>
      <c r="T791" s="2" t="s">
        <v>812</v>
      </c>
      <c r="U791" s="2">
        <v>2010</v>
      </c>
      <c r="V791" s="6">
        <v>43039</v>
      </c>
      <c r="W791" s="3" t="s">
        <v>226</v>
      </c>
    </row>
    <row r="792" spans="1:24" x14ac:dyDescent="0.2">
      <c r="A792" s="2">
        <v>1710014</v>
      </c>
      <c r="B792" s="6">
        <v>43013.898650810188</v>
      </c>
      <c r="C792" s="6" t="s">
        <v>307</v>
      </c>
      <c r="D792" s="6" t="s">
        <v>307</v>
      </c>
      <c r="E792" s="6" t="s">
        <v>307</v>
      </c>
      <c r="F792" s="2" t="s">
        <v>307</v>
      </c>
      <c r="G792" s="2" t="s">
        <v>307</v>
      </c>
      <c r="H792" s="2" t="s">
        <v>307</v>
      </c>
      <c r="I792" s="2" t="s">
        <v>307</v>
      </c>
      <c r="J792" s="2" t="s">
        <v>307</v>
      </c>
      <c r="K792" s="2" t="s">
        <v>307</v>
      </c>
      <c r="L792" s="2" t="s">
        <v>307</v>
      </c>
      <c r="M792" s="2" t="s">
        <v>307</v>
      </c>
      <c r="N792" s="2" t="s">
        <v>307</v>
      </c>
      <c r="O792" s="2" t="s">
        <v>307</v>
      </c>
      <c r="P792" s="5" t="s">
        <v>307</v>
      </c>
      <c r="Q792" s="5" t="s">
        <v>307</v>
      </c>
      <c r="R792" s="2" t="s">
        <v>307</v>
      </c>
      <c r="S792" s="2" t="s">
        <v>307</v>
      </c>
      <c r="T792" s="2" t="s">
        <v>307</v>
      </c>
      <c r="U792" s="2" t="s">
        <v>307</v>
      </c>
      <c r="V792" s="6" t="s">
        <v>307</v>
      </c>
      <c r="W792" s="3" t="s">
        <v>307</v>
      </c>
      <c r="X792" s="23">
        <v>2500</v>
      </c>
    </row>
    <row r="793" spans="1:24" x14ac:dyDescent="0.2">
      <c r="A793" s="2">
        <v>1710015</v>
      </c>
      <c r="B793" s="6">
        <v>43014.667943518521</v>
      </c>
      <c r="C793" s="6">
        <v>43014.670400347219</v>
      </c>
      <c r="F793" s="2" t="s">
        <v>92</v>
      </c>
      <c r="G793" s="2" t="s">
        <v>11</v>
      </c>
      <c r="H793" s="2" t="s">
        <v>2926</v>
      </c>
      <c r="I793" s="2" t="s">
        <v>94</v>
      </c>
      <c r="J793" s="2" t="s">
        <v>95</v>
      </c>
      <c r="K793" s="2" t="s">
        <v>8</v>
      </c>
      <c r="L793" s="2" t="s">
        <v>126</v>
      </c>
      <c r="M793" s="2" t="s">
        <v>126</v>
      </c>
      <c r="N793" s="2" t="s">
        <v>2815</v>
      </c>
      <c r="R793" s="2" t="s">
        <v>2816</v>
      </c>
      <c r="S793" s="2" t="s">
        <v>49</v>
      </c>
      <c r="T793" s="2" t="s">
        <v>923</v>
      </c>
      <c r="X793" s="23">
        <v>9970.26</v>
      </c>
    </row>
    <row r="794" spans="1:24" x14ac:dyDescent="0.2">
      <c r="A794" s="2">
        <v>1710016</v>
      </c>
      <c r="B794" s="6">
        <v>43014.696564699072</v>
      </c>
      <c r="F794" s="2" t="s">
        <v>126</v>
      </c>
      <c r="G794" s="2" t="s">
        <v>126</v>
      </c>
      <c r="H794" s="2" t="s">
        <v>126</v>
      </c>
      <c r="I794" s="2" t="s">
        <v>126</v>
      </c>
      <c r="J794" s="2" t="s">
        <v>126</v>
      </c>
      <c r="K794" s="2" t="s">
        <v>8</v>
      </c>
      <c r="L794" s="2" t="s">
        <v>34</v>
      </c>
      <c r="M794" s="2" t="s">
        <v>45</v>
      </c>
      <c r="N794" s="2" t="s">
        <v>2817</v>
      </c>
      <c r="O794" s="2" t="s">
        <v>68</v>
      </c>
      <c r="P794" s="5">
        <v>868005689</v>
      </c>
      <c r="R794" s="2" t="s">
        <v>2818</v>
      </c>
      <c r="S794" s="2" t="s">
        <v>183</v>
      </c>
      <c r="T794" s="2" t="s">
        <v>373</v>
      </c>
      <c r="U794" s="2">
        <v>2013</v>
      </c>
      <c r="V794" s="6">
        <v>43183</v>
      </c>
      <c r="W794" s="3" t="s">
        <v>194</v>
      </c>
    </row>
    <row r="795" spans="1:24" x14ac:dyDescent="0.2">
      <c r="A795" s="2">
        <v>1710017</v>
      </c>
      <c r="B795" s="6">
        <v>43014.699020138891</v>
      </c>
      <c r="F795" s="2" t="s">
        <v>126</v>
      </c>
      <c r="G795" s="2" t="s">
        <v>126</v>
      </c>
      <c r="H795" s="2" t="s">
        <v>126</v>
      </c>
      <c r="I795" s="2" t="s">
        <v>126</v>
      </c>
      <c r="J795" s="2" t="s">
        <v>126</v>
      </c>
      <c r="K795" s="2" t="s">
        <v>8</v>
      </c>
      <c r="L795" s="2" t="s">
        <v>73</v>
      </c>
      <c r="M795" s="2" t="s">
        <v>295</v>
      </c>
      <c r="N795" s="2" t="s">
        <v>1616</v>
      </c>
      <c r="O795" s="2" t="s">
        <v>120</v>
      </c>
      <c r="P795" s="5">
        <v>814399189</v>
      </c>
      <c r="R795" s="2" t="s">
        <v>2819</v>
      </c>
      <c r="S795" s="2" t="s">
        <v>37</v>
      </c>
      <c r="T795" s="2" t="s">
        <v>102</v>
      </c>
      <c r="U795" s="2">
        <v>2015</v>
      </c>
      <c r="V795" s="6">
        <v>43064</v>
      </c>
      <c r="W795" s="3" t="s">
        <v>112</v>
      </c>
    </row>
    <row r="796" spans="1:24" x14ac:dyDescent="0.2">
      <c r="A796" s="2">
        <v>1710018</v>
      </c>
      <c r="B796" s="6">
        <v>43014.70572002315</v>
      </c>
      <c r="C796" s="6">
        <v>43014.709149421295</v>
      </c>
      <c r="F796" s="2" t="s">
        <v>92</v>
      </c>
      <c r="G796" s="2" t="s">
        <v>11</v>
      </c>
      <c r="H796" s="2" t="s">
        <v>365</v>
      </c>
      <c r="I796" s="2" t="s">
        <v>94</v>
      </c>
      <c r="J796" s="2" t="s">
        <v>95</v>
      </c>
      <c r="K796" s="2" t="s">
        <v>8</v>
      </c>
      <c r="L796" s="2" t="s">
        <v>27</v>
      </c>
      <c r="M796" s="2" t="s">
        <v>45</v>
      </c>
      <c r="N796" s="2" t="s">
        <v>2820</v>
      </c>
      <c r="P796" s="5">
        <v>815605439</v>
      </c>
      <c r="R796" s="2" t="s">
        <v>2821</v>
      </c>
      <c r="S796" s="2" t="s">
        <v>31</v>
      </c>
      <c r="T796" s="2" t="s">
        <v>283</v>
      </c>
      <c r="U796" s="2">
        <v>2005</v>
      </c>
      <c r="V796" s="6">
        <v>42754</v>
      </c>
      <c r="W796" s="3" t="s">
        <v>143</v>
      </c>
      <c r="X796" s="23">
        <v>3275</v>
      </c>
    </row>
    <row r="797" spans="1:24" x14ac:dyDescent="0.2">
      <c r="A797" s="2">
        <v>1710019</v>
      </c>
      <c r="B797" s="6">
        <v>43015.568947222222</v>
      </c>
      <c r="C797" s="6">
        <v>43015.625170833337</v>
      </c>
      <c r="F797" s="2" t="s">
        <v>92</v>
      </c>
      <c r="G797" s="2" t="s">
        <v>11</v>
      </c>
      <c r="H797" s="2" t="s">
        <v>2927</v>
      </c>
      <c r="I797" s="2" t="s">
        <v>95</v>
      </c>
      <c r="J797" s="2" t="s">
        <v>95</v>
      </c>
      <c r="K797" s="2" t="s">
        <v>8</v>
      </c>
      <c r="L797" s="2" t="s">
        <v>27</v>
      </c>
      <c r="M797" s="2" t="s">
        <v>45</v>
      </c>
      <c r="N797" s="2" t="s">
        <v>82</v>
      </c>
      <c r="O797" s="2" t="s">
        <v>128</v>
      </c>
      <c r="P797" s="5">
        <v>899822449</v>
      </c>
      <c r="R797" s="2" t="s">
        <v>2902</v>
      </c>
      <c r="S797" s="2" t="s">
        <v>70</v>
      </c>
      <c r="T797" s="2" t="s">
        <v>988</v>
      </c>
      <c r="U797" s="2">
        <v>2010</v>
      </c>
      <c r="V797" s="6">
        <v>43212</v>
      </c>
      <c r="W797" s="3" t="s">
        <v>900</v>
      </c>
      <c r="X797" s="23">
        <v>0</v>
      </c>
    </row>
    <row r="798" spans="1:24" x14ac:dyDescent="0.2">
      <c r="A798" s="2">
        <v>1710020</v>
      </c>
      <c r="B798" s="6">
        <v>43015.618238078707</v>
      </c>
      <c r="F798" s="2" t="s">
        <v>126</v>
      </c>
      <c r="G798" s="2" t="s">
        <v>126</v>
      </c>
      <c r="H798" s="2" t="s">
        <v>126</v>
      </c>
      <c r="I798" s="2" t="s">
        <v>126</v>
      </c>
      <c r="J798" s="2" t="s">
        <v>126</v>
      </c>
      <c r="K798" s="2" t="s">
        <v>8</v>
      </c>
      <c r="L798" s="2" t="s">
        <v>34</v>
      </c>
      <c r="M798" s="2" t="s">
        <v>28</v>
      </c>
      <c r="N798" s="2" t="s">
        <v>2903</v>
      </c>
      <c r="O798" s="2" t="s">
        <v>239</v>
      </c>
      <c r="P798" s="5">
        <v>626606663</v>
      </c>
      <c r="R798" s="2" t="s">
        <v>2904</v>
      </c>
      <c r="S798" s="2" t="s">
        <v>55</v>
      </c>
      <c r="T798" s="2" t="s">
        <v>56</v>
      </c>
      <c r="U798" s="2">
        <v>2010</v>
      </c>
    </row>
    <row r="799" spans="1:24" x14ac:dyDescent="0.2">
      <c r="A799" s="2">
        <v>1710021</v>
      </c>
      <c r="B799" s="6">
        <v>43017.444484490741</v>
      </c>
      <c r="C799" s="6">
        <v>43021.448509606482</v>
      </c>
      <c r="F799" s="2" t="s">
        <v>92</v>
      </c>
      <c r="G799" s="2" t="s">
        <v>11</v>
      </c>
      <c r="H799" s="2" t="s">
        <v>206</v>
      </c>
      <c r="I799" s="2" t="s">
        <v>1210</v>
      </c>
      <c r="J799" s="2" t="s">
        <v>95</v>
      </c>
      <c r="K799" s="2" t="s">
        <v>8</v>
      </c>
      <c r="L799" s="2" t="s">
        <v>34</v>
      </c>
      <c r="M799" s="2" t="s">
        <v>28</v>
      </c>
      <c r="N799" s="2" t="s">
        <v>251</v>
      </c>
      <c r="O799" s="2" t="s">
        <v>68</v>
      </c>
      <c r="P799" s="5">
        <v>830338804</v>
      </c>
      <c r="R799" s="2" t="s">
        <v>252</v>
      </c>
      <c r="S799" s="2" t="s">
        <v>70</v>
      </c>
      <c r="T799" s="2" t="s">
        <v>193</v>
      </c>
      <c r="U799" s="2">
        <v>2013</v>
      </c>
      <c r="V799" s="6">
        <v>43395</v>
      </c>
      <c r="W799" s="3" t="s">
        <v>194</v>
      </c>
      <c r="X799" s="23">
        <v>4925.2299999999996</v>
      </c>
    </row>
    <row r="800" spans="1:24" x14ac:dyDescent="0.2">
      <c r="A800" s="2">
        <v>1710022</v>
      </c>
      <c r="B800" s="6">
        <v>43017.637078356478</v>
      </c>
      <c r="C800" s="6">
        <v>43024.570073148148</v>
      </c>
      <c r="D800" s="6">
        <v>43032</v>
      </c>
      <c r="F800" s="2">
        <v>7.4299268518516328</v>
      </c>
      <c r="G800" s="2" t="s">
        <v>11</v>
      </c>
      <c r="H800" s="2" t="s">
        <v>122</v>
      </c>
      <c r="I800" s="2" t="s">
        <v>1620</v>
      </c>
      <c r="J800" s="2" t="s">
        <v>95</v>
      </c>
      <c r="K800" s="2" t="s">
        <v>8</v>
      </c>
      <c r="L800" s="2" t="s">
        <v>981</v>
      </c>
      <c r="M800" s="2" t="s">
        <v>45</v>
      </c>
      <c r="N800" s="2" t="s">
        <v>2905</v>
      </c>
      <c r="O800" s="2" t="s">
        <v>41</v>
      </c>
      <c r="P800" s="5">
        <v>877122417</v>
      </c>
      <c r="R800" s="2" t="s">
        <v>2906</v>
      </c>
      <c r="S800" s="2" t="s">
        <v>37</v>
      </c>
      <c r="T800" s="2" t="s">
        <v>98</v>
      </c>
      <c r="U800" s="2">
        <v>2013</v>
      </c>
      <c r="V800" s="6">
        <v>43295</v>
      </c>
      <c r="W800" s="3" t="s">
        <v>974</v>
      </c>
      <c r="X800" s="23">
        <v>0</v>
      </c>
    </row>
    <row r="801" spans="1:24" x14ac:dyDescent="0.2">
      <c r="A801" s="2">
        <v>1710023</v>
      </c>
      <c r="B801" s="6">
        <v>43017.691842129629</v>
      </c>
      <c r="C801" s="6">
        <v>43017.7011025463</v>
      </c>
      <c r="F801" s="2" t="s">
        <v>92</v>
      </c>
      <c r="G801" s="2" t="s">
        <v>11</v>
      </c>
      <c r="H801" s="2" t="s">
        <v>95</v>
      </c>
      <c r="I801" s="2" t="s">
        <v>95</v>
      </c>
      <c r="J801" s="2" t="s">
        <v>95</v>
      </c>
      <c r="K801" s="2" t="s">
        <v>8</v>
      </c>
      <c r="L801" s="2" t="s">
        <v>27</v>
      </c>
      <c r="M801" s="2" t="s">
        <v>45</v>
      </c>
      <c r="N801" s="2" t="s">
        <v>2907</v>
      </c>
      <c r="O801" s="2" t="s">
        <v>186</v>
      </c>
      <c r="P801" s="5">
        <v>967171796</v>
      </c>
      <c r="Q801" s="5">
        <v>937482888</v>
      </c>
      <c r="R801" s="2" t="s">
        <v>2908</v>
      </c>
      <c r="S801" s="2" t="s">
        <v>49</v>
      </c>
      <c r="T801" s="2" t="s">
        <v>79</v>
      </c>
      <c r="U801" s="2">
        <v>2013</v>
      </c>
      <c r="V801" s="6">
        <v>43248</v>
      </c>
      <c r="W801" s="3" t="s">
        <v>106</v>
      </c>
      <c r="X801" s="23">
        <v>0</v>
      </c>
    </row>
    <row r="802" spans="1:24" x14ac:dyDescent="0.2">
      <c r="A802" s="2">
        <v>1710024</v>
      </c>
      <c r="B802" s="6">
        <v>43019.433105902775</v>
      </c>
      <c r="F802" s="2" t="s">
        <v>126</v>
      </c>
      <c r="G802" s="2" t="s">
        <v>126</v>
      </c>
      <c r="H802" s="2" t="s">
        <v>126</v>
      </c>
      <c r="I802" s="2" t="s">
        <v>126</v>
      </c>
      <c r="J802" s="2" t="s">
        <v>126</v>
      </c>
      <c r="K802" s="2" t="s">
        <v>8</v>
      </c>
      <c r="L802" s="2" t="s">
        <v>73</v>
      </c>
      <c r="M802" s="2" t="s">
        <v>378</v>
      </c>
      <c r="N802" s="2" t="s">
        <v>2909</v>
      </c>
      <c r="O802" s="2" t="s">
        <v>2910</v>
      </c>
      <c r="P802" s="5">
        <v>891366216</v>
      </c>
      <c r="Q802" s="5">
        <v>917182324</v>
      </c>
      <c r="R802" s="2" t="s">
        <v>2911</v>
      </c>
      <c r="S802" s="2" t="s">
        <v>2912</v>
      </c>
      <c r="T802" s="2" t="s">
        <v>2913</v>
      </c>
      <c r="U802" s="2">
        <v>2004</v>
      </c>
      <c r="V802" s="6">
        <v>43030</v>
      </c>
      <c r="W802" s="3" t="s">
        <v>1555</v>
      </c>
    </row>
    <row r="803" spans="1:24" x14ac:dyDescent="0.2">
      <c r="A803" s="2">
        <v>1710025</v>
      </c>
      <c r="B803" s="6">
        <v>43019.582087962961</v>
      </c>
      <c r="F803" s="2" t="s">
        <v>126</v>
      </c>
      <c r="G803" s="2" t="s">
        <v>126</v>
      </c>
      <c r="H803" s="2" t="s">
        <v>126</v>
      </c>
      <c r="I803" s="2" t="s">
        <v>126</v>
      </c>
      <c r="J803" s="2" t="s">
        <v>126</v>
      </c>
      <c r="K803" s="2" t="s">
        <v>8</v>
      </c>
      <c r="L803" s="2" t="s">
        <v>51</v>
      </c>
      <c r="M803" s="2" t="s">
        <v>28</v>
      </c>
      <c r="N803" s="2" t="s">
        <v>2914</v>
      </c>
      <c r="O803" s="2" t="s">
        <v>120</v>
      </c>
      <c r="P803" s="5">
        <v>613587125</v>
      </c>
      <c r="R803" s="2" t="s">
        <v>2915</v>
      </c>
      <c r="S803" s="2" t="s">
        <v>49</v>
      </c>
      <c r="T803" s="2" t="s">
        <v>130</v>
      </c>
      <c r="U803" s="2">
        <v>2012</v>
      </c>
    </row>
    <row r="804" spans="1:24" x14ac:dyDescent="0.2">
      <c r="A804" s="2">
        <v>1710026</v>
      </c>
      <c r="B804" s="6">
        <v>43019.591393518516</v>
      </c>
      <c r="F804" s="2" t="s">
        <v>126</v>
      </c>
      <c r="G804" s="2" t="s">
        <v>126</v>
      </c>
      <c r="H804" s="2" t="s">
        <v>126</v>
      </c>
      <c r="I804" s="2" t="s">
        <v>126</v>
      </c>
      <c r="J804" s="2" t="s">
        <v>126</v>
      </c>
      <c r="K804" s="2" t="s">
        <v>8</v>
      </c>
      <c r="L804" s="2" t="s">
        <v>34</v>
      </c>
      <c r="M804" s="2" t="s">
        <v>28</v>
      </c>
      <c r="N804" s="2" t="s">
        <v>2916</v>
      </c>
      <c r="O804" s="2" t="s">
        <v>41</v>
      </c>
      <c r="P804" s="5">
        <v>924675635</v>
      </c>
      <c r="R804" s="2" t="s">
        <v>2917</v>
      </c>
      <c r="S804" s="2" t="s">
        <v>55</v>
      </c>
      <c r="T804" s="2" t="s">
        <v>56</v>
      </c>
      <c r="U804" s="2">
        <v>2011</v>
      </c>
      <c r="V804" s="6">
        <v>43019</v>
      </c>
      <c r="W804" s="3" t="s">
        <v>2918</v>
      </c>
    </row>
    <row r="805" spans="1:24" x14ac:dyDescent="0.2">
      <c r="A805" s="2">
        <v>1710027</v>
      </c>
      <c r="B805" s="6">
        <v>43019.593245023148</v>
      </c>
      <c r="F805" s="2" t="s">
        <v>126</v>
      </c>
      <c r="G805" s="2" t="s">
        <v>126</v>
      </c>
      <c r="H805" s="2" t="s">
        <v>126</v>
      </c>
      <c r="I805" s="2" t="s">
        <v>126</v>
      </c>
      <c r="J805" s="2" t="s">
        <v>126</v>
      </c>
      <c r="K805" s="2" t="s">
        <v>8</v>
      </c>
      <c r="L805" s="2" t="s">
        <v>34</v>
      </c>
      <c r="M805" s="2" t="s">
        <v>45</v>
      </c>
      <c r="N805" s="2" t="s">
        <v>2919</v>
      </c>
      <c r="O805" s="2" t="s">
        <v>47</v>
      </c>
      <c r="P805" s="5">
        <v>814328939</v>
      </c>
      <c r="R805" s="2" t="s">
        <v>2920</v>
      </c>
      <c r="S805" s="2" t="s">
        <v>31</v>
      </c>
      <c r="T805" s="2" t="s">
        <v>283</v>
      </c>
      <c r="U805" s="2">
        <v>2012</v>
      </c>
      <c r="V805" s="6">
        <v>43197</v>
      </c>
      <c r="W805" s="3" t="s">
        <v>87</v>
      </c>
    </row>
    <row r="806" spans="1:24" x14ac:dyDescent="0.2">
      <c r="A806" s="2">
        <v>1710028</v>
      </c>
      <c r="B806" s="6">
        <v>43020.558415277781</v>
      </c>
      <c r="F806" s="2" t="s">
        <v>126</v>
      </c>
      <c r="G806" s="2" t="s">
        <v>126</v>
      </c>
      <c r="H806" s="2" t="s">
        <v>126</v>
      </c>
      <c r="I806" s="2" t="s">
        <v>126</v>
      </c>
      <c r="J806" s="2" t="s">
        <v>126</v>
      </c>
      <c r="K806" s="2" t="s">
        <v>8</v>
      </c>
      <c r="L806" s="2" t="s">
        <v>34</v>
      </c>
      <c r="M806" s="2" t="s">
        <v>28</v>
      </c>
      <c r="N806" s="2" t="s">
        <v>2921</v>
      </c>
      <c r="O806" s="2" t="s">
        <v>120</v>
      </c>
      <c r="P806" s="5">
        <v>856685747</v>
      </c>
      <c r="Q806" s="5">
        <v>909921777</v>
      </c>
      <c r="R806" s="2" t="s">
        <v>2922</v>
      </c>
      <c r="S806" s="2" t="s">
        <v>49</v>
      </c>
      <c r="T806" s="2" t="s">
        <v>130</v>
      </c>
      <c r="U806" s="2">
        <v>2010</v>
      </c>
    </row>
    <row r="807" spans="1:24" x14ac:dyDescent="0.2">
      <c r="A807" s="2">
        <v>1710029</v>
      </c>
      <c r="B807" s="6">
        <v>43020.566642708334</v>
      </c>
      <c r="C807" s="6">
        <v>43020.573965393516</v>
      </c>
      <c r="F807" s="2" t="s">
        <v>92</v>
      </c>
      <c r="G807" s="2" t="s">
        <v>11</v>
      </c>
      <c r="H807" s="2" t="s">
        <v>2926</v>
      </c>
      <c r="I807" s="2" t="s">
        <v>94</v>
      </c>
      <c r="J807" s="2" t="s">
        <v>95</v>
      </c>
      <c r="K807" s="2" t="s">
        <v>269</v>
      </c>
      <c r="L807" s="2" t="s">
        <v>34</v>
      </c>
      <c r="M807" s="2" t="s">
        <v>126</v>
      </c>
      <c r="R807" s="2" t="s">
        <v>2923</v>
      </c>
      <c r="S807" s="2" t="s">
        <v>183</v>
      </c>
      <c r="T807" s="2" t="s">
        <v>373</v>
      </c>
      <c r="X807" s="23">
        <v>0</v>
      </c>
    </row>
    <row r="808" spans="1:24" x14ac:dyDescent="0.2">
      <c r="A808" s="2">
        <v>1710030</v>
      </c>
      <c r="B808" s="6">
        <v>43020.583340972225</v>
      </c>
      <c r="F808" s="2" t="s">
        <v>126</v>
      </c>
      <c r="G808" s="2" t="s">
        <v>126</v>
      </c>
      <c r="H808" s="2" t="s">
        <v>126</v>
      </c>
      <c r="I808" s="2" t="s">
        <v>126</v>
      </c>
      <c r="J808" s="2" t="s">
        <v>126</v>
      </c>
      <c r="K808" s="2" t="s">
        <v>8</v>
      </c>
      <c r="L808" s="2" t="s">
        <v>73</v>
      </c>
      <c r="M808" s="2" t="s">
        <v>66</v>
      </c>
      <c r="N808" s="2" t="s">
        <v>2924</v>
      </c>
      <c r="O808" s="2" t="s">
        <v>346</v>
      </c>
      <c r="P808" s="5">
        <v>861686038</v>
      </c>
      <c r="R808" s="2" t="s">
        <v>2925</v>
      </c>
      <c r="S808" s="2" t="s">
        <v>49</v>
      </c>
      <c r="T808" s="2" t="s">
        <v>130</v>
      </c>
      <c r="U808" s="2">
        <v>2008</v>
      </c>
      <c r="V808" s="6">
        <v>43048</v>
      </c>
      <c r="W808" s="3" t="s">
        <v>99</v>
      </c>
    </row>
    <row r="809" spans="1:24" x14ac:dyDescent="0.2">
      <c r="A809" s="2">
        <v>1710031</v>
      </c>
      <c r="B809" s="6">
        <v>43021.467576620373</v>
      </c>
      <c r="F809" s="2" t="s">
        <v>126</v>
      </c>
      <c r="G809" s="2" t="s">
        <v>126</v>
      </c>
      <c r="H809" s="2" t="s">
        <v>126</v>
      </c>
      <c r="I809" s="2" t="s">
        <v>126</v>
      </c>
      <c r="J809" s="2" t="s">
        <v>126</v>
      </c>
      <c r="K809" s="2" t="s">
        <v>269</v>
      </c>
      <c r="L809" s="2" t="s">
        <v>27</v>
      </c>
      <c r="M809" s="2" t="s">
        <v>66</v>
      </c>
      <c r="N809" s="2" t="s">
        <v>2928</v>
      </c>
      <c r="O809" s="2" t="s">
        <v>41</v>
      </c>
      <c r="P809" s="5">
        <v>814307242</v>
      </c>
      <c r="R809" s="2" t="s">
        <v>2929</v>
      </c>
      <c r="S809" s="2" t="s">
        <v>55</v>
      </c>
      <c r="T809" s="2" t="s">
        <v>76</v>
      </c>
      <c r="U809" s="2">
        <v>2010</v>
      </c>
      <c r="V809" s="6">
        <v>43023</v>
      </c>
      <c r="W809" s="3" t="s">
        <v>1589</v>
      </c>
    </row>
    <row r="810" spans="1:24" x14ac:dyDescent="0.2">
      <c r="A810" s="2">
        <v>1710032</v>
      </c>
      <c r="B810" s="6">
        <v>43021.542731944442</v>
      </c>
      <c r="C810" s="6">
        <v>43021.54547824074</v>
      </c>
      <c r="F810" s="2" t="s">
        <v>92</v>
      </c>
      <c r="G810" s="2" t="s">
        <v>11</v>
      </c>
      <c r="H810" s="2" t="s">
        <v>206</v>
      </c>
      <c r="I810" s="2" t="s">
        <v>95</v>
      </c>
      <c r="J810" s="2" t="s">
        <v>95</v>
      </c>
      <c r="K810" s="2" t="s">
        <v>8</v>
      </c>
      <c r="L810" s="2" t="s">
        <v>73</v>
      </c>
      <c r="M810" s="2" t="s">
        <v>61</v>
      </c>
      <c r="N810" s="2" t="s">
        <v>2930</v>
      </c>
      <c r="O810" s="2" t="s">
        <v>208</v>
      </c>
      <c r="P810" s="5">
        <v>952501741</v>
      </c>
      <c r="R810" s="2" t="s">
        <v>2931</v>
      </c>
      <c r="S810" s="2" t="s">
        <v>49</v>
      </c>
      <c r="T810" s="2" t="s">
        <v>79</v>
      </c>
      <c r="U810" s="2">
        <v>2009</v>
      </c>
      <c r="V810" s="6">
        <v>43359</v>
      </c>
      <c r="W810" s="3" t="s">
        <v>39</v>
      </c>
      <c r="X810" s="23">
        <v>0</v>
      </c>
    </row>
    <row r="811" spans="1:24" x14ac:dyDescent="0.2">
      <c r="A811" s="2">
        <v>1710033</v>
      </c>
      <c r="B811" s="6">
        <v>43021.627005208335</v>
      </c>
      <c r="C811" s="6">
        <v>43021.637282060183</v>
      </c>
      <c r="F811" s="2" t="s">
        <v>92</v>
      </c>
      <c r="G811" s="2" t="s">
        <v>95</v>
      </c>
      <c r="H811" s="2" t="s">
        <v>95</v>
      </c>
      <c r="I811" s="2" t="s">
        <v>95</v>
      </c>
      <c r="J811" s="2" t="s">
        <v>95</v>
      </c>
      <c r="K811" s="2" t="s">
        <v>8</v>
      </c>
      <c r="L811" s="2" t="s">
        <v>170</v>
      </c>
      <c r="M811" s="2" t="s">
        <v>28</v>
      </c>
      <c r="N811" s="2" t="s">
        <v>2932</v>
      </c>
      <c r="O811" s="2" t="s">
        <v>53</v>
      </c>
      <c r="P811" s="5">
        <v>879889379</v>
      </c>
      <c r="Q811" s="5">
        <v>812588713</v>
      </c>
      <c r="R811" s="2" t="s">
        <v>2933</v>
      </c>
      <c r="S811" s="2" t="s">
        <v>55</v>
      </c>
      <c r="T811" s="2" t="s">
        <v>76</v>
      </c>
      <c r="U811" s="2">
        <v>2008</v>
      </c>
      <c r="V811" s="6">
        <v>43066</v>
      </c>
      <c r="W811" s="3" t="s">
        <v>44</v>
      </c>
      <c r="X811" s="23">
        <v>0</v>
      </c>
    </row>
    <row r="812" spans="1:24" x14ac:dyDescent="0.2">
      <c r="A812" s="2">
        <v>1710034</v>
      </c>
      <c r="B812" s="6">
        <v>43022.602831828706</v>
      </c>
      <c r="F812" s="2" t="s">
        <v>126</v>
      </c>
      <c r="G812" s="2" t="s">
        <v>126</v>
      </c>
      <c r="H812" s="2" t="s">
        <v>126</v>
      </c>
      <c r="I812" s="2" t="s">
        <v>126</v>
      </c>
      <c r="J812" s="2" t="s">
        <v>126</v>
      </c>
      <c r="K812" s="2" t="s">
        <v>8</v>
      </c>
      <c r="L812" s="2" t="s">
        <v>34</v>
      </c>
      <c r="M812" s="2" t="s">
        <v>28</v>
      </c>
      <c r="N812" s="2" t="s">
        <v>2934</v>
      </c>
      <c r="P812" s="5">
        <v>843211538</v>
      </c>
      <c r="R812" s="2" t="s">
        <v>2935</v>
      </c>
      <c r="S812" s="2" t="s">
        <v>64</v>
      </c>
      <c r="T812" s="2" t="s">
        <v>445</v>
      </c>
      <c r="U812" s="2">
        <v>2014</v>
      </c>
    </row>
    <row r="813" spans="1:24" x14ac:dyDescent="0.2">
      <c r="A813" s="2">
        <v>1710035</v>
      </c>
      <c r="B813" s="6">
        <v>43022.605666550924</v>
      </c>
      <c r="F813" s="2" t="s">
        <v>126</v>
      </c>
      <c r="G813" s="2" t="s">
        <v>126</v>
      </c>
      <c r="H813" s="2" t="s">
        <v>126</v>
      </c>
      <c r="I813" s="2" t="s">
        <v>126</v>
      </c>
      <c r="J813" s="2" t="s">
        <v>126</v>
      </c>
      <c r="K813" s="2" t="s">
        <v>8</v>
      </c>
      <c r="L813" s="2" t="s">
        <v>27</v>
      </c>
      <c r="M813" s="2" t="s">
        <v>61</v>
      </c>
      <c r="N813" s="2" t="s">
        <v>2936</v>
      </c>
      <c r="O813" s="2" t="s">
        <v>349</v>
      </c>
      <c r="P813" s="5">
        <v>953360597</v>
      </c>
      <c r="R813" s="2" t="s">
        <v>2937</v>
      </c>
      <c r="S813" s="2" t="s">
        <v>64</v>
      </c>
      <c r="T813" s="2" t="s">
        <v>445</v>
      </c>
      <c r="U813" s="2">
        <v>2012</v>
      </c>
      <c r="V813" s="6">
        <v>43034</v>
      </c>
      <c r="W813" s="3" t="s">
        <v>57</v>
      </c>
    </row>
    <row r="814" spans="1:24" x14ac:dyDescent="0.2">
      <c r="A814" s="2">
        <v>1710036</v>
      </c>
      <c r="B814" s="6">
        <v>43024.422570254632</v>
      </c>
      <c r="F814" s="2" t="s">
        <v>126</v>
      </c>
      <c r="G814" s="2" t="s">
        <v>126</v>
      </c>
      <c r="H814" s="2" t="s">
        <v>126</v>
      </c>
      <c r="I814" s="2" t="s">
        <v>126</v>
      </c>
      <c r="J814" s="2" t="s">
        <v>126</v>
      </c>
      <c r="K814" s="2" t="s">
        <v>8</v>
      </c>
      <c r="L814" s="2" t="s">
        <v>27</v>
      </c>
      <c r="M814" s="2" t="s">
        <v>28</v>
      </c>
      <c r="N814" s="2" t="s">
        <v>2938</v>
      </c>
      <c r="P814" s="5">
        <v>851675560</v>
      </c>
      <c r="R814" s="2" t="s">
        <v>2939</v>
      </c>
      <c r="S814" s="2" t="s">
        <v>55</v>
      </c>
      <c r="T814" s="2" t="s">
        <v>56</v>
      </c>
      <c r="U814" s="2">
        <v>2015</v>
      </c>
    </row>
    <row r="815" spans="1:24" x14ac:dyDescent="0.2">
      <c r="A815" s="2">
        <v>1710037</v>
      </c>
      <c r="B815" s="6">
        <v>43024.48674270833</v>
      </c>
      <c r="C815" s="6">
        <v>43024.488709027777</v>
      </c>
      <c r="D815" s="6">
        <v>43049</v>
      </c>
      <c r="F815" s="2">
        <v>24.511290972222923</v>
      </c>
      <c r="G815" s="2" t="s">
        <v>11</v>
      </c>
      <c r="H815" s="2" t="s">
        <v>206</v>
      </c>
      <c r="I815" s="2" t="s">
        <v>95</v>
      </c>
      <c r="J815" s="2" t="s">
        <v>95</v>
      </c>
      <c r="K815" s="2" t="s">
        <v>8</v>
      </c>
      <c r="L815" s="2" t="s">
        <v>73</v>
      </c>
      <c r="M815" s="2" t="s">
        <v>28</v>
      </c>
      <c r="N815" s="2" t="s">
        <v>2940</v>
      </c>
      <c r="O815" s="2" t="s">
        <v>2941</v>
      </c>
      <c r="P815" s="5">
        <v>899878696</v>
      </c>
      <c r="R815" s="2" t="s">
        <v>2942</v>
      </c>
      <c r="S815" s="2" t="s">
        <v>49</v>
      </c>
      <c r="T815" s="2" t="s">
        <v>923</v>
      </c>
      <c r="U815" s="2">
        <v>2015</v>
      </c>
      <c r="X815" s="23">
        <v>0</v>
      </c>
    </row>
    <row r="816" spans="1:24" x14ac:dyDescent="0.2">
      <c r="A816" s="2">
        <v>1710038</v>
      </c>
      <c r="B816" s="6">
        <v>43024.578618865744</v>
      </c>
      <c r="F816" s="2" t="s">
        <v>126</v>
      </c>
      <c r="G816" s="2" t="s">
        <v>126</v>
      </c>
      <c r="H816" s="2" t="s">
        <v>126</v>
      </c>
      <c r="I816" s="2" t="s">
        <v>126</v>
      </c>
      <c r="J816" s="2" t="s">
        <v>126</v>
      </c>
      <c r="K816" s="2" t="s">
        <v>8</v>
      </c>
      <c r="L816" s="2" t="s">
        <v>34</v>
      </c>
      <c r="M816" s="2" t="s">
        <v>66</v>
      </c>
      <c r="N816" s="2" t="s">
        <v>2943</v>
      </c>
      <c r="P816" s="5">
        <v>805801304</v>
      </c>
      <c r="R816" s="2" t="s">
        <v>2944</v>
      </c>
      <c r="S816" s="2" t="s">
        <v>31</v>
      </c>
      <c r="T816" s="2" t="s">
        <v>31</v>
      </c>
      <c r="U816" s="2">
        <v>2011</v>
      </c>
    </row>
    <row r="817" spans="1:24" x14ac:dyDescent="0.2">
      <c r="A817" s="2">
        <v>1710039</v>
      </c>
      <c r="B817" s="6">
        <v>43024.631022453701</v>
      </c>
      <c r="F817" s="2" t="s">
        <v>126</v>
      </c>
      <c r="G817" s="2" t="s">
        <v>126</v>
      </c>
      <c r="H817" s="2" t="s">
        <v>126</v>
      </c>
      <c r="I817" s="2" t="s">
        <v>126</v>
      </c>
      <c r="J817" s="2" t="s">
        <v>126</v>
      </c>
      <c r="K817" s="2" t="s">
        <v>8</v>
      </c>
      <c r="L817" s="2" t="s">
        <v>27</v>
      </c>
      <c r="M817" s="2" t="s">
        <v>28</v>
      </c>
      <c r="N817" s="2" t="s">
        <v>2945</v>
      </c>
      <c r="O817" s="2" t="s">
        <v>114</v>
      </c>
      <c r="P817" s="5">
        <v>898111673</v>
      </c>
      <c r="R817" s="2" t="s">
        <v>2946</v>
      </c>
      <c r="S817" s="2" t="s">
        <v>55</v>
      </c>
      <c r="T817" s="2" t="s">
        <v>697</v>
      </c>
      <c r="U817" s="2">
        <v>2011</v>
      </c>
    </row>
    <row r="818" spans="1:24" x14ac:dyDescent="0.2">
      <c r="A818" s="2">
        <v>1710040</v>
      </c>
      <c r="B818" s="6">
        <v>43024.686797800925</v>
      </c>
      <c r="C818" s="6">
        <v>43026.495455324075</v>
      </c>
      <c r="D818" s="6">
        <v>43036</v>
      </c>
      <c r="F818" s="2">
        <v>9.5045446759249899</v>
      </c>
      <c r="G818" s="2" t="s">
        <v>11</v>
      </c>
      <c r="H818" s="2" t="s">
        <v>95</v>
      </c>
      <c r="I818" s="2" t="s">
        <v>95</v>
      </c>
      <c r="J818" s="2" t="s">
        <v>95</v>
      </c>
      <c r="K818" s="2" t="s">
        <v>8</v>
      </c>
      <c r="L818" s="2" t="s">
        <v>27</v>
      </c>
      <c r="M818" s="2" t="s">
        <v>118</v>
      </c>
      <c r="N818" s="2" t="s">
        <v>2947</v>
      </c>
      <c r="O818" s="2" t="s">
        <v>41</v>
      </c>
      <c r="P818" s="5">
        <v>959690237</v>
      </c>
      <c r="R818" s="2" t="s">
        <v>2948</v>
      </c>
      <c r="S818" s="2" t="s">
        <v>55</v>
      </c>
      <c r="T818" s="2" t="s">
        <v>142</v>
      </c>
      <c r="U818" s="2">
        <v>2011</v>
      </c>
      <c r="V818" s="6">
        <v>43166</v>
      </c>
      <c r="W818" s="3" t="s">
        <v>342</v>
      </c>
      <c r="X818" s="23">
        <v>8600</v>
      </c>
    </row>
    <row r="819" spans="1:24" x14ac:dyDescent="0.2">
      <c r="A819" s="2">
        <v>1710041</v>
      </c>
      <c r="B819" s="6">
        <v>43024.693412384258</v>
      </c>
      <c r="F819" s="2" t="s">
        <v>126</v>
      </c>
      <c r="G819" s="2" t="s">
        <v>126</v>
      </c>
      <c r="H819" s="2" t="s">
        <v>126</v>
      </c>
      <c r="I819" s="2" t="s">
        <v>126</v>
      </c>
      <c r="J819" s="2" t="s">
        <v>126</v>
      </c>
      <c r="K819" s="2" t="s">
        <v>8</v>
      </c>
      <c r="L819" s="2" t="s">
        <v>34</v>
      </c>
      <c r="M819" s="2" t="s">
        <v>28</v>
      </c>
      <c r="N819" s="2" t="s">
        <v>2949</v>
      </c>
      <c r="O819" s="2" t="s">
        <v>41</v>
      </c>
      <c r="P819" s="5">
        <v>898197798</v>
      </c>
      <c r="Q819" s="5">
        <v>813876022</v>
      </c>
      <c r="R819" s="2" t="s">
        <v>741</v>
      </c>
      <c r="S819" s="2" t="s">
        <v>70</v>
      </c>
      <c r="T819" s="2" t="s">
        <v>2950</v>
      </c>
      <c r="U819" s="2">
        <v>2013</v>
      </c>
    </row>
    <row r="820" spans="1:24" x14ac:dyDescent="0.2">
      <c r="A820" s="2">
        <v>1710042</v>
      </c>
      <c r="B820" s="6">
        <v>43025.456789351854</v>
      </c>
      <c r="F820" s="2" t="s">
        <v>126</v>
      </c>
      <c r="G820" s="2" t="s">
        <v>126</v>
      </c>
      <c r="H820" s="2" t="s">
        <v>126</v>
      </c>
      <c r="I820" s="2" t="s">
        <v>126</v>
      </c>
      <c r="J820" s="2" t="s">
        <v>126</v>
      </c>
      <c r="K820" s="2" t="s">
        <v>8</v>
      </c>
      <c r="L820" s="2" t="s">
        <v>981</v>
      </c>
      <c r="M820" s="2" t="s">
        <v>28</v>
      </c>
      <c r="N820" s="2" t="s">
        <v>2951</v>
      </c>
      <c r="O820" s="2" t="s">
        <v>47</v>
      </c>
      <c r="P820" s="5">
        <v>825628081</v>
      </c>
      <c r="R820" s="2" t="s">
        <v>2952</v>
      </c>
      <c r="S820" s="2" t="s">
        <v>49</v>
      </c>
      <c r="T820" s="2" t="s">
        <v>205</v>
      </c>
      <c r="U820" s="2">
        <v>2016</v>
      </c>
      <c r="V820" s="6">
        <v>43314</v>
      </c>
      <c r="W820" s="3" t="s">
        <v>84</v>
      </c>
    </row>
    <row r="821" spans="1:24" x14ac:dyDescent="0.2">
      <c r="A821" s="2">
        <v>1710043</v>
      </c>
      <c r="B821" s="6">
        <v>43026.382670486113</v>
      </c>
      <c r="C821" s="6">
        <v>43026.404925925926</v>
      </c>
      <c r="D821" s="6">
        <v>43056</v>
      </c>
      <c r="F821" s="2">
        <v>29.595074074073636</v>
      </c>
      <c r="G821" s="2" t="s">
        <v>11</v>
      </c>
      <c r="H821" s="2" t="s">
        <v>95</v>
      </c>
      <c r="I821" s="2" t="s">
        <v>95</v>
      </c>
      <c r="J821" s="2" t="s">
        <v>95</v>
      </c>
      <c r="K821" s="2" t="s">
        <v>709</v>
      </c>
      <c r="L821" s="2" t="s">
        <v>73</v>
      </c>
      <c r="M821" s="2" t="s">
        <v>126</v>
      </c>
      <c r="N821" s="2" t="s">
        <v>2953</v>
      </c>
      <c r="O821" s="2" t="s">
        <v>128</v>
      </c>
      <c r="P821" s="5">
        <v>944054660</v>
      </c>
      <c r="R821" s="2" t="s">
        <v>2954</v>
      </c>
      <c r="S821" s="2" t="s">
        <v>55</v>
      </c>
      <c r="T821" s="2" t="s">
        <v>142</v>
      </c>
      <c r="U821" s="2">
        <v>2011</v>
      </c>
      <c r="X821" s="23">
        <v>0</v>
      </c>
    </row>
    <row r="822" spans="1:24" x14ac:dyDescent="0.2">
      <c r="A822" s="2" t="e">
        <v>#VALUE!</v>
      </c>
      <c r="F822" s="2" t="s">
        <v>126</v>
      </c>
      <c r="G822" s="2" t="s">
        <v>126</v>
      </c>
      <c r="H822" s="2" t="s">
        <v>126</v>
      </c>
      <c r="I822" s="2" t="s">
        <v>126</v>
      </c>
      <c r="J822" s="2" t="s">
        <v>126</v>
      </c>
    </row>
    <row r="823" spans="1:24" x14ac:dyDescent="0.2">
      <c r="A823" s="2" t="e">
        <v>#VALUE!</v>
      </c>
      <c r="F823" s="2" t="s">
        <v>126</v>
      </c>
      <c r="G823" s="2" t="s">
        <v>126</v>
      </c>
      <c r="H823" s="2" t="s">
        <v>126</v>
      </c>
      <c r="I823" s="2" t="s">
        <v>126</v>
      </c>
      <c r="J823" s="2" t="s">
        <v>126</v>
      </c>
    </row>
    <row r="824" spans="1:24" x14ac:dyDescent="0.2">
      <c r="A824" s="2" t="e">
        <v>#VALUE!</v>
      </c>
      <c r="F824" s="2" t="s">
        <v>126</v>
      </c>
      <c r="G824" s="2" t="s">
        <v>126</v>
      </c>
      <c r="H824" s="2" t="s">
        <v>126</v>
      </c>
      <c r="I824" s="2" t="s">
        <v>126</v>
      </c>
      <c r="J824" s="2" t="s">
        <v>126</v>
      </c>
    </row>
    <row r="825" spans="1:24" x14ac:dyDescent="0.2">
      <c r="A825" s="2" t="e">
        <v>#VALUE!</v>
      </c>
      <c r="F825" s="2" t="s">
        <v>126</v>
      </c>
      <c r="G825" s="2" t="s">
        <v>126</v>
      </c>
      <c r="H825" s="2" t="s">
        <v>126</v>
      </c>
      <c r="I825" s="2" t="s">
        <v>126</v>
      </c>
      <c r="J825" s="2" t="s">
        <v>126</v>
      </c>
    </row>
    <row r="826" spans="1:24" x14ac:dyDescent="0.2">
      <c r="A826" s="2" t="e">
        <v>#VALUE!</v>
      </c>
      <c r="F826" s="2" t="s">
        <v>126</v>
      </c>
      <c r="G826" s="2" t="s">
        <v>126</v>
      </c>
      <c r="H826" s="2" t="s">
        <v>126</v>
      </c>
      <c r="I826" s="2" t="s">
        <v>126</v>
      </c>
      <c r="J826" s="2" t="s">
        <v>126</v>
      </c>
    </row>
    <row r="827" spans="1:24" x14ac:dyDescent="0.2">
      <c r="A827" s="2" t="e">
        <v>#VALUE!</v>
      </c>
      <c r="F827" s="2" t="s">
        <v>126</v>
      </c>
      <c r="G827" s="2" t="s">
        <v>126</v>
      </c>
      <c r="H827" s="2" t="s">
        <v>126</v>
      </c>
      <c r="I827" s="2" t="s">
        <v>126</v>
      </c>
      <c r="J827" s="2" t="s">
        <v>126</v>
      </c>
    </row>
    <row r="828" spans="1:24" x14ac:dyDescent="0.2">
      <c r="A828" s="2" t="e">
        <v>#VALUE!</v>
      </c>
      <c r="F828" s="2" t="s">
        <v>126</v>
      </c>
      <c r="G828" s="2" t="s">
        <v>126</v>
      </c>
      <c r="H828" s="2" t="s">
        <v>126</v>
      </c>
      <c r="I828" s="2" t="s">
        <v>126</v>
      </c>
      <c r="J828" s="2" t="s">
        <v>126</v>
      </c>
    </row>
    <row r="829" spans="1:24" x14ac:dyDescent="0.2">
      <c r="A829" s="2" t="e">
        <v>#VALUE!</v>
      </c>
      <c r="F829" s="2" t="s">
        <v>126</v>
      </c>
      <c r="G829" s="2" t="s">
        <v>126</v>
      </c>
      <c r="H829" s="2" t="s">
        <v>126</v>
      </c>
      <c r="I829" s="2" t="s">
        <v>126</v>
      </c>
      <c r="J829" s="2" t="s">
        <v>126</v>
      </c>
    </row>
    <row r="830" spans="1:24" x14ac:dyDescent="0.2">
      <c r="A830" s="2" t="e">
        <v>#VALUE!</v>
      </c>
      <c r="F830" s="2" t="s">
        <v>126</v>
      </c>
      <c r="G830" s="2" t="s">
        <v>126</v>
      </c>
      <c r="H830" s="2" t="s">
        <v>126</v>
      </c>
      <c r="I830" s="2" t="s">
        <v>126</v>
      </c>
      <c r="J830" s="2" t="s">
        <v>126</v>
      </c>
    </row>
    <row r="831" spans="1:24" x14ac:dyDescent="0.2">
      <c r="A831" s="2" t="e">
        <v>#VALUE!</v>
      </c>
      <c r="F831" s="2" t="s">
        <v>126</v>
      </c>
      <c r="G831" s="2" t="s">
        <v>126</v>
      </c>
      <c r="H831" s="2" t="s">
        <v>126</v>
      </c>
      <c r="I831" s="2" t="s">
        <v>126</v>
      </c>
      <c r="J831" s="2" t="s">
        <v>126</v>
      </c>
    </row>
    <row r="832" spans="1:24" x14ac:dyDescent="0.2">
      <c r="A832" s="2" t="e">
        <v>#VALUE!</v>
      </c>
      <c r="F832" s="2" t="s">
        <v>126</v>
      </c>
      <c r="G832" s="2" t="s">
        <v>126</v>
      </c>
      <c r="H832" s="2" t="s">
        <v>126</v>
      </c>
      <c r="I832" s="2" t="s">
        <v>126</v>
      </c>
      <c r="J832" s="2" t="s">
        <v>126</v>
      </c>
    </row>
    <row r="833" spans="1:10" x14ac:dyDescent="0.2">
      <c r="A833" s="2" t="e">
        <v>#VALUE!</v>
      </c>
      <c r="F833" s="2" t="s">
        <v>126</v>
      </c>
      <c r="G833" s="2" t="s">
        <v>126</v>
      </c>
      <c r="H833" s="2" t="s">
        <v>126</v>
      </c>
      <c r="I833" s="2" t="s">
        <v>126</v>
      </c>
      <c r="J833" s="2" t="s">
        <v>126</v>
      </c>
    </row>
    <row r="834" spans="1:10" x14ac:dyDescent="0.2">
      <c r="A834" s="2" t="e">
        <v>#VALUE!</v>
      </c>
      <c r="F834" s="2" t="s">
        <v>126</v>
      </c>
      <c r="G834" s="2" t="s">
        <v>126</v>
      </c>
      <c r="H834" s="2" t="s">
        <v>126</v>
      </c>
      <c r="I834" s="2" t="s">
        <v>126</v>
      </c>
      <c r="J834" s="2" t="s">
        <v>126</v>
      </c>
    </row>
    <row r="835" spans="1:10" x14ac:dyDescent="0.2">
      <c r="A835" s="2" t="e">
        <v>#VALUE!</v>
      </c>
      <c r="F835" s="2" t="s">
        <v>126</v>
      </c>
      <c r="G835" s="2" t="s">
        <v>126</v>
      </c>
      <c r="H835" s="2" t="s">
        <v>126</v>
      </c>
      <c r="I835" s="2" t="s">
        <v>126</v>
      </c>
      <c r="J835" s="2" t="s">
        <v>126</v>
      </c>
    </row>
    <row r="836" spans="1:10" x14ac:dyDescent="0.2">
      <c r="A836" s="2" t="e">
        <v>#VALUE!</v>
      </c>
      <c r="F836" s="2" t="s">
        <v>126</v>
      </c>
      <c r="G836" s="2" t="s">
        <v>126</v>
      </c>
      <c r="H836" s="2" t="s">
        <v>126</v>
      </c>
      <c r="I836" s="2" t="s">
        <v>126</v>
      </c>
      <c r="J836" s="2" t="s">
        <v>126</v>
      </c>
    </row>
    <row r="837" spans="1:10" x14ac:dyDescent="0.2">
      <c r="A837" s="2" t="e">
        <v>#VALUE!</v>
      </c>
      <c r="F837" s="2" t="s">
        <v>126</v>
      </c>
      <c r="G837" s="2" t="s">
        <v>126</v>
      </c>
      <c r="H837" s="2" t="s">
        <v>126</v>
      </c>
      <c r="I837" s="2" t="s">
        <v>126</v>
      </c>
      <c r="J837" s="2" t="s">
        <v>126</v>
      </c>
    </row>
    <row r="838" spans="1:10" x14ac:dyDescent="0.2">
      <c r="A838" s="2" t="e">
        <v>#VALUE!</v>
      </c>
      <c r="F838" s="2" t="s">
        <v>126</v>
      </c>
      <c r="G838" s="2" t="s">
        <v>126</v>
      </c>
      <c r="H838" s="2" t="s">
        <v>126</v>
      </c>
      <c r="I838" s="2" t="s">
        <v>126</v>
      </c>
      <c r="J838" s="2" t="s">
        <v>126</v>
      </c>
    </row>
    <row r="839" spans="1:10" x14ac:dyDescent="0.2">
      <c r="A839" s="2" t="e">
        <v>#VALUE!</v>
      </c>
      <c r="F839" s="2" t="s">
        <v>126</v>
      </c>
      <c r="G839" s="2" t="s">
        <v>126</v>
      </c>
      <c r="H839" s="2" t="s">
        <v>126</v>
      </c>
      <c r="I839" s="2" t="s">
        <v>126</v>
      </c>
      <c r="J839" s="2" t="s">
        <v>126</v>
      </c>
    </row>
    <row r="840" spans="1:10" x14ac:dyDescent="0.2">
      <c r="A840" s="2" t="e">
        <v>#VALUE!</v>
      </c>
      <c r="F840" s="2" t="s">
        <v>126</v>
      </c>
      <c r="G840" s="2" t="s">
        <v>126</v>
      </c>
      <c r="H840" s="2" t="s">
        <v>126</v>
      </c>
      <c r="I840" s="2" t="s">
        <v>126</v>
      </c>
      <c r="J840" s="2" t="s">
        <v>126</v>
      </c>
    </row>
    <row r="841" spans="1:10" x14ac:dyDescent="0.2">
      <c r="A841" s="2" t="e">
        <v>#VALUE!</v>
      </c>
      <c r="F841" s="2" t="s">
        <v>126</v>
      </c>
      <c r="G841" s="2" t="s">
        <v>126</v>
      </c>
      <c r="H841" s="2" t="s">
        <v>126</v>
      </c>
      <c r="I841" s="2" t="s">
        <v>126</v>
      </c>
      <c r="J841" s="2" t="s">
        <v>126</v>
      </c>
    </row>
    <row r="842" spans="1:10" x14ac:dyDescent="0.2">
      <c r="A842" s="2" t="e">
        <v>#VALUE!</v>
      </c>
      <c r="F842" s="2" t="s">
        <v>126</v>
      </c>
      <c r="G842" s="2" t="s">
        <v>126</v>
      </c>
      <c r="H842" s="2" t="s">
        <v>126</v>
      </c>
      <c r="I842" s="2" t="s">
        <v>126</v>
      </c>
      <c r="J842" s="2" t="s">
        <v>126</v>
      </c>
    </row>
    <row r="843" spans="1:10" x14ac:dyDescent="0.2">
      <c r="A843" s="2" t="e">
        <v>#VALUE!</v>
      </c>
      <c r="F843" s="2" t="s">
        <v>126</v>
      </c>
      <c r="G843" s="2" t="s">
        <v>126</v>
      </c>
      <c r="H843" s="2" t="s">
        <v>126</v>
      </c>
      <c r="I843" s="2" t="s">
        <v>126</v>
      </c>
      <c r="J843" s="2" t="s">
        <v>126</v>
      </c>
    </row>
    <row r="844" spans="1:10" x14ac:dyDescent="0.2">
      <c r="A844" s="2" t="e">
        <v>#VALUE!</v>
      </c>
      <c r="F844" s="2" t="s">
        <v>126</v>
      </c>
      <c r="G844" s="2" t="s">
        <v>126</v>
      </c>
      <c r="H844" s="2" t="s">
        <v>126</v>
      </c>
      <c r="I844" s="2" t="s">
        <v>126</v>
      </c>
      <c r="J844" s="2" t="s">
        <v>126</v>
      </c>
    </row>
    <row r="845" spans="1:10" x14ac:dyDescent="0.2">
      <c r="A845" s="2" t="e">
        <v>#VALUE!</v>
      </c>
      <c r="F845" s="2" t="s">
        <v>126</v>
      </c>
      <c r="G845" s="2" t="s">
        <v>126</v>
      </c>
      <c r="H845" s="2" t="s">
        <v>126</v>
      </c>
      <c r="I845" s="2" t="s">
        <v>126</v>
      </c>
      <c r="J845" s="2" t="s">
        <v>126</v>
      </c>
    </row>
    <row r="846" spans="1:10" x14ac:dyDescent="0.2">
      <c r="A846" s="2" t="e">
        <v>#VALUE!</v>
      </c>
      <c r="F846" s="2" t="s">
        <v>126</v>
      </c>
      <c r="G846" s="2" t="s">
        <v>126</v>
      </c>
      <c r="H846" s="2" t="s">
        <v>126</v>
      </c>
      <c r="I846" s="2" t="s">
        <v>126</v>
      </c>
      <c r="J846" s="2" t="s">
        <v>126</v>
      </c>
    </row>
    <row r="847" spans="1:10" x14ac:dyDescent="0.2">
      <c r="A847" s="2" t="e">
        <v>#VALUE!</v>
      </c>
      <c r="F847" s="2" t="s">
        <v>126</v>
      </c>
      <c r="G847" s="2" t="s">
        <v>126</v>
      </c>
      <c r="H847" s="2" t="s">
        <v>126</v>
      </c>
      <c r="I847" s="2" t="s">
        <v>126</v>
      </c>
      <c r="J847" s="2" t="s">
        <v>126</v>
      </c>
    </row>
    <row r="848" spans="1:10" x14ac:dyDescent="0.2">
      <c r="A848" s="2" t="e">
        <v>#VALUE!</v>
      </c>
      <c r="F848" s="2" t="s">
        <v>126</v>
      </c>
      <c r="G848" s="2" t="s">
        <v>126</v>
      </c>
      <c r="H848" s="2" t="s">
        <v>126</v>
      </c>
      <c r="I848" s="2" t="s">
        <v>126</v>
      </c>
      <c r="J848" s="2" t="s">
        <v>126</v>
      </c>
    </row>
    <row r="849" spans="1:10" x14ac:dyDescent="0.2">
      <c r="A849" s="2" t="e">
        <v>#VALUE!</v>
      </c>
      <c r="F849" s="2" t="s">
        <v>126</v>
      </c>
      <c r="G849" s="2" t="s">
        <v>126</v>
      </c>
      <c r="H849" s="2" t="s">
        <v>126</v>
      </c>
      <c r="I849" s="2" t="s">
        <v>126</v>
      </c>
      <c r="J849" s="2" t="s">
        <v>126</v>
      </c>
    </row>
    <row r="850" spans="1:10" x14ac:dyDescent="0.2">
      <c r="A850" s="2" t="e">
        <v>#VALUE!</v>
      </c>
      <c r="F850" s="2" t="s">
        <v>126</v>
      </c>
      <c r="G850" s="2" t="s">
        <v>126</v>
      </c>
      <c r="H850" s="2" t="s">
        <v>126</v>
      </c>
      <c r="I850" s="2" t="s">
        <v>126</v>
      </c>
      <c r="J850" s="2" t="s">
        <v>126</v>
      </c>
    </row>
    <row r="851" spans="1:10" x14ac:dyDescent="0.2">
      <c r="A851" s="2" t="e">
        <v>#VALUE!</v>
      </c>
      <c r="F851" s="2" t="s">
        <v>126</v>
      </c>
      <c r="G851" s="2" t="s">
        <v>126</v>
      </c>
      <c r="H851" s="2" t="s">
        <v>126</v>
      </c>
      <c r="I851" s="2" t="s">
        <v>126</v>
      </c>
      <c r="J851" s="2" t="s">
        <v>126</v>
      </c>
    </row>
    <row r="852" spans="1:10" x14ac:dyDescent="0.2">
      <c r="A852" s="2" t="e">
        <v>#VALUE!</v>
      </c>
      <c r="F852" s="2" t="s">
        <v>126</v>
      </c>
      <c r="G852" s="2" t="s">
        <v>126</v>
      </c>
      <c r="H852" s="2" t="s">
        <v>126</v>
      </c>
      <c r="I852" s="2" t="s">
        <v>126</v>
      </c>
      <c r="J852" s="2" t="s">
        <v>126</v>
      </c>
    </row>
    <row r="853" spans="1:10" x14ac:dyDescent="0.2">
      <c r="A853" s="2" t="e">
        <v>#VALUE!</v>
      </c>
      <c r="F853" s="2" t="s">
        <v>126</v>
      </c>
      <c r="G853" s="2" t="s">
        <v>126</v>
      </c>
      <c r="H853" s="2" t="s">
        <v>126</v>
      </c>
      <c r="I853" s="2" t="s">
        <v>126</v>
      </c>
      <c r="J853" s="2" t="s">
        <v>126</v>
      </c>
    </row>
    <row r="854" spans="1:10" x14ac:dyDescent="0.2">
      <c r="A854" s="2" t="e">
        <v>#VALUE!</v>
      </c>
      <c r="F854" s="2" t="s">
        <v>126</v>
      </c>
      <c r="G854" s="2" t="s">
        <v>126</v>
      </c>
      <c r="H854" s="2" t="s">
        <v>126</v>
      </c>
      <c r="I854" s="2" t="s">
        <v>126</v>
      </c>
      <c r="J854" s="2" t="s">
        <v>126</v>
      </c>
    </row>
    <row r="855" spans="1:10" x14ac:dyDescent="0.2">
      <c r="A855" s="2" t="e">
        <v>#VALUE!</v>
      </c>
      <c r="F855" s="2" t="s">
        <v>126</v>
      </c>
      <c r="G855" s="2" t="s">
        <v>126</v>
      </c>
      <c r="H855" s="2" t="s">
        <v>126</v>
      </c>
      <c r="I855" s="2" t="s">
        <v>126</v>
      </c>
      <c r="J855" s="2" t="s">
        <v>126</v>
      </c>
    </row>
    <row r="856" spans="1:10" x14ac:dyDescent="0.2">
      <c r="A856" s="2" t="e">
        <v>#VALUE!</v>
      </c>
      <c r="F856" s="2" t="s">
        <v>126</v>
      </c>
      <c r="G856" s="2" t="s">
        <v>126</v>
      </c>
      <c r="H856" s="2" t="s">
        <v>126</v>
      </c>
      <c r="I856" s="2" t="s">
        <v>126</v>
      </c>
      <c r="J856" s="2" t="s">
        <v>126</v>
      </c>
    </row>
    <row r="857" spans="1:10" x14ac:dyDescent="0.2">
      <c r="A857" s="2" t="e">
        <v>#VALUE!</v>
      </c>
      <c r="F857" s="2" t="s">
        <v>126</v>
      </c>
      <c r="G857" s="2" t="s">
        <v>126</v>
      </c>
      <c r="H857" s="2" t="s">
        <v>126</v>
      </c>
      <c r="I857" s="2" t="s">
        <v>126</v>
      </c>
      <c r="J857" s="2" t="s">
        <v>126</v>
      </c>
    </row>
    <row r="858" spans="1:10" x14ac:dyDescent="0.2">
      <c r="A858" s="2" t="e">
        <v>#VALUE!</v>
      </c>
      <c r="F858" s="2" t="s">
        <v>126</v>
      </c>
      <c r="G858" s="2" t="s">
        <v>126</v>
      </c>
      <c r="H858" s="2" t="s">
        <v>126</v>
      </c>
      <c r="I858" s="2" t="s">
        <v>126</v>
      </c>
      <c r="J858" s="2" t="s">
        <v>126</v>
      </c>
    </row>
    <row r="859" spans="1:10" x14ac:dyDescent="0.2">
      <c r="A859" s="2" t="e">
        <v>#VALUE!</v>
      </c>
      <c r="F859" s="2" t="s">
        <v>126</v>
      </c>
      <c r="G859" s="2" t="s">
        <v>126</v>
      </c>
      <c r="H859" s="2" t="s">
        <v>126</v>
      </c>
      <c r="I859" s="2" t="s">
        <v>126</v>
      </c>
      <c r="J859" s="2" t="s">
        <v>126</v>
      </c>
    </row>
    <row r="860" spans="1:10" x14ac:dyDescent="0.2">
      <c r="A860" s="2" t="e">
        <v>#VALUE!</v>
      </c>
      <c r="F860" s="2" t="s">
        <v>126</v>
      </c>
      <c r="G860" s="2" t="s">
        <v>126</v>
      </c>
      <c r="H860" s="2" t="s">
        <v>126</v>
      </c>
      <c r="I860" s="2" t="s">
        <v>126</v>
      </c>
      <c r="J860" s="2" t="s">
        <v>126</v>
      </c>
    </row>
    <row r="861" spans="1:10" x14ac:dyDescent="0.2">
      <c r="A861" s="2" t="e">
        <v>#VALUE!</v>
      </c>
      <c r="F861" s="2" t="s">
        <v>126</v>
      </c>
      <c r="G861" s="2" t="s">
        <v>126</v>
      </c>
      <c r="H861" s="2" t="s">
        <v>126</v>
      </c>
      <c r="I861" s="2" t="s">
        <v>126</v>
      </c>
      <c r="J861" s="2" t="s">
        <v>126</v>
      </c>
    </row>
    <row r="862" spans="1:10" x14ac:dyDescent="0.2">
      <c r="A862" s="2" t="e">
        <v>#VALUE!</v>
      </c>
      <c r="F862" s="2" t="s">
        <v>126</v>
      </c>
      <c r="G862" s="2" t="s">
        <v>126</v>
      </c>
      <c r="H862" s="2" t="s">
        <v>126</v>
      </c>
      <c r="I862" s="2" t="s">
        <v>126</v>
      </c>
      <c r="J862" s="2" t="s">
        <v>126</v>
      </c>
    </row>
    <row r="863" spans="1:10" x14ac:dyDescent="0.2">
      <c r="A863" s="2" t="e">
        <v>#VALUE!</v>
      </c>
      <c r="F863" s="2" t="s">
        <v>126</v>
      </c>
      <c r="G863" s="2" t="s">
        <v>126</v>
      </c>
      <c r="H863" s="2" t="s">
        <v>126</v>
      </c>
      <c r="I863" s="2" t="s">
        <v>126</v>
      </c>
      <c r="J863" s="2" t="s">
        <v>126</v>
      </c>
    </row>
    <row r="864" spans="1:10" x14ac:dyDescent="0.2">
      <c r="A864" s="2" t="e">
        <v>#VALUE!</v>
      </c>
      <c r="F864" s="2" t="s">
        <v>126</v>
      </c>
      <c r="G864" s="2" t="s">
        <v>126</v>
      </c>
      <c r="H864" s="2" t="s">
        <v>126</v>
      </c>
      <c r="I864" s="2" t="s">
        <v>126</v>
      </c>
      <c r="J864" s="2" t="s">
        <v>126</v>
      </c>
    </row>
    <row r="865" spans="1:10" x14ac:dyDescent="0.2">
      <c r="A865" s="2" t="e">
        <v>#VALUE!</v>
      </c>
      <c r="F865" s="2" t="s">
        <v>126</v>
      </c>
      <c r="G865" s="2" t="s">
        <v>126</v>
      </c>
      <c r="H865" s="2" t="s">
        <v>126</v>
      </c>
      <c r="I865" s="2" t="s">
        <v>126</v>
      </c>
      <c r="J865" s="2" t="s">
        <v>126</v>
      </c>
    </row>
    <row r="866" spans="1:10" x14ac:dyDescent="0.2">
      <c r="A866" s="2" t="e">
        <v>#VALUE!</v>
      </c>
      <c r="F866" s="2" t="s">
        <v>126</v>
      </c>
      <c r="G866" s="2" t="s">
        <v>126</v>
      </c>
      <c r="H866" s="2" t="s">
        <v>126</v>
      </c>
      <c r="I866" s="2" t="s">
        <v>126</v>
      </c>
      <c r="J866" s="2" t="s">
        <v>126</v>
      </c>
    </row>
    <row r="867" spans="1:10" x14ac:dyDescent="0.2">
      <c r="A867" s="2" t="e">
        <v>#VALUE!</v>
      </c>
      <c r="F867" s="2" t="s">
        <v>126</v>
      </c>
      <c r="G867" s="2" t="s">
        <v>126</v>
      </c>
      <c r="H867" s="2" t="s">
        <v>126</v>
      </c>
      <c r="I867" s="2" t="s">
        <v>126</v>
      </c>
      <c r="J867" s="2" t="s">
        <v>126</v>
      </c>
    </row>
    <row r="868" spans="1:10" x14ac:dyDescent="0.2">
      <c r="A868" s="2" t="e">
        <v>#VALUE!</v>
      </c>
      <c r="F868" s="2" t="s">
        <v>126</v>
      </c>
      <c r="G868" s="2" t="s">
        <v>126</v>
      </c>
      <c r="H868" s="2" t="s">
        <v>126</v>
      </c>
      <c r="I868" s="2" t="s">
        <v>126</v>
      </c>
      <c r="J868" s="2" t="s">
        <v>126</v>
      </c>
    </row>
    <row r="869" spans="1:10" x14ac:dyDescent="0.2">
      <c r="A869" s="2" t="e">
        <v>#VALUE!</v>
      </c>
      <c r="F869" s="2" t="s">
        <v>126</v>
      </c>
      <c r="G869" s="2" t="s">
        <v>126</v>
      </c>
      <c r="H869" s="2" t="s">
        <v>126</v>
      </c>
      <c r="I869" s="2" t="s">
        <v>126</v>
      </c>
      <c r="J869" s="2" t="s">
        <v>126</v>
      </c>
    </row>
    <row r="870" spans="1:10" x14ac:dyDescent="0.2">
      <c r="A870" s="2" t="e">
        <v>#VALUE!</v>
      </c>
      <c r="F870" s="2" t="s">
        <v>126</v>
      </c>
      <c r="G870" s="2" t="s">
        <v>126</v>
      </c>
      <c r="H870" s="2" t="s">
        <v>126</v>
      </c>
      <c r="I870" s="2" t="s">
        <v>126</v>
      </c>
      <c r="J870" s="2" t="s">
        <v>126</v>
      </c>
    </row>
    <row r="871" spans="1:10" x14ac:dyDescent="0.2">
      <c r="A871" s="2" t="e">
        <v>#VALUE!</v>
      </c>
      <c r="F871" s="2" t="s">
        <v>126</v>
      </c>
      <c r="G871" s="2" t="s">
        <v>126</v>
      </c>
      <c r="H871" s="2" t="s">
        <v>126</v>
      </c>
      <c r="I871" s="2" t="s">
        <v>126</v>
      </c>
      <c r="J871" s="2" t="s">
        <v>126</v>
      </c>
    </row>
    <row r="872" spans="1:10" x14ac:dyDescent="0.2">
      <c r="A872" s="2" t="e">
        <v>#VALUE!</v>
      </c>
      <c r="F872" s="2" t="s">
        <v>126</v>
      </c>
      <c r="G872" s="2" t="s">
        <v>126</v>
      </c>
      <c r="H872" s="2" t="s">
        <v>126</v>
      </c>
      <c r="I872" s="2" t="s">
        <v>126</v>
      </c>
      <c r="J872" s="2" t="s">
        <v>126</v>
      </c>
    </row>
    <row r="873" spans="1:10" x14ac:dyDescent="0.2">
      <c r="A873" s="2" t="e">
        <v>#VALUE!</v>
      </c>
      <c r="F873" s="2" t="s">
        <v>126</v>
      </c>
      <c r="G873" s="2" t="s">
        <v>126</v>
      </c>
      <c r="H873" s="2" t="s">
        <v>126</v>
      </c>
      <c r="I873" s="2" t="s">
        <v>126</v>
      </c>
      <c r="J873" s="2" t="s">
        <v>126</v>
      </c>
    </row>
    <row r="874" spans="1:10" x14ac:dyDescent="0.2">
      <c r="A874" s="2" t="e">
        <v>#VALUE!</v>
      </c>
      <c r="F874" s="2" t="s">
        <v>126</v>
      </c>
      <c r="G874" s="2" t="s">
        <v>126</v>
      </c>
      <c r="H874" s="2" t="s">
        <v>126</v>
      </c>
      <c r="I874" s="2" t="s">
        <v>126</v>
      </c>
      <c r="J874" s="2" t="s">
        <v>126</v>
      </c>
    </row>
    <row r="875" spans="1:10" x14ac:dyDescent="0.2">
      <c r="A875" s="2" t="e">
        <v>#VALUE!</v>
      </c>
      <c r="F875" s="2" t="s">
        <v>126</v>
      </c>
      <c r="G875" s="2" t="s">
        <v>126</v>
      </c>
      <c r="H875" s="2" t="s">
        <v>126</v>
      </c>
      <c r="I875" s="2" t="s">
        <v>126</v>
      </c>
      <c r="J875" s="2" t="s">
        <v>126</v>
      </c>
    </row>
    <row r="876" spans="1:10" x14ac:dyDescent="0.2">
      <c r="A876" s="2" t="e">
        <v>#VALUE!</v>
      </c>
      <c r="F876" s="2" t="s">
        <v>126</v>
      </c>
      <c r="G876" s="2" t="s">
        <v>126</v>
      </c>
      <c r="H876" s="2" t="s">
        <v>126</v>
      </c>
      <c r="I876" s="2" t="s">
        <v>126</v>
      </c>
      <c r="J876" s="2" t="s">
        <v>126</v>
      </c>
    </row>
    <row r="877" spans="1:10" x14ac:dyDescent="0.2">
      <c r="A877" s="2" t="e">
        <v>#VALUE!</v>
      </c>
      <c r="F877" s="2" t="s">
        <v>126</v>
      </c>
      <c r="G877" s="2" t="s">
        <v>126</v>
      </c>
      <c r="H877" s="2" t="s">
        <v>126</v>
      </c>
      <c r="I877" s="2" t="s">
        <v>126</v>
      </c>
      <c r="J877" s="2" t="s">
        <v>126</v>
      </c>
    </row>
    <row r="878" spans="1:10" x14ac:dyDescent="0.2">
      <c r="A878" s="2" t="e">
        <v>#VALUE!</v>
      </c>
      <c r="F878" s="2" t="s">
        <v>126</v>
      </c>
      <c r="G878" s="2" t="s">
        <v>126</v>
      </c>
      <c r="H878" s="2" t="s">
        <v>126</v>
      </c>
      <c r="I878" s="2" t="s">
        <v>126</v>
      </c>
      <c r="J878" s="2" t="s">
        <v>126</v>
      </c>
    </row>
    <row r="879" spans="1:10" x14ac:dyDescent="0.2">
      <c r="A879" s="2" t="e">
        <v>#VALUE!</v>
      </c>
      <c r="F879" s="2" t="s">
        <v>126</v>
      </c>
      <c r="G879" s="2" t="s">
        <v>126</v>
      </c>
      <c r="H879" s="2" t="s">
        <v>126</v>
      </c>
      <c r="I879" s="2" t="s">
        <v>126</v>
      </c>
      <c r="J879" s="2" t="s">
        <v>126</v>
      </c>
    </row>
    <row r="880" spans="1:10" x14ac:dyDescent="0.2">
      <c r="A880" s="2" t="e">
        <v>#VALUE!</v>
      </c>
      <c r="F880" s="2" t="s">
        <v>126</v>
      </c>
      <c r="G880" s="2" t="s">
        <v>126</v>
      </c>
      <c r="H880" s="2" t="s">
        <v>126</v>
      </c>
      <c r="I880" s="2" t="s">
        <v>126</v>
      </c>
      <c r="J880" s="2" t="s">
        <v>126</v>
      </c>
    </row>
    <row r="881" spans="1:10" x14ac:dyDescent="0.2">
      <c r="A881" s="2" t="e">
        <v>#VALUE!</v>
      </c>
      <c r="F881" s="2" t="s">
        <v>126</v>
      </c>
      <c r="G881" s="2" t="s">
        <v>126</v>
      </c>
      <c r="H881" s="2" t="s">
        <v>126</v>
      </c>
      <c r="I881" s="2" t="s">
        <v>126</v>
      </c>
      <c r="J881" s="2" t="s">
        <v>126</v>
      </c>
    </row>
    <row r="882" spans="1:10" x14ac:dyDescent="0.2">
      <c r="A882" s="2" t="e">
        <v>#VALUE!</v>
      </c>
      <c r="F882" s="2" t="s">
        <v>126</v>
      </c>
      <c r="G882" s="2" t="s">
        <v>126</v>
      </c>
      <c r="H882" s="2" t="s">
        <v>126</v>
      </c>
      <c r="I882" s="2" t="s">
        <v>126</v>
      </c>
      <c r="J882" s="2" t="s">
        <v>126</v>
      </c>
    </row>
    <row r="883" spans="1:10" x14ac:dyDescent="0.2">
      <c r="A883" s="2" t="e">
        <v>#VALUE!</v>
      </c>
      <c r="F883" s="2" t="s">
        <v>126</v>
      </c>
      <c r="G883" s="2" t="s">
        <v>126</v>
      </c>
      <c r="H883" s="2" t="s">
        <v>126</v>
      </c>
      <c r="I883" s="2" t="s">
        <v>126</v>
      </c>
      <c r="J883" s="2" t="s">
        <v>126</v>
      </c>
    </row>
    <row r="884" spans="1:10" x14ac:dyDescent="0.2">
      <c r="A884" s="2" t="e">
        <v>#VALUE!</v>
      </c>
      <c r="F884" s="2" t="s">
        <v>126</v>
      </c>
      <c r="G884" s="2" t="s">
        <v>126</v>
      </c>
      <c r="H884" s="2" t="s">
        <v>126</v>
      </c>
      <c r="I884" s="2" t="s">
        <v>126</v>
      </c>
      <c r="J884" s="2" t="s">
        <v>126</v>
      </c>
    </row>
    <row r="885" spans="1:10" x14ac:dyDescent="0.2">
      <c r="A885" s="2" t="e">
        <v>#VALUE!</v>
      </c>
      <c r="F885" s="2" t="s">
        <v>126</v>
      </c>
      <c r="G885" s="2" t="s">
        <v>126</v>
      </c>
      <c r="H885" s="2" t="s">
        <v>126</v>
      </c>
      <c r="I885" s="2" t="s">
        <v>126</v>
      </c>
      <c r="J885" s="2" t="s">
        <v>126</v>
      </c>
    </row>
    <row r="886" spans="1:10" x14ac:dyDescent="0.2">
      <c r="A886" s="2" t="e">
        <v>#VALUE!</v>
      </c>
      <c r="F886" s="2" t="s">
        <v>126</v>
      </c>
      <c r="G886" s="2" t="s">
        <v>126</v>
      </c>
      <c r="H886" s="2" t="s">
        <v>126</v>
      </c>
      <c r="I886" s="2" t="s">
        <v>126</v>
      </c>
      <c r="J886" s="2" t="s">
        <v>126</v>
      </c>
    </row>
    <row r="887" spans="1:10" x14ac:dyDescent="0.2">
      <c r="A887" s="2" t="e">
        <v>#VALUE!</v>
      </c>
      <c r="F887" s="2" t="s">
        <v>126</v>
      </c>
      <c r="G887" s="2" t="s">
        <v>126</v>
      </c>
      <c r="H887" s="2" t="s">
        <v>126</v>
      </c>
      <c r="I887" s="2" t="s">
        <v>126</v>
      </c>
      <c r="J887" s="2" t="s">
        <v>126</v>
      </c>
    </row>
    <row r="888" spans="1:10" x14ac:dyDescent="0.2">
      <c r="A888" s="2" t="e">
        <v>#VALUE!</v>
      </c>
      <c r="F888" s="2" t="s">
        <v>126</v>
      </c>
      <c r="G888" s="2" t="s">
        <v>126</v>
      </c>
      <c r="H888" s="2" t="s">
        <v>126</v>
      </c>
      <c r="I888" s="2" t="s">
        <v>126</v>
      </c>
      <c r="J888" s="2" t="s">
        <v>126</v>
      </c>
    </row>
    <row r="889" spans="1:10" x14ac:dyDescent="0.2">
      <c r="A889" s="2" t="e">
        <v>#VALUE!</v>
      </c>
      <c r="F889" s="2" t="s">
        <v>126</v>
      </c>
      <c r="G889" s="2" t="s">
        <v>126</v>
      </c>
      <c r="H889" s="2" t="s">
        <v>126</v>
      </c>
      <c r="I889" s="2" t="s">
        <v>126</v>
      </c>
      <c r="J889" s="2" t="s">
        <v>126</v>
      </c>
    </row>
    <row r="890" spans="1:10" x14ac:dyDescent="0.2">
      <c r="A890" s="2" t="e">
        <v>#VALUE!</v>
      </c>
      <c r="F890" s="2" t="s">
        <v>126</v>
      </c>
      <c r="G890" s="2" t="s">
        <v>126</v>
      </c>
      <c r="H890" s="2" t="s">
        <v>126</v>
      </c>
      <c r="I890" s="2" t="s">
        <v>126</v>
      </c>
      <c r="J890" s="2" t="s">
        <v>126</v>
      </c>
    </row>
    <row r="891" spans="1:10" x14ac:dyDescent="0.2">
      <c r="A891" s="2" t="e">
        <v>#VALUE!</v>
      </c>
      <c r="F891" s="2" t="s">
        <v>126</v>
      </c>
      <c r="G891" s="2" t="s">
        <v>126</v>
      </c>
      <c r="H891" s="2" t="s">
        <v>126</v>
      </c>
      <c r="I891" s="2" t="s">
        <v>126</v>
      </c>
      <c r="J891" s="2" t="s">
        <v>126</v>
      </c>
    </row>
    <row r="892" spans="1:10" x14ac:dyDescent="0.2">
      <c r="A892" s="2" t="e">
        <v>#VALUE!</v>
      </c>
      <c r="F892" s="2" t="s">
        <v>126</v>
      </c>
      <c r="G892" s="2" t="s">
        <v>126</v>
      </c>
      <c r="H892" s="2" t="s">
        <v>126</v>
      </c>
      <c r="I892" s="2" t="s">
        <v>126</v>
      </c>
      <c r="J892" s="2" t="s">
        <v>126</v>
      </c>
    </row>
    <row r="893" spans="1:10" x14ac:dyDescent="0.2">
      <c r="A893" s="2" t="e">
        <v>#VALUE!</v>
      </c>
      <c r="F893" s="2" t="s">
        <v>126</v>
      </c>
      <c r="G893" s="2" t="s">
        <v>126</v>
      </c>
      <c r="H893" s="2" t="s">
        <v>126</v>
      </c>
      <c r="I893" s="2" t="s">
        <v>126</v>
      </c>
      <c r="J893" s="2" t="s">
        <v>126</v>
      </c>
    </row>
    <row r="894" spans="1:10" x14ac:dyDescent="0.2">
      <c r="A894" s="2" t="e">
        <v>#VALUE!</v>
      </c>
      <c r="F894" s="2" t="s">
        <v>126</v>
      </c>
      <c r="G894" s="2" t="s">
        <v>126</v>
      </c>
      <c r="H894" s="2" t="s">
        <v>126</v>
      </c>
      <c r="I894" s="2" t="s">
        <v>126</v>
      </c>
      <c r="J894" s="2" t="s">
        <v>126</v>
      </c>
    </row>
    <row r="895" spans="1:10" x14ac:dyDescent="0.2">
      <c r="A895" s="2" t="e">
        <v>#VALUE!</v>
      </c>
      <c r="F895" s="2" t="s">
        <v>126</v>
      </c>
      <c r="G895" s="2" t="s">
        <v>126</v>
      </c>
      <c r="H895" s="2" t="s">
        <v>126</v>
      </c>
      <c r="I895" s="2" t="s">
        <v>126</v>
      </c>
      <c r="J895" s="2" t="s">
        <v>126</v>
      </c>
    </row>
    <row r="896" spans="1:10" x14ac:dyDescent="0.2">
      <c r="A896" s="2" t="e">
        <v>#VALUE!</v>
      </c>
      <c r="F896" s="2" t="s">
        <v>126</v>
      </c>
      <c r="G896" s="2" t="s">
        <v>126</v>
      </c>
      <c r="H896" s="2" t="s">
        <v>126</v>
      </c>
      <c r="I896" s="2" t="s">
        <v>126</v>
      </c>
      <c r="J896" s="2" t="s">
        <v>126</v>
      </c>
    </row>
    <row r="897" spans="1:10" x14ac:dyDescent="0.2">
      <c r="A897" s="2" t="e">
        <v>#VALUE!</v>
      </c>
      <c r="F897" s="2" t="s">
        <v>126</v>
      </c>
      <c r="G897" s="2" t="s">
        <v>126</v>
      </c>
      <c r="H897" s="2" t="s">
        <v>126</v>
      </c>
      <c r="I897" s="2" t="s">
        <v>126</v>
      </c>
      <c r="J897" s="2" t="s">
        <v>126</v>
      </c>
    </row>
    <row r="898" spans="1:10" x14ac:dyDescent="0.2">
      <c r="A898" s="2" t="e">
        <v>#VALUE!</v>
      </c>
      <c r="F898" s="2" t="s">
        <v>126</v>
      </c>
      <c r="G898" s="2" t="s">
        <v>126</v>
      </c>
      <c r="H898" s="2" t="s">
        <v>126</v>
      </c>
      <c r="I898" s="2" t="s">
        <v>126</v>
      </c>
      <c r="J898" s="2" t="s">
        <v>126</v>
      </c>
    </row>
    <row r="899" spans="1:10" x14ac:dyDescent="0.2">
      <c r="A899" s="2" t="e">
        <v>#VALUE!</v>
      </c>
      <c r="F899" s="2" t="s">
        <v>126</v>
      </c>
      <c r="G899" s="2" t="s">
        <v>126</v>
      </c>
      <c r="H899" s="2" t="s">
        <v>126</v>
      </c>
      <c r="I899" s="2" t="s">
        <v>126</v>
      </c>
      <c r="J899" s="2" t="s">
        <v>126</v>
      </c>
    </row>
    <row r="900" spans="1:10" x14ac:dyDescent="0.2">
      <c r="A900" s="2" t="e">
        <v>#VALUE!</v>
      </c>
      <c r="F900" s="2" t="s">
        <v>126</v>
      </c>
      <c r="G900" s="2" t="s">
        <v>126</v>
      </c>
      <c r="H900" s="2" t="s">
        <v>126</v>
      </c>
      <c r="I900" s="2" t="s">
        <v>126</v>
      </c>
      <c r="J900" s="2" t="s">
        <v>126</v>
      </c>
    </row>
    <row r="901" spans="1:10" x14ac:dyDescent="0.2">
      <c r="A901" s="2" t="e">
        <v>#VALUE!</v>
      </c>
      <c r="F901" s="2" t="s">
        <v>126</v>
      </c>
      <c r="G901" s="2" t="s">
        <v>126</v>
      </c>
      <c r="H901" s="2" t="s">
        <v>126</v>
      </c>
      <c r="I901" s="2" t="s">
        <v>126</v>
      </c>
      <c r="J901" s="2" t="s">
        <v>126</v>
      </c>
    </row>
    <row r="902" spans="1:10" x14ac:dyDescent="0.2">
      <c r="A902" s="2" t="e">
        <v>#VALUE!</v>
      </c>
      <c r="F902" s="2" t="s">
        <v>126</v>
      </c>
      <c r="G902" s="2" t="s">
        <v>126</v>
      </c>
      <c r="H902" s="2" t="s">
        <v>126</v>
      </c>
      <c r="I902" s="2" t="s">
        <v>126</v>
      </c>
      <c r="J902" s="2" t="s">
        <v>126</v>
      </c>
    </row>
    <row r="903" spans="1:10" x14ac:dyDescent="0.2">
      <c r="A903" s="2" t="e">
        <v>#VALUE!</v>
      </c>
      <c r="F903" s="2" t="s">
        <v>126</v>
      </c>
      <c r="G903" s="2" t="s">
        <v>126</v>
      </c>
      <c r="H903" s="2" t="s">
        <v>126</v>
      </c>
      <c r="I903" s="2" t="s">
        <v>126</v>
      </c>
      <c r="J903" s="2" t="s">
        <v>126</v>
      </c>
    </row>
    <row r="904" spans="1:10" x14ac:dyDescent="0.2">
      <c r="A904" s="2" t="e">
        <v>#VALUE!</v>
      </c>
      <c r="F904" s="2" t="s">
        <v>126</v>
      </c>
      <c r="G904" s="2" t="s">
        <v>126</v>
      </c>
      <c r="H904" s="2" t="s">
        <v>126</v>
      </c>
      <c r="I904" s="2" t="s">
        <v>126</v>
      </c>
      <c r="J904" s="2" t="s">
        <v>126</v>
      </c>
    </row>
    <row r="905" spans="1:10" x14ac:dyDescent="0.2">
      <c r="A905" s="2" t="e">
        <v>#VALUE!</v>
      </c>
      <c r="F905" s="2" t="s">
        <v>126</v>
      </c>
      <c r="G905" s="2" t="s">
        <v>126</v>
      </c>
      <c r="H905" s="2" t="s">
        <v>126</v>
      </c>
      <c r="I905" s="2" t="s">
        <v>126</v>
      </c>
      <c r="J905" s="2" t="s">
        <v>126</v>
      </c>
    </row>
    <row r="906" spans="1:10" x14ac:dyDescent="0.2">
      <c r="A906" s="2" t="e">
        <v>#VALUE!</v>
      </c>
      <c r="F906" s="2" t="s">
        <v>126</v>
      </c>
      <c r="G906" s="2" t="s">
        <v>126</v>
      </c>
      <c r="H906" s="2" t="s">
        <v>126</v>
      </c>
      <c r="I906" s="2" t="s">
        <v>126</v>
      </c>
      <c r="J906" s="2" t="s">
        <v>126</v>
      </c>
    </row>
    <row r="907" spans="1:10" x14ac:dyDescent="0.2">
      <c r="A907" s="2" t="e">
        <v>#VALUE!</v>
      </c>
      <c r="F907" s="2" t="s">
        <v>126</v>
      </c>
      <c r="G907" s="2" t="s">
        <v>126</v>
      </c>
      <c r="H907" s="2" t="s">
        <v>126</v>
      </c>
      <c r="I907" s="2" t="s">
        <v>126</v>
      </c>
      <c r="J907" s="2" t="s">
        <v>126</v>
      </c>
    </row>
    <row r="908" spans="1:10" x14ac:dyDescent="0.2">
      <c r="A908" s="2" t="e">
        <v>#VALUE!</v>
      </c>
      <c r="F908" s="2" t="s">
        <v>126</v>
      </c>
      <c r="G908" s="2" t="s">
        <v>126</v>
      </c>
      <c r="H908" s="2" t="s">
        <v>126</v>
      </c>
      <c r="I908" s="2" t="s">
        <v>126</v>
      </c>
      <c r="J908" s="2" t="s">
        <v>126</v>
      </c>
    </row>
    <row r="909" spans="1:10" x14ac:dyDescent="0.2">
      <c r="A909" s="2" t="e">
        <v>#VALUE!</v>
      </c>
      <c r="F909" s="2" t="s">
        <v>126</v>
      </c>
      <c r="G909" s="2" t="s">
        <v>126</v>
      </c>
      <c r="H909" s="2" t="s">
        <v>126</v>
      </c>
      <c r="I909" s="2" t="s">
        <v>126</v>
      </c>
      <c r="J909" s="2" t="s">
        <v>126</v>
      </c>
    </row>
    <row r="910" spans="1:10" x14ac:dyDescent="0.2">
      <c r="A910" s="2" t="e">
        <v>#VALUE!</v>
      </c>
      <c r="F910" s="2" t="s">
        <v>126</v>
      </c>
      <c r="G910" s="2" t="s">
        <v>126</v>
      </c>
      <c r="H910" s="2" t="s">
        <v>126</v>
      </c>
      <c r="I910" s="2" t="s">
        <v>126</v>
      </c>
      <c r="J910" s="2" t="s">
        <v>126</v>
      </c>
    </row>
    <row r="911" spans="1:10" x14ac:dyDescent="0.2">
      <c r="A911" s="2" t="e">
        <v>#VALUE!</v>
      </c>
      <c r="F911" s="2" t="s">
        <v>126</v>
      </c>
      <c r="G911" s="2" t="s">
        <v>126</v>
      </c>
      <c r="H911" s="2" t="s">
        <v>126</v>
      </c>
      <c r="I911" s="2" t="s">
        <v>126</v>
      </c>
      <c r="J911" s="2" t="s">
        <v>126</v>
      </c>
    </row>
    <row r="912" spans="1:10" x14ac:dyDescent="0.2">
      <c r="A912" s="2" t="e">
        <v>#VALUE!</v>
      </c>
      <c r="F912" s="2" t="s">
        <v>126</v>
      </c>
      <c r="G912" s="2" t="s">
        <v>126</v>
      </c>
      <c r="H912" s="2" t="s">
        <v>126</v>
      </c>
      <c r="I912" s="2" t="s">
        <v>126</v>
      </c>
      <c r="J912" s="2" t="s">
        <v>126</v>
      </c>
    </row>
    <row r="913" spans="1:10" x14ac:dyDescent="0.2">
      <c r="A913" s="2" t="e">
        <v>#VALUE!</v>
      </c>
      <c r="F913" s="2" t="s">
        <v>126</v>
      </c>
      <c r="G913" s="2" t="s">
        <v>126</v>
      </c>
      <c r="H913" s="2" t="s">
        <v>126</v>
      </c>
      <c r="I913" s="2" t="s">
        <v>126</v>
      </c>
      <c r="J913" s="2" t="s">
        <v>126</v>
      </c>
    </row>
    <row r="914" spans="1:10" x14ac:dyDescent="0.2">
      <c r="A914" s="2" t="e">
        <v>#VALUE!</v>
      </c>
      <c r="F914" s="2" t="s">
        <v>126</v>
      </c>
      <c r="G914" s="2" t="s">
        <v>126</v>
      </c>
      <c r="H914" s="2" t="s">
        <v>126</v>
      </c>
      <c r="I914" s="2" t="s">
        <v>126</v>
      </c>
      <c r="J914" s="2" t="s">
        <v>126</v>
      </c>
    </row>
    <row r="915" spans="1:10" x14ac:dyDescent="0.2">
      <c r="A915" s="2" t="e">
        <v>#VALUE!</v>
      </c>
      <c r="F915" s="2" t="s">
        <v>126</v>
      </c>
      <c r="G915" s="2" t="s">
        <v>126</v>
      </c>
      <c r="H915" s="2" t="s">
        <v>126</v>
      </c>
      <c r="I915" s="2" t="s">
        <v>126</v>
      </c>
      <c r="J915" s="2" t="s">
        <v>126</v>
      </c>
    </row>
    <row r="916" spans="1:10" x14ac:dyDescent="0.2">
      <c r="A916" s="2" t="e">
        <v>#VALUE!</v>
      </c>
      <c r="F916" s="2" t="s">
        <v>126</v>
      </c>
      <c r="G916" s="2" t="s">
        <v>126</v>
      </c>
      <c r="H916" s="2" t="s">
        <v>126</v>
      </c>
      <c r="I916" s="2" t="s">
        <v>126</v>
      </c>
      <c r="J916" s="2" t="s">
        <v>126</v>
      </c>
    </row>
    <row r="917" spans="1:10" x14ac:dyDescent="0.2">
      <c r="A917" s="2" t="e">
        <v>#VALUE!</v>
      </c>
      <c r="F917" s="2" t="s">
        <v>126</v>
      </c>
      <c r="G917" s="2" t="s">
        <v>126</v>
      </c>
      <c r="H917" s="2" t="s">
        <v>126</v>
      </c>
      <c r="I917" s="2" t="s">
        <v>126</v>
      </c>
      <c r="J917" s="2" t="s">
        <v>126</v>
      </c>
    </row>
    <row r="918" spans="1:10" x14ac:dyDescent="0.2">
      <c r="A918" s="2" t="e">
        <v>#VALUE!</v>
      </c>
      <c r="F918" s="2" t="s">
        <v>126</v>
      </c>
      <c r="G918" s="2" t="s">
        <v>126</v>
      </c>
      <c r="H918" s="2" t="s">
        <v>126</v>
      </c>
      <c r="I918" s="2" t="s">
        <v>126</v>
      </c>
      <c r="J918" s="2" t="s">
        <v>126</v>
      </c>
    </row>
    <row r="919" spans="1:10" x14ac:dyDescent="0.2">
      <c r="A919" s="2" t="e">
        <v>#VALUE!</v>
      </c>
      <c r="F919" s="2" t="s">
        <v>126</v>
      </c>
      <c r="G919" s="2" t="s">
        <v>126</v>
      </c>
      <c r="H919" s="2" t="s">
        <v>126</v>
      </c>
      <c r="I919" s="2" t="s">
        <v>126</v>
      </c>
      <c r="J919" s="2" t="s">
        <v>126</v>
      </c>
    </row>
    <row r="920" spans="1:10" x14ac:dyDescent="0.2">
      <c r="A920" s="2" t="e">
        <v>#VALUE!</v>
      </c>
      <c r="F920" s="2" t="s">
        <v>126</v>
      </c>
      <c r="G920" s="2" t="s">
        <v>126</v>
      </c>
      <c r="H920" s="2" t="s">
        <v>126</v>
      </c>
      <c r="I920" s="2" t="s">
        <v>126</v>
      </c>
      <c r="J920" s="2" t="s">
        <v>126</v>
      </c>
    </row>
    <row r="921" spans="1:10" x14ac:dyDescent="0.2">
      <c r="A921" s="2" t="e">
        <v>#VALUE!</v>
      </c>
      <c r="F921" s="2" t="s">
        <v>126</v>
      </c>
      <c r="G921" s="2" t="s">
        <v>126</v>
      </c>
      <c r="H921" s="2" t="s">
        <v>126</v>
      </c>
      <c r="I921" s="2" t="s">
        <v>126</v>
      </c>
      <c r="J921" s="2" t="s">
        <v>126</v>
      </c>
    </row>
    <row r="922" spans="1:10" x14ac:dyDescent="0.2">
      <c r="A922" s="2" t="e">
        <v>#VALUE!</v>
      </c>
      <c r="F922" s="2" t="s">
        <v>126</v>
      </c>
      <c r="G922" s="2" t="s">
        <v>126</v>
      </c>
      <c r="H922" s="2" t="s">
        <v>126</v>
      </c>
      <c r="I922" s="2" t="s">
        <v>126</v>
      </c>
      <c r="J922" s="2" t="s">
        <v>126</v>
      </c>
    </row>
    <row r="923" spans="1:10" x14ac:dyDescent="0.2">
      <c r="A923" s="2" t="e">
        <v>#VALUE!</v>
      </c>
      <c r="F923" s="2" t="s">
        <v>126</v>
      </c>
      <c r="G923" s="2" t="s">
        <v>126</v>
      </c>
      <c r="H923" s="2" t="s">
        <v>126</v>
      </c>
      <c r="I923" s="2" t="s">
        <v>126</v>
      </c>
      <c r="J923" s="2" t="s">
        <v>126</v>
      </c>
    </row>
    <row r="924" spans="1:10" x14ac:dyDescent="0.2">
      <c r="A924" s="2" t="e">
        <v>#VALUE!</v>
      </c>
      <c r="F924" s="2" t="s">
        <v>126</v>
      </c>
      <c r="G924" s="2" t="s">
        <v>126</v>
      </c>
      <c r="H924" s="2" t="s">
        <v>126</v>
      </c>
      <c r="I924" s="2" t="s">
        <v>126</v>
      </c>
      <c r="J924" s="2" t="s">
        <v>126</v>
      </c>
    </row>
    <row r="925" spans="1:10" x14ac:dyDescent="0.2">
      <c r="A925" s="2" t="e">
        <v>#VALUE!</v>
      </c>
      <c r="F925" s="2" t="s">
        <v>126</v>
      </c>
      <c r="G925" s="2" t="s">
        <v>126</v>
      </c>
      <c r="H925" s="2" t="s">
        <v>126</v>
      </c>
      <c r="I925" s="2" t="s">
        <v>126</v>
      </c>
      <c r="J925" s="2" t="s">
        <v>126</v>
      </c>
    </row>
    <row r="926" spans="1:10" x14ac:dyDescent="0.2">
      <c r="A926" s="2" t="e">
        <v>#VALUE!</v>
      </c>
      <c r="F926" s="2" t="s">
        <v>126</v>
      </c>
      <c r="G926" s="2" t="s">
        <v>126</v>
      </c>
      <c r="H926" s="2" t="s">
        <v>126</v>
      </c>
      <c r="I926" s="2" t="s">
        <v>126</v>
      </c>
      <c r="J926" s="2" t="s">
        <v>126</v>
      </c>
    </row>
    <row r="927" spans="1:10" x14ac:dyDescent="0.2">
      <c r="A927" s="2" t="e">
        <v>#VALUE!</v>
      </c>
      <c r="F927" s="2" t="s">
        <v>126</v>
      </c>
      <c r="G927" s="2" t="s">
        <v>126</v>
      </c>
      <c r="H927" s="2" t="s">
        <v>126</v>
      </c>
      <c r="I927" s="2" t="s">
        <v>126</v>
      </c>
      <c r="J927" s="2" t="s">
        <v>126</v>
      </c>
    </row>
    <row r="928" spans="1:10" x14ac:dyDescent="0.2">
      <c r="A928" s="2" t="e">
        <v>#VALUE!</v>
      </c>
      <c r="F928" s="2" t="s">
        <v>126</v>
      </c>
      <c r="G928" s="2" t="s">
        <v>126</v>
      </c>
      <c r="H928" s="2" t="s">
        <v>126</v>
      </c>
      <c r="I928" s="2" t="s">
        <v>126</v>
      </c>
      <c r="J928" s="2" t="s">
        <v>126</v>
      </c>
    </row>
    <row r="929" spans="1:10" x14ac:dyDescent="0.2">
      <c r="A929" s="2" t="e">
        <v>#VALUE!</v>
      </c>
      <c r="F929" s="2" t="s">
        <v>126</v>
      </c>
      <c r="G929" s="2" t="s">
        <v>126</v>
      </c>
      <c r="H929" s="2" t="s">
        <v>126</v>
      </c>
      <c r="I929" s="2" t="s">
        <v>126</v>
      </c>
      <c r="J929" s="2" t="s">
        <v>126</v>
      </c>
    </row>
    <row r="930" spans="1:10" x14ac:dyDescent="0.2">
      <c r="A930" s="2" t="e">
        <v>#VALUE!</v>
      </c>
      <c r="F930" s="2" t="s">
        <v>126</v>
      </c>
      <c r="G930" s="2" t="s">
        <v>126</v>
      </c>
      <c r="H930" s="2" t="s">
        <v>126</v>
      </c>
      <c r="I930" s="2" t="s">
        <v>126</v>
      </c>
      <c r="J930" s="2" t="s">
        <v>126</v>
      </c>
    </row>
    <row r="931" spans="1:10" x14ac:dyDescent="0.2">
      <c r="A931" s="2" t="e">
        <v>#VALUE!</v>
      </c>
      <c r="F931" s="2" t="s">
        <v>126</v>
      </c>
      <c r="G931" s="2" t="s">
        <v>126</v>
      </c>
      <c r="H931" s="2" t="s">
        <v>126</v>
      </c>
      <c r="I931" s="2" t="s">
        <v>126</v>
      </c>
      <c r="J931" s="2" t="s">
        <v>126</v>
      </c>
    </row>
    <row r="932" spans="1:10" x14ac:dyDescent="0.2">
      <c r="A932" s="2" t="e">
        <v>#VALUE!</v>
      </c>
      <c r="F932" s="2" t="s">
        <v>126</v>
      </c>
      <c r="G932" s="2" t="s">
        <v>126</v>
      </c>
      <c r="H932" s="2" t="s">
        <v>126</v>
      </c>
      <c r="I932" s="2" t="s">
        <v>126</v>
      </c>
      <c r="J932" s="2" t="s">
        <v>126</v>
      </c>
    </row>
    <row r="933" spans="1:10" x14ac:dyDescent="0.2">
      <c r="A933" s="2" t="e">
        <v>#VALUE!</v>
      </c>
      <c r="F933" s="2" t="s">
        <v>126</v>
      </c>
      <c r="G933" s="2" t="s">
        <v>126</v>
      </c>
      <c r="H933" s="2" t="s">
        <v>126</v>
      </c>
      <c r="I933" s="2" t="s">
        <v>126</v>
      </c>
      <c r="J933" s="2" t="s">
        <v>126</v>
      </c>
    </row>
    <row r="934" spans="1:10" x14ac:dyDescent="0.2">
      <c r="A934" s="2" t="e">
        <v>#VALUE!</v>
      </c>
      <c r="F934" s="2" t="s">
        <v>126</v>
      </c>
      <c r="G934" s="2" t="s">
        <v>126</v>
      </c>
      <c r="H934" s="2" t="s">
        <v>126</v>
      </c>
      <c r="I934" s="2" t="s">
        <v>126</v>
      </c>
      <c r="J934" s="2" t="s">
        <v>126</v>
      </c>
    </row>
    <row r="935" spans="1:10" x14ac:dyDescent="0.2">
      <c r="A935" s="2" t="e">
        <v>#VALUE!</v>
      </c>
      <c r="F935" s="2" t="s">
        <v>126</v>
      </c>
      <c r="G935" s="2" t="s">
        <v>126</v>
      </c>
      <c r="H935" s="2" t="s">
        <v>126</v>
      </c>
      <c r="I935" s="2" t="s">
        <v>126</v>
      </c>
      <c r="J935" s="2" t="s">
        <v>126</v>
      </c>
    </row>
    <row r="936" spans="1:10" x14ac:dyDescent="0.2">
      <c r="A936" s="2" t="e">
        <v>#VALUE!</v>
      </c>
      <c r="F936" s="2" t="s">
        <v>126</v>
      </c>
      <c r="G936" s="2" t="s">
        <v>126</v>
      </c>
      <c r="H936" s="2" t="s">
        <v>126</v>
      </c>
      <c r="I936" s="2" t="s">
        <v>126</v>
      </c>
      <c r="J936" s="2" t="s">
        <v>126</v>
      </c>
    </row>
    <row r="937" spans="1:10" x14ac:dyDescent="0.2">
      <c r="A937" s="2" t="e">
        <v>#VALUE!</v>
      </c>
      <c r="F937" s="2" t="s">
        <v>126</v>
      </c>
      <c r="G937" s="2" t="s">
        <v>126</v>
      </c>
      <c r="H937" s="2" t="s">
        <v>126</v>
      </c>
      <c r="I937" s="2" t="s">
        <v>126</v>
      </c>
      <c r="J937" s="2" t="s">
        <v>126</v>
      </c>
    </row>
    <row r="938" spans="1:10" x14ac:dyDescent="0.2">
      <c r="A938" s="2" t="e">
        <v>#VALUE!</v>
      </c>
      <c r="F938" s="2" t="s">
        <v>126</v>
      </c>
      <c r="G938" s="2" t="s">
        <v>126</v>
      </c>
      <c r="H938" s="2" t="s">
        <v>126</v>
      </c>
      <c r="I938" s="2" t="s">
        <v>126</v>
      </c>
      <c r="J938" s="2" t="s">
        <v>126</v>
      </c>
    </row>
    <row r="939" spans="1:10" x14ac:dyDescent="0.2">
      <c r="A939" s="2" t="e">
        <v>#VALUE!</v>
      </c>
      <c r="F939" s="2" t="s">
        <v>126</v>
      </c>
      <c r="G939" s="2" t="s">
        <v>126</v>
      </c>
      <c r="H939" s="2" t="s">
        <v>126</v>
      </c>
      <c r="I939" s="2" t="s">
        <v>126</v>
      </c>
      <c r="J939" s="2" t="s">
        <v>126</v>
      </c>
    </row>
    <row r="940" spans="1:10" x14ac:dyDescent="0.2">
      <c r="A940" s="2" t="e">
        <v>#VALUE!</v>
      </c>
      <c r="F940" s="2" t="s">
        <v>126</v>
      </c>
      <c r="G940" s="2" t="s">
        <v>126</v>
      </c>
      <c r="H940" s="2" t="s">
        <v>126</v>
      </c>
      <c r="I940" s="2" t="s">
        <v>126</v>
      </c>
      <c r="J940" s="2" t="s">
        <v>126</v>
      </c>
    </row>
    <row r="941" spans="1:10" x14ac:dyDescent="0.2">
      <c r="A941" s="2" t="e">
        <v>#VALUE!</v>
      </c>
      <c r="F941" s="2" t="s">
        <v>126</v>
      </c>
      <c r="G941" s="2" t="s">
        <v>126</v>
      </c>
      <c r="H941" s="2" t="s">
        <v>126</v>
      </c>
      <c r="I941" s="2" t="s">
        <v>126</v>
      </c>
      <c r="J941" s="2" t="s">
        <v>126</v>
      </c>
    </row>
    <row r="942" spans="1:10" x14ac:dyDescent="0.2">
      <c r="A942" s="2" t="e">
        <v>#VALUE!</v>
      </c>
      <c r="F942" s="2" t="s">
        <v>126</v>
      </c>
      <c r="G942" s="2" t="s">
        <v>126</v>
      </c>
      <c r="H942" s="2" t="s">
        <v>126</v>
      </c>
      <c r="I942" s="2" t="s">
        <v>126</v>
      </c>
      <c r="J942" s="2" t="s">
        <v>126</v>
      </c>
    </row>
    <row r="943" spans="1:10" x14ac:dyDescent="0.2">
      <c r="A943" s="2" t="e">
        <v>#VALUE!</v>
      </c>
      <c r="F943" s="2" t="s">
        <v>126</v>
      </c>
      <c r="G943" s="2" t="s">
        <v>126</v>
      </c>
      <c r="H943" s="2" t="s">
        <v>126</v>
      </c>
      <c r="I943" s="2" t="s">
        <v>126</v>
      </c>
      <c r="J943" s="2" t="s">
        <v>126</v>
      </c>
    </row>
    <row r="944" spans="1:10" x14ac:dyDescent="0.2">
      <c r="A944" s="2" t="e">
        <v>#VALUE!</v>
      </c>
      <c r="F944" s="2" t="s">
        <v>126</v>
      </c>
      <c r="G944" s="2" t="s">
        <v>126</v>
      </c>
      <c r="H944" s="2" t="s">
        <v>126</v>
      </c>
      <c r="I944" s="2" t="s">
        <v>126</v>
      </c>
      <c r="J944" s="2" t="s">
        <v>126</v>
      </c>
    </row>
    <row r="945" spans="1:10" x14ac:dyDescent="0.2">
      <c r="A945" s="2" t="e">
        <v>#VALUE!</v>
      </c>
      <c r="F945" s="2" t="s">
        <v>126</v>
      </c>
      <c r="G945" s="2" t="s">
        <v>126</v>
      </c>
      <c r="H945" s="2" t="s">
        <v>126</v>
      </c>
      <c r="I945" s="2" t="s">
        <v>126</v>
      </c>
      <c r="J945" s="2" t="s">
        <v>126</v>
      </c>
    </row>
    <row r="946" spans="1:10" x14ac:dyDescent="0.2">
      <c r="A946" s="2" t="e">
        <v>#VALUE!</v>
      </c>
      <c r="F946" s="2" t="s">
        <v>126</v>
      </c>
      <c r="G946" s="2" t="s">
        <v>126</v>
      </c>
      <c r="H946" s="2" t="s">
        <v>126</v>
      </c>
      <c r="I946" s="2" t="s">
        <v>126</v>
      </c>
      <c r="J946" s="2" t="s">
        <v>126</v>
      </c>
    </row>
    <row r="947" spans="1:10" x14ac:dyDescent="0.2">
      <c r="A947" s="2" t="e">
        <v>#VALUE!</v>
      </c>
      <c r="F947" s="2" t="s">
        <v>126</v>
      </c>
      <c r="G947" s="2" t="s">
        <v>126</v>
      </c>
      <c r="H947" s="2" t="s">
        <v>126</v>
      </c>
      <c r="I947" s="2" t="s">
        <v>126</v>
      </c>
      <c r="J947" s="2" t="s">
        <v>126</v>
      </c>
    </row>
    <row r="948" spans="1:10" x14ac:dyDescent="0.2">
      <c r="A948" s="2" t="e">
        <v>#VALUE!</v>
      </c>
      <c r="F948" s="2" t="s">
        <v>126</v>
      </c>
      <c r="G948" s="2" t="s">
        <v>126</v>
      </c>
      <c r="H948" s="2" t="s">
        <v>126</v>
      </c>
      <c r="I948" s="2" t="s">
        <v>126</v>
      </c>
      <c r="J948" s="2" t="s">
        <v>126</v>
      </c>
    </row>
    <row r="949" spans="1:10" x14ac:dyDescent="0.2">
      <c r="A949" s="2" t="e">
        <v>#VALUE!</v>
      </c>
      <c r="F949" s="2" t="s">
        <v>126</v>
      </c>
      <c r="G949" s="2" t="s">
        <v>126</v>
      </c>
      <c r="H949" s="2" t="s">
        <v>126</v>
      </c>
      <c r="I949" s="2" t="s">
        <v>126</v>
      </c>
      <c r="J949" s="2" t="s">
        <v>126</v>
      </c>
    </row>
    <row r="950" spans="1:10" x14ac:dyDescent="0.2">
      <c r="A950" s="2" t="e">
        <v>#VALUE!</v>
      </c>
      <c r="F950" s="2" t="s">
        <v>126</v>
      </c>
      <c r="G950" s="2" t="s">
        <v>126</v>
      </c>
      <c r="H950" s="2" t="s">
        <v>126</v>
      </c>
      <c r="I950" s="2" t="s">
        <v>126</v>
      </c>
      <c r="J950" s="2" t="s">
        <v>126</v>
      </c>
    </row>
    <row r="951" spans="1:10" x14ac:dyDescent="0.2">
      <c r="A951" s="2" t="e">
        <v>#VALUE!</v>
      </c>
      <c r="F951" s="2" t="s">
        <v>126</v>
      </c>
      <c r="G951" s="2" t="s">
        <v>126</v>
      </c>
      <c r="H951" s="2" t="s">
        <v>126</v>
      </c>
      <c r="I951" s="2" t="s">
        <v>126</v>
      </c>
      <c r="J951" s="2" t="s">
        <v>126</v>
      </c>
    </row>
    <row r="952" spans="1:10" x14ac:dyDescent="0.2">
      <c r="A952" s="2" t="e">
        <v>#VALUE!</v>
      </c>
      <c r="F952" s="2" t="s">
        <v>126</v>
      </c>
      <c r="G952" s="2" t="s">
        <v>126</v>
      </c>
      <c r="H952" s="2" t="s">
        <v>126</v>
      </c>
      <c r="I952" s="2" t="s">
        <v>126</v>
      </c>
      <c r="J952" s="2" t="s">
        <v>126</v>
      </c>
    </row>
    <row r="953" spans="1:10" x14ac:dyDescent="0.2">
      <c r="A953" s="2" t="e">
        <v>#VALUE!</v>
      </c>
      <c r="F953" s="2" t="s">
        <v>126</v>
      </c>
      <c r="G953" s="2" t="s">
        <v>126</v>
      </c>
      <c r="H953" s="2" t="s">
        <v>126</v>
      </c>
      <c r="I953" s="2" t="s">
        <v>126</v>
      </c>
      <c r="J953" s="2" t="s">
        <v>126</v>
      </c>
    </row>
    <row r="954" spans="1:10" x14ac:dyDescent="0.2">
      <c r="A954" s="2" t="e">
        <v>#VALUE!</v>
      </c>
      <c r="F954" s="2" t="s">
        <v>126</v>
      </c>
      <c r="G954" s="2" t="s">
        <v>126</v>
      </c>
      <c r="H954" s="2" t="s">
        <v>126</v>
      </c>
      <c r="I954" s="2" t="s">
        <v>126</v>
      </c>
      <c r="J954" s="2" t="s">
        <v>126</v>
      </c>
    </row>
    <row r="955" spans="1:10" x14ac:dyDescent="0.2">
      <c r="A955" s="2" t="e">
        <v>#VALUE!</v>
      </c>
      <c r="F955" s="2" t="s">
        <v>126</v>
      </c>
      <c r="G955" s="2" t="s">
        <v>126</v>
      </c>
      <c r="H955" s="2" t="s">
        <v>126</v>
      </c>
      <c r="I955" s="2" t="s">
        <v>126</v>
      </c>
      <c r="J955" s="2" t="s">
        <v>126</v>
      </c>
    </row>
    <row r="956" spans="1:10" x14ac:dyDescent="0.2">
      <c r="A956" s="2" t="e">
        <v>#VALUE!</v>
      </c>
      <c r="F956" s="2" t="s">
        <v>126</v>
      </c>
      <c r="G956" s="2" t="s">
        <v>126</v>
      </c>
      <c r="H956" s="2" t="s">
        <v>126</v>
      </c>
      <c r="I956" s="2" t="s">
        <v>126</v>
      </c>
      <c r="J956" s="2" t="s">
        <v>126</v>
      </c>
    </row>
    <row r="957" spans="1:10" x14ac:dyDescent="0.2">
      <c r="A957" s="2" t="e">
        <v>#VALUE!</v>
      </c>
      <c r="F957" s="2" t="s">
        <v>126</v>
      </c>
      <c r="G957" s="2" t="s">
        <v>126</v>
      </c>
      <c r="H957" s="2" t="s">
        <v>126</v>
      </c>
      <c r="I957" s="2" t="s">
        <v>126</v>
      </c>
      <c r="J957" s="2" t="s">
        <v>126</v>
      </c>
    </row>
    <row r="958" spans="1:10" x14ac:dyDescent="0.2">
      <c r="A958" s="2" t="e">
        <v>#VALUE!</v>
      </c>
      <c r="F958" s="2" t="s">
        <v>126</v>
      </c>
      <c r="G958" s="2" t="s">
        <v>126</v>
      </c>
      <c r="H958" s="2" t="s">
        <v>126</v>
      </c>
      <c r="I958" s="2" t="s">
        <v>126</v>
      </c>
      <c r="J958" s="2" t="s">
        <v>126</v>
      </c>
    </row>
    <row r="959" spans="1:10" x14ac:dyDescent="0.2">
      <c r="A959" s="2" t="e">
        <v>#VALUE!</v>
      </c>
      <c r="F959" s="2" t="s">
        <v>126</v>
      </c>
      <c r="G959" s="2" t="s">
        <v>126</v>
      </c>
      <c r="H959" s="2" t="s">
        <v>126</v>
      </c>
      <c r="I959" s="2" t="s">
        <v>126</v>
      </c>
      <c r="J959" s="2" t="s">
        <v>126</v>
      </c>
    </row>
    <row r="960" spans="1:10" x14ac:dyDescent="0.2">
      <c r="A960" s="2" t="e">
        <v>#VALUE!</v>
      </c>
      <c r="F960" s="2" t="s">
        <v>126</v>
      </c>
      <c r="G960" s="2" t="s">
        <v>126</v>
      </c>
      <c r="H960" s="2" t="s">
        <v>126</v>
      </c>
      <c r="I960" s="2" t="s">
        <v>126</v>
      </c>
      <c r="J960" s="2" t="s">
        <v>126</v>
      </c>
    </row>
    <row r="961" spans="1:10" x14ac:dyDescent="0.2">
      <c r="A961" s="2" t="e">
        <v>#VALUE!</v>
      </c>
      <c r="F961" s="2" t="s">
        <v>126</v>
      </c>
      <c r="G961" s="2" t="s">
        <v>126</v>
      </c>
      <c r="H961" s="2" t="s">
        <v>126</v>
      </c>
      <c r="I961" s="2" t="s">
        <v>126</v>
      </c>
      <c r="J961" s="2" t="s">
        <v>126</v>
      </c>
    </row>
    <row r="962" spans="1:10" x14ac:dyDescent="0.2">
      <c r="A962" s="2" t="e">
        <v>#VALUE!</v>
      </c>
      <c r="F962" s="2" t="s">
        <v>126</v>
      </c>
      <c r="G962" s="2" t="s">
        <v>126</v>
      </c>
      <c r="H962" s="2" t="s">
        <v>126</v>
      </c>
      <c r="I962" s="2" t="s">
        <v>126</v>
      </c>
      <c r="J962" s="2" t="s">
        <v>126</v>
      </c>
    </row>
    <row r="963" spans="1:10" x14ac:dyDescent="0.2">
      <c r="A963" s="2" t="e">
        <v>#VALUE!</v>
      </c>
      <c r="F963" s="2" t="s">
        <v>126</v>
      </c>
      <c r="G963" s="2" t="s">
        <v>126</v>
      </c>
      <c r="H963" s="2" t="s">
        <v>126</v>
      </c>
      <c r="I963" s="2" t="s">
        <v>126</v>
      </c>
      <c r="J963" s="2" t="s">
        <v>126</v>
      </c>
    </row>
    <row r="964" spans="1:10" x14ac:dyDescent="0.2">
      <c r="A964" s="2" t="e">
        <v>#VALUE!</v>
      </c>
      <c r="F964" s="2" t="s">
        <v>126</v>
      </c>
      <c r="G964" s="2" t="s">
        <v>126</v>
      </c>
      <c r="H964" s="2" t="s">
        <v>126</v>
      </c>
      <c r="I964" s="2" t="s">
        <v>126</v>
      </c>
      <c r="J964" s="2" t="s">
        <v>126</v>
      </c>
    </row>
    <row r="965" spans="1:10" x14ac:dyDescent="0.2">
      <c r="A965" s="2" t="e">
        <v>#VALUE!</v>
      </c>
      <c r="F965" s="2" t="s">
        <v>126</v>
      </c>
      <c r="G965" s="2" t="s">
        <v>126</v>
      </c>
      <c r="H965" s="2" t="s">
        <v>126</v>
      </c>
      <c r="I965" s="2" t="s">
        <v>126</v>
      </c>
      <c r="J965" s="2" t="s">
        <v>126</v>
      </c>
    </row>
    <row r="966" spans="1:10" x14ac:dyDescent="0.2">
      <c r="A966" s="2" t="e">
        <v>#VALUE!</v>
      </c>
      <c r="F966" s="2" t="s">
        <v>126</v>
      </c>
      <c r="G966" s="2" t="s">
        <v>126</v>
      </c>
      <c r="H966" s="2" t="s">
        <v>126</v>
      </c>
      <c r="I966" s="2" t="s">
        <v>126</v>
      </c>
      <c r="J966" s="2" t="s">
        <v>126</v>
      </c>
    </row>
    <row r="967" spans="1:10" x14ac:dyDescent="0.2">
      <c r="A967" s="2" t="e">
        <v>#VALUE!</v>
      </c>
      <c r="F967" s="2" t="s">
        <v>126</v>
      </c>
      <c r="G967" s="2" t="s">
        <v>126</v>
      </c>
      <c r="H967" s="2" t="s">
        <v>126</v>
      </c>
      <c r="I967" s="2" t="s">
        <v>126</v>
      </c>
      <c r="J967" s="2" t="s">
        <v>126</v>
      </c>
    </row>
    <row r="968" spans="1:10" x14ac:dyDescent="0.2">
      <c r="A968" s="2" t="e">
        <v>#VALUE!</v>
      </c>
      <c r="F968" s="2" t="s">
        <v>126</v>
      </c>
      <c r="G968" s="2" t="s">
        <v>126</v>
      </c>
      <c r="H968" s="2" t="s">
        <v>126</v>
      </c>
      <c r="I968" s="2" t="s">
        <v>126</v>
      </c>
      <c r="J968" s="2" t="s">
        <v>126</v>
      </c>
    </row>
    <row r="969" spans="1:10" x14ac:dyDescent="0.2">
      <c r="A969" s="2" t="e">
        <v>#VALUE!</v>
      </c>
      <c r="F969" s="2" t="s">
        <v>126</v>
      </c>
      <c r="G969" s="2" t="s">
        <v>126</v>
      </c>
      <c r="H969" s="2" t="s">
        <v>126</v>
      </c>
      <c r="I969" s="2" t="s">
        <v>126</v>
      </c>
      <c r="J969" s="2" t="s">
        <v>126</v>
      </c>
    </row>
    <row r="970" spans="1:10" x14ac:dyDescent="0.2">
      <c r="A970" s="2" t="e">
        <v>#VALUE!</v>
      </c>
      <c r="F970" s="2" t="s">
        <v>126</v>
      </c>
      <c r="G970" s="2" t="s">
        <v>126</v>
      </c>
      <c r="H970" s="2" t="s">
        <v>126</v>
      </c>
      <c r="I970" s="2" t="s">
        <v>126</v>
      </c>
      <c r="J970" s="2" t="s">
        <v>126</v>
      </c>
    </row>
    <row r="971" spans="1:10" x14ac:dyDescent="0.2">
      <c r="A971" s="2" t="e">
        <v>#VALUE!</v>
      </c>
      <c r="F971" s="2" t="s">
        <v>126</v>
      </c>
      <c r="G971" s="2" t="s">
        <v>126</v>
      </c>
      <c r="H971" s="2" t="s">
        <v>126</v>
      </c>
      <c r="I971" s="2" t="s">
        <v>126</v>
      </c>
      <c r="J971" s="2" t="s">
        <v>126</v>
      </c>
    </row>
    <row r="972" spans="1:10" x14ac:dyDescent="0.2">
      <c r="A972" s="2" t="e">
        <v>#VALUE!</v>
      </c>
      <c r="F972" s="2" t="s">
        <v>126</v>
      </c>
      <c r="G972" s="2" t="s">
        <v>126</v>
      </c>
      <c r="H972" s="2" t="s">
        <v>126</v>
      </c>
      <c r="I972" s="2" t="s">
        <v>126</v>
      </c>
      <c r="J972" s="2" t="s">
        <v>126</v>
      </c>
    </row>
    <row r="973" spans="1:10" x14ac:dyDescent="0.2">
      <c r="A973" s="2" t="e">
        <v>#VALUE!</v>
      </c>
      <c r="F973" s="2" t="s">
        <v>126</v>
      </c>
      <c r="G973" s="2" t="s">
        <v>126</v>
      </c>
      <c r="H973" s="2" t="s">
        <v>126</v>
      </c>
      <c r="I973" s="2" t="s">
        <v>126</v>
      </c>
      <c r="J973" s="2" t="s">
        <v>126</v>
      </c>
    </row>
    <row r="974" spans="1:10" x14ac:dyDescent="0.2">
      <c r="A974" s="2" t="e">
        <v>#VALUE!</v>
      </c>
      <c r="F974" s="2" t="s">
        <v>126</v>
      </c>
      <c r="G974" s="2" t="s">
        <v>126</v>
      </c>
      <c r="H974" s="2" t="s">
        <v>126</v>
      </c>
      <c r="I974" s="2" t="s">
        <v>126</v>
      </c>
      <c r="J974" s="2" t="s">
        <v>126</v>
      </c>
    </row>
    <row r="975" spans="1:10" x14ac:dyDescent="0.2">
      <c r="A975" s="2" t="e">
        <v>#VALUE!</v>
      </c>
      <c r="F975" s="2" t="s">
        <v>126</v>
      </c>
      <c r="G975" s="2" t="s">
        <v>126</v>
      </c>
      <c r="H975" s="2" t="s">
        <v>126</v>
      </c>
      <c r="I975" s="2" t="s">
        <v>126</v>
      </c>
      <c r="J975" s="2" t="s">
        <v>126</v>
      </c>
    </row>
    <row r="976" spans="1:10" x14ac:dyDescent="0.2">
      <c r="A976" s="2" t="e">
        <v>#VALUE!</v>
      </c>
      <c r="F976" s="2" t="s">
        <v>126</v>
      </c>
      <c r="G976" s="2" t="s">
        <v>126</v>
      </c>
      <c r="H976" s="2" t="s">
        <v>126</v>
      </c>
      <c r="I976" s="2" t="s">
        <v>126</v>
      </c>
      <c r="J976" s="2" t="s">
        <v>126</v>
      </c>
    </row>
    <row r="977" spans="1:10" x14ac:dyDescent="0.2">
      <c r="A977" s="2" t="e">
        <v>#VALUE!</v>
      </c>
      <c r="F977" s="2" t="s">
        <v>126</v>
      </c>
      <c r="G977" s="2" t="s">
        <v>126</v>
      </c>
      <c r="H977" s="2" t="s">
        <v>126</v>
      </c>
      <c r="I977" s="2" t="s">
        <v>126</v>
      </c>
      <c r="J977" s="2" t="s">
        <v>126</v>
      </c>
    </row>
    <row r="978" spans="1:10" x14ac:dyDescent="0.2">
      <c r="A978" s="2" t="e">
        <v>#VALUE!</v>
      </c>
      <c r="F978" s="2" t="s">
        <v>126</v>
      </c>
      <c r="G978" s="2" t="s">
        <v>126</v>
      </c>
      <c r="H978" s="2" t="s">
        <v>126</v>
      </c>
      <c r="I978" s="2" t="s">
        <v>126</v>
      </c>
      <c r="J978" s="2" t="s">
        <v>126</v>
      </c>
    </row>
    <row r="979" spans="1:10" x14ac:dyDescent="0.2">
      <c r="A979" s="2" t="e">
        <v>#VALUE!</v>
      </c>
      <c r="F979" s="2" t="s">
        <v>126</v>
      </c>
      <c r="G979" s="2" t="s">
        <v>126</v>
      </c>
      <c r="H979" s="2" t="s">
        <v>126</v>
      </c>
      <c r="I979" s="2" t="s">
        <v>126</v>
      </c>
      <c r="J979" s="2" t="s">
        <v>126</v>
      </c>
    </row>
    <row r="980" spans="1:10" x14ac:dyDescent="0.2">
      <c r="A980" s="2" t="e">
        <v>#VALUE!</v>
      </c>
      <c r="F980" s="2" t="s">
        <v>126</v>
      </c>
      <c r="G980" s="2" t="s">
        <v>126</v>
      </c>
      <c r="H980" s="2" t="s">
        <v>126</v>
      </c>
      <c r="I980" s="2" t="s">
        <v>126</v>
      </c>
      <c r="J980" s="2" t="s">
        <v>126</v>
      </c>
    </row>
    <row r="981" spans="1:10" x14ac:dyDescent="0.2">
      <c r="A981" s="2" t="e">
        <v>#VALUE!</v>
      </c>
      <c r="F981" s="2" t="s">
        <v>126</v>
      </c>
      <c r="G981" s="2" t="s">
        <v>126</v>
      </c>
      <c r="H981" s="2" t="s">
        <v>126</v>
      </c>
      <c r="I981" s="2" t="s">
        <v>126</v>
      </c>
      <c r="J981" s="2" t="s">
        <v>126</v>
      </c>
    </row>
    <row r="982" spans="1:10" x14ac:dyDescent="0.2">
      <c r="A982" s="2" t="e">
        <v>#VALUE!</v>
      </c>
      <c r="F982" s="2" t="s">
        <v>126</v>
      </c>
      <c r="G982" s="2" t="s">
        <v>126</v>
      </c>
      <c r="H982" s="2" t="s">
        <v>126</v>
      </c>
      <c r="I982" s="2" t="s">
        <v>126</v>
      </c>
      <c r="J982" s="2" t="s">
        <v>126</v>
      </c>
    </row>
    <row r="983" spans="1:10" x14ac:dyDescent="0.2">
      <c r="A983" s="2" t="e">
        <v>#VALUE!</v>
      </c>
      <c r="F983" s="2" t="s">
        <v>126</v>
      </c>
      <c r="G983" s="2" t="s">
        <v>126</v>
      </c>
      <c r="H983" s="2" t="s">
        <v>126</v>
      </c>
      <c r="I983" s="2" t="s">
        <v>126</v>
      </c>
      <c r="J983" s="2" t="s">
        <v>126</v>
      </c>
    </row>
    <row r="984" spans="1:10" x14ac:dyDescent="0.2">
      <c r="A984" s="2" t="e">
        <v>#VALUE!</v>
      </c>
      <c r="F984" s="2" t="s">
        <v>126</v>
      </c>
      <c r="G984" s="2" t="s">
        <v>126</v>
      </c>
      <c r="H984" s="2" t="s">
        <v>126</v>
      </c>
      <c r="I984" s="2" t="s">
        <v>126</v>
      </c>
      <c r="J984" s="2" t="s">
        <v>126</v>
      </c>
    </row>
    <row r="985" spans="1:10" x14ac:dyDescent="0.2">
      <c r="A985" s="2" t="e">
        <v>#VALUE!</v>
      </c>
      <c r="F985" s="2" t="s">
        <v>126</v>
      </c>
      <c r="G985" s="2" t="s">
        <v>126</v>
      </c>
      <c r="H985" s="2" t="s">
        <v>126</v>
      </c>
      <c r="I985" s="2" t="s">
        <v>126</v>
      </c>
      <c r="J985" s="2" t="s">
        <v>126</v>
      </c>
    </row>
    <row r="986" spans="1:10" x14ac:dyDescent="0.2">
      <c r="A986" s="2" t="e">
        <v>#VALUE!</v>
      </c>
      <c r="F986" s="2" t="s">
        <v>126</v>
      </c>
      <c r="G986" s="2" t="s">
        <v>126</v>
      </c>
      <c r="H986" s="2" t="s">
        <v>126</v>
      </c>
      <c r="I986" s="2" t="s">
        <v>126</v>
      </c>
      <c r="J986" s="2" t="s">
        <v>126</v>
      </c>
    </row>
    <row r="987" spans="1:10" x14ac:dyDescent="0.2">
      <c r="A987" s="2" t="e">
        <v>#VALUE!</v>
      </c>
      <c r="F987" s="2" t="s">
        <v>126</v>
      </c>
      <c r="G987" s="2" t="s">
        <v>126</v>
      </c>
      <c r="H987" s="2" t="s">
        <v>126</v>
      </c>
      <c r="I987" s="2" t="s">
        <v>126</v>
      </c>
      <c r="J987" s="2" t="s">
        <v>126</v>
      </c>
    </row>
    <row r="988" spans="1:10" x14ac:dyDescent="0.2">
      <c r="A988" s="2" t="e">
        <v>#VALUE!</v>
      </c>
      <c r="F988" s="2" t="s">
        <v>126</v>
      </c>
      <c r="G988" s="2" t="s">
        <v>126</v>
      </c>
      <c r="H988" s="2" t="s">
        <v>126</v>
      </c>
      <c r="I988" s="2" t="s">
        <v>126</v>
      </c>
      <c r="J988" s="2" t="s">
        <v>126</v>
      </c>
    </row>
    <row r="989" spans="1:10" x14ac:dyDescent="0.2">
      <c r="A989" s="2" t="e">
        <v>#VALUE!</v>
      </c>
      <c r="F989" s="2" t="s">
        <v>126</v>
      </c>
      <c r="G989" s="2" t="s">
        <v>126</v>
      </c>
      <c r="H989" s="2" t="s">
        <v>126</v>
      </c>
      <c r="I989" s="2" t="s">
        <v>126</v>
      </c>
      <c r="J989" s="2" t="s">
        <v>126</v>
      </c>
    </row>
    <row r="990" spans="1:10" x14ac:dyDescent="0.2">
      <c r="A990" s="2" t="e">
        <v>#VALUE!</v>
      </c>
      <c r="F990" s="2" t="s">
        <v>126</v>
      </c>
      <c r="G990" s="2" t="s">
        <v>126</v>
      </c>
      <c r="H990" s="2" t="s">
        <v>126</v>
      </c>
      <c r="I990" s="2" t="s">
        <v>126</v>
      </c>
      <c r="J990" s="2" t="s">
        <v>126</v>
      </c>
    </row>
    <row r="991" spans="1:10" x14ac:dyDescent="0.2">
      <c r="A991" s="2" t="e">
        <v>#VALUE!</v>
      </c>
      <c r="F991" s="2" t="s">
        <v>126</v>
      </c>
      <c r="G991" s="2" t="s">
        <v>126</v>
      </c>
      <c r="H991" s="2" t="s">
        <v>126</v>
      </c>
      <c r="I991" s="2" t="s">
        <v>126</v>
      </c>
      <c r="J991" s="2" t="s">
        <v>126</v>
      </c>
    </row>
    <row r="992" spans="1:10" x14ac:dyDescent="0.2">
      <c r="A992" s="2" t="e">
        <v>#VALUE!</v>
      </c>
      <c r="F992" s="2" t="s">
        <v>126</v>
      </c>
      <c r="G992" s="2" t="s">
        <v>126</v>
      </c>
      <c r="H992" s="2" t="s">
        <v>126</v>
      </c>
      <c r="I992" s="2" t="s">
        <v>126</v>
      </c>
      <c r="J992" s="2" t="s">
        <v>126</v>
      </c>
    </row>
    <row r="993" spans="1:10" x14ac:dyDescent="0.2">
      <c r="A993" s="2" t="e">
        <v>#VALUE!</v>
      </c>
      <c r="F993" s="2" t="s">
        <v>126</v>
      </c>
      <c r="G993" s="2" t="s">
        <v>126</v>
      </c>
      <c r="H993" s="2" t="s">
        <v>126</v>
      </c>
      <c r="I993" s="2" t="s">
        <v>126</v>
      </c>
      <c r="J993" s="2" t="s">
        <v>126</v>
      </c>
    </row>
    <row r="994" spans="1:10" x14ac:dyDescent="0.2">
      <c r="A994" s="2" t="e">
        <v>#VALUE!</v>
      </c>
      <c r="F994" s="2" t="s">
        <v>126</v>
      </c>
      <c r="G994" s="2" t="s">
        <v>126</v>
      </c>
      <c r="H994" s="2" t="s">
        <v>126</v>
      </c>
      <c r="I994" s="2" t="s">
        <v>126</v>
      </c>
      <c r="J994" s="2" t="s">
        <v>126</v>
      </c>
    </row>
    <row r="995" spans="1:10" x14ac:dyDescent="0.2">
      <c r="A995" s="2" t="e">
        <v>#VALUE!</v>
      </c>
      <c r="F995" s="2" t="s">
        <v>126</v>
      </c>
      <c r="G995" s="2" t="s">
        <v>126</v>
      </c>
      <c r="H995" s="2" t="s">
        <v>126</v>
      </c>
      <c r="I995" s="2" t="s">
        <v>126</v>
      </c>
      <c r="J995" s="2" t="s">
        <v>126</v>
      </c>
    </row>
    <row r="996" spans="1:10" x14ac:dyDescent="0.2">
      <c r="A996" s="2" t="e">
        <v>#VALUE!</v>
      </c>
      <c r="F996" s="2" t="s">
        <v>126</v>
      </c>
      <c r="G996" s="2" t="s">
        <v>126</v>
      </c>
      <c r="H996" s="2" t="s">
        <v>126</v>
      </c>
      <c r="I996" s="2" t="s">
        <v>126</v>
      </c>
      <c r="J996" s="2" t="s">
        <v>126</v>
      </c>
    </row>
    <row r="997" spans="1:10" x14ac:dyDescent="0.2">
      <c r="A997" s="2" t="e">
        <v>#VALUE!</v>
      </c>
      <c r="F997" s="2" t="s">
        <v>126</v>
      </c>
      <c r="G997" s="2" t="s">
        <v>126</v>
      </c>
      <c r="H997" s="2" t="s">
        <v>126</v>
      </c>
      <c r="I997" s="2" t="s">
        <v>126</v>
      </c>
      <c r="J997" s="2" t="s">
        <v>126</v>
      </c>
    </row>
    <row r="998" spans="1:10" x14ac:dyDescent="0.2">
      <c r="A998" s="2" t="e">
        <v>#VALUE!</v>
      </c>
      <c r="F998" s="2" t="s">
        <v>126</v>
      </c>
      <c r="G998" s="2" t="s">
        <v>126</v>
      </c>
      <c r="H998" s="2" t="s">
        <v>126</v>
      </c>
      <c r="I998" s="2" t="s">
        <v>126</v>
      </c>
      <c r="J998" s="2" t="s">
        <v>126</v>
      </c>
    </row>
    <row r="999" spans="1:10" x14ac:dyDescent="0.2">
      <c r="A999" s="2" t="e">
        <v>#VALUE!</v>
      </c>
      <c r="C999" s="6" t="s">
        <v>1035</v>
      </c>
      <c r="E999" s="6" t="s">
        <v>126</v>
      </c>
    </row>
  </sheetData>
  <mergeCells count="3">
    <mergeCell ref="R2:W2"/>
    <mergeCell ref="M2:Q2"/>
    <mergeCell ref="G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2250"/>
  <sheetViews>
    <sheetView topLeftCell="A19" workbookViewId="0">
      <selection activeCell="A3" sqref="A3"/>
    </sheetView>
  </sheetViews>
  <sheetFormatPr defaultColWidth="9.125" defaultRowHeight="18" x14ac:dyDescent="0.25"/>
  <cols>
    <col min="1" max="1" width="3.75" style="37" customWidth="1"/>
    <col min="2" max="2" width="17" style="31" customWidth="1"/>
    <col min="3" max="3" width="18.375" style="40" customWidth="1"/>
    <col min="4" max="4" width="25.625" style="31" customWidth="1"/>
    <col min="5" max="5" width="9" style="31" customWidth="1"/>
    <col min="6" max="6" width="14.625" style="41" customWidth="1"/>
    <col min="7" max="7" width="18.375" style="40" customWidth="1"/>
    <col min="8" max="8" width="20.125" style="31" customWidth="1"/>
    <col min="9" max="9" width="20.125" style="47" customWidth="1"/>
    <col min="10" max="10" width="9.125" style="1" hidden="1" customWidth="1"/>
    <col min="11" max="11" width="22.375" style="72" customWidth="1"/>
    <col min="12" max="16384" width="9.125" style="1"/>
  </cols>
  <sheetData>
    <row r="1" spans="1:12" ht="36.75" customHeight="1" thickBot="1" x14ac:dyDescent="0.3">
      <c r="A1" s="37">
        <f>COUNTA(B:B)+1</f>
        <v>530</v>
      </c>
      <c r="B1" s="10" t="s">
        <v>489</v>
      </c>
      <c r="C1" s="45"/>
      <c r="D1" s="36"/>
      <c r="E1" s="36"/>
      <c r="F1" s="46"/>
      <c r="G1" s="45"/>
      <c r="H1" s="36"/>
      <c r="I1" s="36"/>
      <c r="J1" s="36"/>
      <c r="K1" s="36"/>
      <c r="L1" s="36"/>
    </row>
    <row r="2" spans="1:12" ht="18.75" thickBot="1" x14ac:dyDescent="0.3">
      <c r="A2" s="37" t="s">
        <v>500</v>
      </c>
      <c r="B2" s="49" t="s">
        <v>466</v>
      </c>
      <c r="C2" s="50" t="s">
        <v>463</v>
      </c>
      <c r="D2" s="51" t="s">
        <v>460</v>
      </c>
      <c r="E2" s="51" t="s">
        <v>461</v>
      </c>
      <c r="F2" s="52" t="s">
        <v>462</v>
      </c>
      <c r="G2" s="50" t="s">
        <v>464</v>
      </c>
      <c r="H2" s="73" t="s">
        <v>465</v>
      </c>
      <c r="I2" s="34" t="s">
        <v>501</v>
      </c>
      <c r="K2" s="71" t="s">
        <v>1429</v>
      </c>
    </row>
    <row r="3" spans="1:12" x14ac:dyDescent="0.25">
      <c r="A3" s="37" t="s">
        <v>1229</v>
      </c>
      <c r="B3" s="42" t="s">
        <v>1154</v>
      </c>
      <c r="C3" s="43">
        <v>42863.763747453704</v>
      </c>
      <c r="D3" s="42" t="s">
        <v>1155</v>
      </c>
      <c r="E3" s="42">
        <v>1</v>
      </c>
      <c r="F3" s="44">
        <v>6415</v>
      </c>
      <c r="G3" s="43">
        <v>42864</v>
      </c>
      <c r="H3" s="42" t="s">
        <v>1182</v>
      </c>
      <c r="I3" s="48">
        <v>6</v>
      </c>
      <c r="J3" s="1">
        <v>3</v>
      </c>
      <c r="K3" s="74"/>
    </row>
    <row r="4" spans="1:12" x14ac:dyDescent="0.25">
      <c r="A4" s="37">
        <f>IFERROR(VLOOKUP(A3,B3:J2250,9,FALSE),0)</f>
        <v>24</v>
      </c>
      <c r="B4" s="31" t="s">
        <v>1163</v>
      </c>
      <c r="C4" s="40">
        <v>42863.763917013886</v>
      </c>
      <c r="D4" s="31" t="s">
        <v>1156</v>
      </c>
      <c r="E4" s="31">
        <v>2</v>
      </c>
      <c r="F4" s="41">
        <v>1300</v>
      </c>
      <c r="G4" s="40">
        <v>42865</v>
      </c>
      <c r="H4" s="31" t="s">
        <v>1182</v>
      </c>
      <c r="I4" s="47">
        <v>6</v>
      </c>
      <c r="J4" s="1">
        <v>4</v>
      </c>
    </row>
    <row r="5" spans="1:12" x14ac:dyDescent="0.25">
      <c r="A5" s="37" t="s">
        <v>502</v>
      </c>
      <c r="B5" s="31" t="s">
        <v>1164</v>
      </c>
      <c r="C5" s="40">
        <v>42863.763917129632</v>
      </c>
      <c r="D5" s="31" t="s">
        <v>1157</v>
      </c>
      <c r="E5" s="31">
        <v>2</v>
      </c>
      <c r="F5" s="41">
        <v>1200</v>
      </c>
      <c r="G5" s="40">
        <v>42865</v>
      </c>
      <c r="H5" s="31" t="s">
        <v>1182</v>
      </c>
      <c r="I5" s="47">
        <v>6</v>
      </c>
      <c r="J5" s="1">
        <v>5</v>
      </c>
    </row>
    <row r="6" spans="1:12" x14ac:dyDescent="0.25">
      <c r="A6" s="37">
        <f>IFERROR(VLOOKUP(A3,B3:J2250,8,FALSE),0)</f>
        <v>15</v>
      </c>
      <c r="B6" s="31" t="s">
        <v>1165</v>
      </c>
      <c r="C6" s="40">
        <v>42863.763917129632</v>
      </c>
      <c r="D6" s="31" t="s">
        <v>1158</v>
      </c>
      <c r="E6" s="31">
        <v>3</v>
      </c>
      <c r="F6" s="41">
        <v>1500</v>
      </c>
      <c r="G6" s="40">
        <v>42864</v>
      </c>
      <c r="H6" s="31" t="s">
        <v>1189</v>
      </c>
      <c r="I6" s="47">
        <v>6</v>
      </c>
      <c r="J6" s="1">
        <v>6</v>
      </c>
    </row>
    <row r="7" spans="1:12" x14ac:dyDescent="0.25">
      <c r="B7" s="31" t="s">
        <v>1167</v>
      </c>
      <c r="C7" s="40">
        <v>42866.467893055553</v>
      </c>
      <c r="D7" s="31" t="s">
        <v>1168</v>
      </c>
      <c r="E7" s="31">
        <v>1</v>
      </c>
      <c r="F7" s="41">
        <v>386.1</v>
      </c>
      <c r="G7" s="40">
        <v>42863</v>
      </c>
      <c r="H7" s="31" t="s">
        <v>1182</v>
      </c>
      <c r="I7" s="47">
        <v>7</v>
      </c>
      <c r="J7" s="1">
        <v>7</v>
      </c>
    </row>
    <row r="8" spans="1:12" x14ac:dyDescent="0.25">
      <c r="B8" s="31" t="s">
        <v>1176</v>
      </c>
      <c r="C8" s="40">
        <v>42866.467987962962</v>
      </c>
      <c r="D8" s="31" t="s">
        <v>1169</v>
      </c>
      <c r="E8" s="31">
        <v>1</v>
      </c>
      <c r="F8" s="41">
        <v>1677</v>
      </c>
      <c r="G8" s="40">
        <v>42863</v>
      </c>
      <c r="H8" s="31" t="s">
        <v>1182</v>
      </c>
      <c r="I8" s="47">
        <v>7</v>
      </c>
      <c r="J8" s="1">
        <v>8</v>
      </c>
    </row>
    <row r="9" spans="1:12" x14ac:dyDescent="0.25">
      <c r="B9" s="31" t="s">
        <v>1177</v>
      </c>
      <c r="C9" s="40">
        <v>42866.467988078701</v>
      </c>
      <c r="D9" s="31" t="s">
        <v>1170</v>
      </c>
      <c r="E9" s="31">
        <v>5</v>
      </c>
      <c r="F9" s="41">
        <v>600</v>
      </c>
      <c r="G9" s="40">
        <v>42863</v>
      </c>
      <c r="H9" s="31" t="s">
        <v>1182</v>
      </c>
      <c r="I9" s="47">
        <v>7</v>
      </c>
      <c r="J9" s="1">
        <v>9</v>
      </c>
    </row>
    <row r="10" spans="1:12" x14ac:dyDescent="0.25">
      <c r="B10" s="31" t="s">
        <v>1178</v>
      </c>
      <c r="C10" s="40">
        <v>42866.467988425924</v>
      </c>
      <c r="D10" s="31" t="s">
        <v>1171</v>
      </c>
      <c r="E10" s="31">
        <v>5</v>
      </c>
      <c r="F10" s="41">
        <v>1300</v>
      </c>
      <c r="G10" s="40">
        <v>42863</v>
      </c>
      <c r="H10" s="31" t="s">
        <v>1182</v>
      </c>
      <c r="I10" s="47">
        <v>7</v>
      </c>
      <c r="J10" s="1">
        <v>10</v>
      </c>
    </row>
    <row r="11" spans="1:12" x14ac:dyDescent="0.25">
      <c r="B11" s="31" t="s">
        <v>1179</v>
      </c>
      <c r="C11" s="40">
        <v>42866.467988657409</v>
      </c>
      <c r="D11" s="31" t="s">
        <v>1172</v>
      </c>
      <c r="E11" s="31">
        <v>5</v>
      </c>
      <c r="F11" s="41">
        <v>300</v>
      </c>
      <c r="G11" s="40">
        <v>42863</v>
      </c>
      <c r="H11" s="31" t="s">
        <v>1182</v>
      </c>
      <c r="I11" s="47">
        <v>7</v>
      </c>
      <c r="J11" s="1">
        <v>11</v>
      </c>
    </row>
    <row r="12" spans="1:12" x14ac:dyDescent="0.25">
      <c r="B12" s="31" t="s">
        <v>1180</v>
      </c>
      <c r="C12" s="40">
        <v>42866.467988773147</v>
      </c>
      <c r="D12" s="31" t="s">
        <v>1173</v>
      </c>
      <c r="E12" s="31">
        <v>5</v>
      </c>
      <c r="F12" s="41">
        <v>500</v>
      </c>
      <c r="G12" s="40">
        <v>42863</v>
      </c>
      <c r="H12" s="31" t="s">
        <v>1182</v>
      </c>
      <c r="I12" s="47">
        <v>7</v>
      </c>
      <c r="J12" s="1">
        <v>12</v>
      </c>
    </row>
    <row r="13" spans="1:12" x14ac:dyDescent="0.25">
      <c r="B13" s="31" t="s">
        <v>1181</v>
      </c>
      <c r="C13" s="40">
        <v>42866.46798912037</v>
      </c>
      <c r="D13" s="31" t="s">
        <v>1174</v>
      </c>
      <c r="E13" s="31">
        <v>20</v>
      </c>
      <c r="I13" s="47">
        <v>7</v>
      </c>
      <c r="J13" s="1">
        <v>13</v>
      </c>
    </row>
    <row r="14" spans="1:12" x14ac:dyDescent="0.25">
      <c r="B14" s="31" t="s">
        <v>1186</v>
      </c>
      <c r="C14" s="40">
        <v>42871.46435613426</v>
      </c>
      <c r="D14" s="31" t="s">
        <v>1183</v>
      </c>
      <c r="E14" s="31">
        <v>6</v>
      </c>
      <c r="F14" s="41">
        <v>2000</v>
      </c>
      <c r="G14" s="40">
        <v>42870</v>
      </c>
      <c r="H14" s="31" t="s">
        <v>1188</v>
      </c>
      <c r="I14" s="47">
        <v>6</v>
      </c>
      <c r="J14" s="1">
        <v>14</v>
      </c>
    </row>
    <row r="15" spans="1:12" x14ac:dyDescent="0.25">
      <c r="B15" s="31" t="s">
        <v>1187</v>
      </c>
      <c r="C15" s="40">
        <v>42871.464356365737</v>
      </c>
      <c r="D15" s="31" t="s">
        <v>1184</v>
      </c>
      <c r="E15" s="31">
        <v>6</v>
      </c>
      <c r="F15" s="41">
        <v>1300</v>
      </c>
      <c r="G15" s="40">
        <v>42870</v>
      </c>
      <c r="H15" s="31" t="s">
        <v>1188</v>
      </c>
      <c r="I15" s="47">
        <v>6</v>
      </c>
      <c r="J15" s="1">
        <v>15</v>
      </c>
    </row>
    <row r="16" spans="1:12" x14ac:dyDescent="0.25">
      <c r="B16" s="31" t="s">
        <v>1190</v>
      </c>
      <c r="C16" s="40">
        <v>42871.46758773148</v>
      </c>
      <c r="D16" s="31" t="s">
        <v>1191</v>
      </c>
      <c r="E16" s="31">
        <v>1</v>
      </c>
      <c r="F16" s="41">
        <v>720</v>
      </c>
      <c r="G16" s="40">
        <v>42868</v>
      </c>
      <c r="H16" s="31" t="s">
        <v>1182</v>
      </c>
      <c r="I16" s="47">
        <v>4</v>
      </c>
      <c r="J16" s="1">
        <v>16</v>
      </c>
    </row>
    <row r="17" spans="2:10" x14ac:dyDescent="0.25">
      <c r="B17" s="31" t="s">
        <v>1195</v>
      </c>
      <c r="C17" s="40">
        <v>42871.467895949078</v>
      </c>
      <c r="D17" s="31" t="s">
        <v>1192</v>
      </c>
      <c r="E17" s="31">
        <v>1</v>
      </c>
      <c r="F17" s="41">
        <v>160</v>
      </c>
      <c r="I17" s="47">
        <v>4</v>
      </c>
      <c r="J17" s="1">
        <v>17</v>
      </c>
    </row>
    <row r="18" spans="2:10" x14ac:dyDescent="0.25">
      <c r="B18" s="31" t="s">
        <v>1196</v>
      </c>
      <c r="C18" s="40">
        <v>42871.467896180555</v>
      </c>
      <c r="D18" s="31" t="s">
        <v>1193</v>
      </c>
      <c r="E18" s="31">
        <v>1</v>
      </c>
      <c r="F18" s="41">
        <v>1200</v>
      </c>
      <c r="G18" s="40">
        <v>42868</v>
      </c>
      <c r="H18" s="31" t="s">
        <v>1182</v>
      </c>
      <c r="I18" s="47">
        <v>4</v>
      </c>
      <c r="J18" s="1">
        <v>18</v>
      </c>
    </row>
    <row r="19" spans="2:10" x14ac:dyDescent="0.25">
      <c r="B19" s="31" t="s">
        <v>1197</v>
      </c>
      <c r="C19" s="40">
        <v>42871.467896296293</v>
      </c>
      <c r="D19" s="31" t="s">
        <v>1194</v>
      </c>
      <c r="E19" s="31">
        <v>3</v>
      </c>
      <c r="F19" s="41">
        <v>2300</v>
      </c>
      <c r="G19" s="40">
        <v>42867</v>
      </c>
      <c r="H19" s="31" t="s">
        <v>1182</v>
      </c>
      <c r="I19" s="47">
        <v>4</v>
      </c>
      <c r="J19" s="1">
        <v>19</v>
      </c>
    </row>
    <row r="20" spans="2:10" x14ac:dyDescent="0.25">
      <c r="B20" s="31" t="s">
        <v>1230</v>
      </c>
      <c r="C20" s="40">
        <v>42874.474826041667</v>
      </c>
      <c r="D20" s="31" t="s">
        <v>1231</v>
      </c>
      <c r="E20" s="31">
        <v>2</v>
      </c>
      <c r="F20" s="41">
        <v>5600</v>
      </c>
      <c r="G20" s="40">
        <v>0</v>
      </c>
      <c r="H20" s="31">
        <v>0</v>
      </c>
      <c r="I20" s="47">
        <v>4</v>
      </c>
      <c r="J20" s="1">
        <v>20</v>
      </c>
    </row>
    <row r="21" spans="2:10" x14ac:dyDescent="0.25">
      <c r="B21" s="31" t="s">
        <v>1235</v>
      </c>
      <c r="C21" s="40">
        <v>42874.47488483796</v>
      </c>
      <c r="D21" s="31" t="s">
        <v>1232</v>
      </c>
      <c r="E21" s="31">
        <v>7</v>
      </c>
      <c r="F21" s="41">
        <v>1200</v>
      </c>
      <c r="G21" s="40">
        <v>0</v>
      </c>
      <c r="H21" s="31">
        <v>0</v>
      </c>
      <c r="I21" s="47">
        <v>4</v>
      </c>
      <c r="J21" s="1">
        <v>21</v>
      </c>
    </row>
    <row r="22" spans="2:10" x14ac:dyDescent="0.25">
      <c r="B22" s="31" t="s">
        <v>1236</v>
      </c>
      <c r="C22" s="40">
        <v>42874.474898611108</v>
      </c>
      <c r="D22" s="31" t="s">
        <v>1173</v>
      </c>
      <c r="E22" s="31">
        <v>3</v>
      </c>
      <c r="F22" s="41">
        <v>250</v>
      </c>
      <c r="G22" s="40">
        <v>42867</v>
      </c>
      <c r="H22" s="31" t="s">
        <v>1182</v>
      </c>
      <c r="I22" s="47">
        <v>4</v>
      </c>
      <c r="J22" s="1">
        <v>22</v>
      </c>
    </row>
    <row r="23" spans="2:10" x14ac:dyDescent="0.25">
      <c r="B23" s="31" t="s">
        <v>1237</v>
      </c>
      <c r="C23" s="40">
        <v>42874.474909143515</v>
      </c>
      <c r="D23" s="31" t="s">
        <v>1233</v>
      </c>
      <c r="E23" s="31">
        <v>3</v>
      </c>
      <c r="F23" s="41">
        <v>800</v>
      </c>
      <c r="G23" s="40">
        <v>42867</v>
      </c>
      <c r="H23" s="31" t="s">
        <v>1182</v>
      </c>
      <c r="I23" s="47">
        <v>4</v>
      </c>
      <c r="J23" s="1">
        <v>23</v>
      </c>
    </row>
    <row r="24" spans="2:10" x14ac:dyDescent="0.25">
      <c r="B24" s="31" t="s">
        <v>1229</v>
      </c>
      <c r="C24" s="40">
        <v>42874.50227060185</v>
      </c>
      <c r="D24" s="31" t="s">
        <v>1238</v>
      </c>
      <c r="E24" s="31">
        <v>3</v>
      </c>
      <c r="F24" s="41">
        <v>2200</v>
      </c>
      <c r="G24" s="40">
        <v>42874</v>
      </c>
      <c r="H24" s="31" t="s">
        <v>1188</v>
      </c>
      <c r="I24" s="47">
        <v>15</v>
      </c>
      <c r="J24" s="1">
        <v>24</v>
      </c>
    </row>
    <row r="25" spans="2:10" x14ac:dyDescent="0.25">
      <c r="B25" s="31" t="s">
        <v>1252</v>
      </c>
      <c r="C25" s="40">
        <v>42874.502342361113</v>
      </c>
      <c r="D25" s="31" t="s">
        <v>1239</v>
      </c>
      <c r="E25" s="31">
        <v>3</v>
      </c>
      <c r="F25" s="41">
        <v>1800</v>
      </c>
      <c r="G25" s="40">
        <v>42871</v>
      </c>
      <c r="H25" s="31" t="s">
        <v>1188</v>
      </c>
      <c r="I25" s="47">
        <v>15</v>
      </c>
      <c r="J25" s="1">
        <v>25</v>
      </c>
    </row>
    <row r="26" spans="2:10" x14ac:dyDescent="0.25">
      <c r="B26" s="31" t="s">
        <v>1253</v>
      </c>
      <c r="C26" s="40">
        <v>42874.502348379632</v>
      </c>
      <c r="D26" s="31" t="s">
        <v>1240</v>
      </c>
      <c r="E26" s="31">
        <v>1</v>
      </c>
      <c r="G26" s="40">
        <v>0</v>
      </c>
      <c r="H26" s="31">
        <v>0</v>
      </c>
      <c r="I26" s="47">
        <v>15</v>
      </c>
      <c r="J26" s="1">
        <v>26</v>
      </c>
    </row>
    <row r="27" spans="2:10" x14ac:dyDescent="0.25">
      <c r="B27" s="31" t="s">
        <v>1254</v>
      </c>
      <c r="C27" s="40">
        <v>42874.502353819444</v>
      </c>
      <c r="D27" s="31" t="s">
        <v>1241</v>
      </c>
      <c r="E27" s="31">
        <v>1</v>
      </c>
      <c r="F27" s="41">
        <v>470</v>
      </c>
      <c r="G27" s="40">
        <v>42874</v>
      </c>
      <c r="H27" s="31" t="s">
        <v>1189</v>
      </c>
      <c r="I27" s="47">
        <v>15</v>
      </c>
      <c r="J27" s="1">
        <v>27</v>
      </c>
    </row>
    <row r="28" spans="2:10" x14ac:dyDescent="0.25">
      <c r="B28" s="31" t="s">
        <v>1255</v>
      </c>
      <c r="C28" s="40">
        <v>42874.50235949074</v>
      </c>
      <c r="D28" s="31" t="s">
        <v>1242</v>
      </c>
      <c r="E28" s="31">
        <v>1</v>
      </c>
      <c r="F28" s="41">
        <v>470</v>
      </c>
      <c r="G28" s="40">
        <v>0</v>
      </c>
      <c r="H28" s="31">
        <v>0</v>
      </c>
      <c r="I28" s="47">
        <v>15</v>
      </c>
      <c r="J28" s="1">
        <v>28</v>
      </c>
    </row>
    <row r="29" spans="2:10" x14ac:dyDescent="0.25">
      <c r="B29" s="31" t="s">
        <v>1256</v>
      </c>
      <c r="C29" s="40">
        <v>42874.502364699074</v>
      </c>
      <c r="D29" s="31" t="s">
        <v>1243</v>
      </c>
      <c r="E29" s="31">
        <v>1</v>
      </c>
      <c r="F29" s="41">
        <v>1900</v>
      </c>
      <c r="G29" s="40">
        <v>42874</v>
      </c>
      <c r="H29" s="31" t="s">
        <v>1189</v>
      </c>
      <c r="I29" s="47">
        <v>15</v>
      </c>
      <c r="J29" s="1">
        <v>29</v>
      </c>
    </row>
    <row r="30" spans="2:10" x14ac:dyDescent="0.25">
      <c r="B30" s="31" t="s">
        <v>1257</v>
      </c>
      <c r="C30" s="40">
        <v>42874.502369097223</v>
      </c>
      <c r="D30" s="31" t="s">
        <v>1244</v>
      </c>
      <c r="E30" s="31">
        <v>1</v>
      </c>
      <c r="F30" s="41">
        <v>945</v>
      </c>
      <c r="G30" s="40">
        <v>0</v>
      </c>
      <c r="H30" s="31">
        <v>0</v>
      </c>
      <c r="I30" s="47">
        <v>15</v>
      </c>
      <c r="J30" s="1">
        <v>30</v>
      </c>
    </row>
    <row r="31" spans="2:10" x14ac:dyDescent="0.25">
      <c r="B31" s="31" t="s">
        <v>1258</v>
      </c>
      <c r="C31" s="40">
        <v>42874.502373842595</v>
      </c>
      <c r="D31" s="31" t="s">
        <v>1245</v>
      </c>
      <c r="E31" s="31">
        <v>1</v>
      </c>
      <c r="F31" s="41">
        <v>795</v>
      </c>
      <c r="G31" s="40">
        <v>0</v>
      </c>
      <c r="H31" s="31">
        <v>0</v>
      </c>
      <c r="I31" s="47">
        <v>15</v>
      </c>
      <c r="J31" s="1">
        <v>31</v>
      </c>
    </row>
    <row r="32" spans="2:10" x14ac:dyDescent="0.25">
      <c r="B32" s="31" t="s">
        <v>1259</v>
      </c>
      <c r="C32" s="40">
        <v>42874.502378703706</v>
      </c>
      <c r="D32" s="31" t="s">
        <v>1194</v>
      </c>
      <c r="E32" s="31">
        <v>3</v>
      </c>
      <c r="F32" s="41">
        <v>2300</v>
      </c>
      <c r="G32" s="40">
        <v>42874</v>
      </c>
      <c r="H32" s="31" t="s">
        <v>1188</v>
      </c>
      <c r="I32" s="47">
        <v>15</v>
      </c>
      <c r="J32" s="1">
        <v>32</v>
      </c>
    </row>
    <row r="33" spans="2:10" x14ac:dyDescent="0.25">
      <c r="B33" s="31" t="s">
        <v>1260</v>
      </c>
      <c r="C33" s="40">
        <v>42874.502383101855</v>
      </c>
      <c r="D33" s="31" t="s">
        <v>1246</v>
      </c>
      <c r="E33" s="31">
        <v>1</v>
      </c>
      <c r="F33" s="41">
        <v>2110</v>
      </c>
      <c r="G33" s="40">
        <v>0</v>
      </c>
      <c r="H33" s="31">
        <v>0</v>
      </c>
      <c r="I33" s="47">
        <v>15</v>
      </c>
      <c r="J33" s="1">
        <v>33</v>
      </c>
    </row>
    <row r="34" spans="2:10" x14ac:dyDescent="0.25">
      <c r="B34" s="31" t="s">
        <v>1261</v>
      </c>
      <c r="C34" s="40">
        <v>42874.502387962966</v>
      </c>
      <c r="D34" s="31" t="s">
        <v>1247</v>
      </c>
      <c r="E34" s="31">
        <v>1</v>
      </c>
      <c r="F34" s="41">
        <v>140</v>
      </c>
      <c r="G34" s="40">
        <v>42874</v>
      </c>
      <c r="H34" s="31" t="s">
        <v>1189</v>
      </c>
      <c r="I34" s="47">
        <v>15</v>
      </c>
      <c r="J34" s="1">
        <v>34</v>
      </c>
    </row>
    <row r="35" spans="2:10" x14ac:dyDescent="0.25">
      <c r="B35" s="31" t="s">
        <v>1262</v>
      </c>
      <c r="C35" s="40">
        <v>42874.502392476854</v>
      </c>
      <c r="D35" s="31" t="s">
        <v>1248</v>
      </c>
      <c r="E35" s="31">
        <v>1</v>
      </c>
      <c r="F35" s="41">
        <v>141</v>
      </c>
      <c r="G35" s="40">
        <v>42874</v>
      </c>
      <c r="H35" s="31" t="s">
        <v>1189</v>
      </c>
      <c r="I35" s="47">
        <v>15</v>
      </c>
      <c r="J35" s="1">
        <v>35</v>
      </c>
    </row>
    <row r="36" spans="2:10" x14ac:dyDescent="0.25">
      <c r="B36" s="31" t="s">
        <v>1263</v>
      </c>
      <c r="C36" s="40">
        <v>42874.502396875003</v>
      </c>
      <c r="D36" s="31" t="s">
        <v>1249</v>
      </c>
      <c r="E36" s="31">
        <v>1</v>
      </c>
      <c r="F36" s="41">
        <v>140</v>
      </c>
      <c r="G36" s="40">
        <v>0</v>
      </c>
      <c r="H36" s="31">
        <v>0</v>
      </c>
      <c r="I36" s="47">
        <v>15</v>
      </c>
      <c r="J36" s="1">
        <v>36</v>
      </c>
    </row>
    <row r="37" spans="2:10" x14ac:dyDescent="0.25">
      <c r="B37" s="31" t="s">
        <v>1264</v>
      </c>
      <c r="C37" s="40">
        <v>42874.502401273145</v>
      </c>
      <c r="D37" s="31" t="s">
        <v>1250</v>
      </c>
      <c r="E37" s="31">
        <v>1</v>
      </c>
      <c r="F37" s="41">
        <v>1830</v>
      </c>
      <c r="G37" s="40">
        <v>0</v>
      </c>
      <c r="H37" s="31">
        <v>0</v>
      </c>
      <c r="I37" s="47">
        <v>15</v>
      </c>
      <c r="J37" s="1">
        <v>37</v>
      </c>
    </row>
    <row r="38" spans="2:10" x14ac:dyDescent="0.25">
      <c r="B38" s="31" t="s">
        <v>1265</v>
      </c>
      <c r="C38" s="40">
        <v>42874.502405671294</v>
      </c>
      <c r="D38" s="31" t="s">
        <v>1251</v>
      </c>
      <c r="E38" s="31">
        <v>1</v>
      </c>
      <c r="F38" s="41">
        <v>860</v>
      </c>
      <c r="G38" s="40">
        <v>0</v>
      </c>
      <c r="H38" s="31">
        <v>0</v>
      </c>
      <c r="I38" s="47">
        <v>15</v>
      </c>
      <c r="J38" s="1">
        <v>38</v>
      </c>
    </row>
    <row r="39" spans="2:10" x14ac:dyDescent="0.25">
      <c r="B39" s="31" t="s">
        <v>1316</v>
      </c>
      <c r="C39" s="40">
        <v>42885.681852430556</v>
      </c>
      <c r="D39" s="31" t="s">
        <v>1317</v>
      </c>
      <c r="E39" s="31">
        <v>8</v>
      </c>
      <c r="F39" s="41">
        <v>4000</v>
      </c>
      <c r="G39" s="40">
        <v>42885</v>
      </c>
      <c r="H39" s="31" t="s">
        <v>1188</v>
      </c>
      <c r="I39" s="47">
        <v>7</v>
      </c>
      <c r="J39" s="1">
        <v>39</v>
      </c>
    </row>
    <row r="40" spans="2:10" x14ac:dyDescent="0.25">
      <c r="B40" s="31" t="s">
        <v>1323</v>
      </c>
      <c r="C40" s="40">
        <v>42885.682043287037</v>
      </c>
      <c r="D40" s="31" t="s">
        <v>1318</v>
      </c>
      <c r="E40" s="31">
        <v>8</v>
      </c>
      <c r="F40" s="41">
        <v>1500</v>
      </c>
      <c r="G40" s="40">
        <v>42885</v>
      </c>
      <c r="H40" s="31" t="s">
        <v>1188</v>
      </c>
      <c r="I40" s="47">
        <v>7</v>
      </c>
      <c r="J40" s="1">
        <v>40</v>
      </c>
    </row>
    <row r="41" spans="2:10" x14ac:dyDescent="0.25">
      <c r="B41" s="31" t="s">
        <v>1324</v>
      </c>
      <c r="C41" s="40">
        <v>42885.682043287037</v>
      </c>
      <c r="D41" s="31" t="s">
        <v>1319</v>
      </c>
      <c r="E41" s="31">
        <v>8</v>
      </c>
      <c r="F41" s="41">
        <v>2000</v>
      </c>
      <c r="G41" s="40">
        <v>42885</v>
      </c>
      <c r="H41" s="31" t="s">
        <v>1188</v>
      </c>
      <c r="I41" s="47">
        <v>7</v>
      </c>
      <c r="J41" s="1">
        <v>41</v>
      </c>
    </row>
    <row r="42" spans="2:10" x14ac:dyDescent="0.25">
      <c r="B42" s="31" t="s">
        <v>1325</v>
      </c>
      <c r="C42" s="40">
        <v>42885.682043287037</v>
      </c>
      <c r="D42" s="31" t="s">
        <v>1320</v>
      </c>
      <c r="E42" s="31">
        <v>1</v>
      </c>
      <c r="F42" s="41">
        <v>3385</v>
      </c>
      <c r="G42" s="40">
        <v>42874</v>
      </c>
      <c r="H42" s="31" t="s">
        <v>1182</v>
      </c>
      <c r="I42" s="47">
        <v>7</v>
      </c>
      <c r="J42" s="1">
        <v>42</v>
      </c>
    </row>
    <row r="43" spans="2:10" x14ac:dyDescent="0.25">
      <c r="B43" s="31" t="s">
        <v>1326</v>
      </c>
      <c r="C43" s="40">
        <v>42885.682043402776</v>
      </c>
      <c r="D43" s="31" t="s">
        <v>1321</v>
      </c>
      <c r="E43" s="31">
        <v>1</v>
      </c>
      <c r="F43" s="41">
        <v>474</v>
      </c>
      <c r="G43" s="40">
        <v>42874</v>
      </c>
      <c r="H43" s="31" t="s">
        <v>1182</v>
      </c>
      <c r="I43" s="47">
        <v>7</v>
      </c>
      <c r="J43" s="1">
        <v>43</v>
      </c>
    </row>
    <row r="44" spans="2:10" x14ac:dyDescent="0.25">
      <c r="B44" s="31" t="s">
        <v>1327</v>
      </c>
      <c r="C44" s="40">
        <v>42885.682043402776</v>
      </c>
      <c r="D44" s="31" t="s">
        <v>1194</v>
      </c>
      <c r="E44" s="31">
        <v>3</v>
      </c>
      <c r="F44" s="41">
        <v>2300</v>
      </c>
      <c r="G44" s="40">
        <v>42874</v>
      </c>
      <c r="H44" s="31" t="s">
        <v>1188</v>
      </c>
      <c r="I44" s="47">
        <v>7</v>
      </c>
      <c r="J44" s="1">
        <v>44</v>
      </c>
    </row>
    <row r="45" spans="2:10" x14ac:dyDescent="0.25">
      <c r="B45" s="31" t="s">
        <v>1328</v>
      </c>
      <c r="C45" s="40">
        <v>42885.682043402776</v>
      </c>
      <c r="D45" s="31" t="s">
        <v>1322</v>
      </c>
      <c r="E45" s="31">
        <v>3</v>
      </c>
      <c r="F45" s="41">
        <v>380</v>
      </c>
      <c r="G45" s="40">
        <v>42874</v>
      </c>
      <c r="H45" s="31" t="s">
        <v>1188</v>
      </c>
      <c r="I45" s="47">
        <v>7</v>
      </c>
      <c r="J45" s="1">
        <v>45</v>
      </c>
    </row>
    <row r="46" spans="2:10" x14ac:dyDescent="0.25">
      <c r="B46" s="31" t="s">
        <v>1330</v>
      </c>
      <c r="C46" s="40">
        <v>42898.865148726851</v>
      </c>
      <c r="D46" s="31" t="s">
        <v>1331</v>
      </c>
      <c r="E46" s="31">
        <v>3</v>
      </c>
      <c r="F46" s="41">
        <v>1400</v>
      </c>
      <c r="G46" s="40">
        <v>42898</v>
      </c>
      <c r="H46" s="31" t="s">
        <v>1188</v>
      </c>
      <c r="I46" s="47">
        <v>9</v>
      </c>
      <c r="J46" s="1">
        <v>46</v>
      </c>
    </row>
    <row r="47" spans="2:10" x14ac:dyDescent="0.25">
      <c r="B47" s="31" t="s">
        <v>1337</v>
      </c>
      <c r="C47" s="40">
        <v>42898.865227546296</v>
      </c>
      <c r="D47" s="31" t="s">
        <v>1332</v>
      </c>
      <c r="E47" s="31">
        <v>3</v>
      </c>
      <c r="F47" s="41">
        <v>800</v>
      </c>
      <c r="G47" s="40">
        <v>42898</v>
      </c>
      <c r="H47" s="31" t="s">
        <v>1188</v>
      </c>
      <c r="I47" s="47">
        <v>9</v>
      </c>
      <c r="J47" s="1">
        <v>47</v>
      </c>
    </row>
    <row r="48" spans="2:10" x14ac:dyDescent="0.25">
      <c r="B48" s="31" t="s">
        <v>1338</v>
      </c>
      <c r="C48" s="40">
        <v>42898.865227662034</v>
      </c>
      <c r="D48" s="31" t="s">
        <v>1333</v>
      </c>
      <c r="E48" s="31">
        <v>3</v>
      </c>
      <c r="F48" s="41">
        <v>300</v>
      </c>
      <c r="G48" s="40">
        <v>42898</v>
      </c>
      <c r="H48" s="31" t="s">
        <v>1188</v>
      </c>
      <c r="I48" s="47">
        <v>9</v>
      </c>
      <c r="J48" s="1">
        <v>48</v>
      </c>
    </row>
    <row r="49" spans="2:11" x14ac:dyDescent="0.25">
      <c r="B49" s="31" t="s">
        <v>1339</v>
      </c>
      <c r="C49" s="40">
        <v>42898.865227662034</v>
      </c>
      <c r="D49" s="31" t="s">
        <v>1334</v>
      </c>
      <c r="E49" s="31">
        <v>3</v>
      </c>
      <c r="F49" s="41">
        <v>600</v>
      </c>
      <c r="G49" s="40">
        <v>42898</v>
      </c>
      <c r="H49" s="31" t="s">
        <v>1188</v>
      </c>
      <c r="I49" s="47">
        <v>9</v>
      </c>
      <c r="J49" s="1">
        <v>49</v>
      </c>
    </row>
    <row r="50" spans="2:11" x14ac:dyDescent="0.25">
      <c r="B50" s="31" t="s">
        <v>1340</v>
      </c>
      <c r="C50" s="40">
        <v>42898.865227662034</v>
      </c>
      <c r="D50" s="31" t="s">
        <v>1174</v>
      </c>
      <c r="E50" s="31">
        <v>5</v>
      </c>
      <c r="F50" s="41">
        <v>550</v>
      </c>
      <c r="G50" s="40">
        <v>42898</v>
      </c>
      <c r="H50" s="31" t="s">
        <v>1188</v>
      </c>
      <c r="I50" s="47">
        <v>9</v>
      </c>
      <c r="J50" s="1">
        <v>50</v>
      </c>
    </row>
    <row r="51" spans="2:11" x14ac:dyDescent="0.25">
      <c r="B51" s="31" t="s">
        <v>1341</v>
      </c>
      <c r="C51" s="40">
        <v>42898.865227662034</v>
      </c>
      <c r="D51" s="31" t="s">
        <v>1171</v>
      </c>
      <c r="E51" s="31">
        <v>5</v>
      </c>
      <c r="F51" s="41">
        <v>1300</v>
      </c>
      <c r="G51" s="40">
        <v>42898</v>
      </c>
      <c r="H51" s="31" t="s">
        <v>1188</v>
      </c>
      <c r="I51" s="47">
        <v>9</v>
      </c>
      <c r="J51" s="1">
        <v>51</v>
      </c>
    </row>
    <row r="52" spans="2:11" x14ac:dyDescent="0.25">
      <c r="B52" s="31" t="s">
        <v>1342</v>
      </c>
      <c r="C52" s="40">
        <v>42898.865227893519</v>
      </c>
      <c r="D52" s="31" t="s">
        <v>1335</v>
      </c>
      <c r="E52" s="31">
        <v>5</v>
      </c>
      <c r="F52" s="41">
        <v>750</v>
      </c>
      <c r="G52" s="40">
        <v>42898</v>
      </c>
      <c r="H52" s="31" t="s">
        <v>1188</v>
      </c>
      <c r="I52" s="47">
        <v>9</v>
      </c>
      <c r="J52" s="1">
        <v>52</v>
      </c>
    </row>
    <row r="53" spans="2:11" x14ac:dyDescent="0.25">
      <c r="B53" s="31" t="s">
        <v>1343</v>
      </c>
      <c r="C53" s="40">
        <v>42898.865227893519</v>
      </c>
      <c r="D53" s="31" t="s">
        <v>1336</v>
      </c>
      <c r="E53" s="31">
        <v>5</v>
      </c>
      <c r="F53" s="41">
        <v>750</v>
      </c>
      <c r="G53" s="40">
        <v>42898</v>
      </c>
      <c r="H53" s="31" t="s">
        <v>1188</v>
      </c>
      <c r="I53" s="47">
        <v>9</v>
      </c>
      <c r="J53" s="1">
        <v>53</v>
      </c>
    </row>
    <row r="54" spans="2:11" x14ac:dyDescent="0.25">
      <c r="B54" s="31" t="s">
        <v>1345</v>
      </c>
      <c r="C54" s="40">
        <v>42900.607592245367</v>
      </c>
      <c r="D54" s="31" t="s">
        <v>1344</v>
      </c>
      <c r="E54" s="31">
        <v>2</v>
      </c>
      <c r="F54" s="41">
        <v>25000</v>
      </c>
      <c r="G54" s="40">
        <v>42898</v>
      </c>
      <c r="H54" s="31" t="s">
        <v>1188</v>
      </c>
      <c r="I54" s="47">
        <v>9</v>
      </c>
      <c r="J54" s="1">
        <v>54</v>
      </c>
    </row>
    <row r="55" spans="2:11" x14ac:dyDescent="0.25">
      <c r="B55" s="31" t="s">
        <v>1483</v>
      </c>
      <c r="C55" s="40">
        <v>42900.685642708333</v>
      </c>
      <c r="D55" s="31" t="s">
        <v>1485</v>
      </c>
      <c r="E55" s="31">
        <v>20</v>
      </c>
      <c r="G55" s="40">
        <v>42901</v>
      </c>
      <c r="H55" s="31">
        <v>0</v>
      </c>
      <c r="I55" s="47">
        <v>1</v>
      </c>
      <c r="J55" s="1">
        <v>55</v>
      </c>
      <c r="K55" s="72" t="s">
        <v>1499</v>
      </c>
    </row>
    <row r="56" spans="2:11" x14ac:dyDescent="0.25">
      <c r="B56" s="31" t="s">
        <v>1486</v>
      </c>
      <c r="C56" s="40">
        <v>42901.806626736114</v>
      </c>
      <c r="D56" s="31" t="s">
        <v>1488</v>
      </c>
      <c r="E56" s="31">
        <v>20</v>
      </c>
      <c r="F56" s="41">
        <v>0</v>
      </c>
      <c r="G56" s="40">
        <v>42901</v>
      </c>
      <c r="H56" s="31" t="s">
        <v>1492</v>
      </c>
      <c r="I56" s="47">
        <v>3</v>
      </c>
      <c r="J56" s="1">
        <v>56</v>
      </c>
      <c r="K56" s="72" t="s">
        <v>1482</v>
      </c>
    </row>
    <row r="57" spans="2:11" x14ac:dyDescent="0.25">
      <c r="B57" s="31" t="s">
        <v>1490</v>
      </c>
      <c r="C57" s="40">
        <v>42901.806674421299</v>
      </c>
      <c r="D57" s="31" t="s">
        <v>1487</v>
      </c>
      <c r="E57" s="31">
        <v>20</v>
      </c>
      <c r="F57" s="41">
        <v>0</v>
      </c>
      <c r="G57" s="40">
        <v>42901</v>
      </c>
      <c r="H57" s="31" t="s">
        <v>1492</v>
      </c>
      <c r="I57" s="47">
        <v>3</v>
      </c>
      <c r="J57" s="1">
        <v>57</v>
      </c>
      <c r="K57" s="72" t="s">
        <v>1493</v>
      </c>
    </row>
    <row r="58" spans="2:11" x14ac:dyDescent="0.25">
      <c r="B58" s="31" t="s">
        <v>1491</v>
      </c>
      <c r="C58" s="40">
        <v>42901.806674421299</v>
      </c>
      <c r="D58" s="31" t="s">
        <v>1489</v>
      </c>
      <c r="E58" s="31">
        <v>20</v>
      </c>
      <c r="F58" s="41">
        <v>0</v>
      </c>
      <c r="G58" s="40">
        <v>42901</v>
      </c>
      <c r="H58" s="31" t="s">
        <v>1492</v>
      </c>
      <c r="I58" s="47">
        <v>3</v>
      </c>
      <c r="J58" s="1">
        <v>58</v>
      </c>
      <c r="K58" s="72" t="s">
        <v>1493</v>
      </c>
    </row>
    <row r="59" spans="2:11" x14ac:dyDescent="0.25">
      <c r="B59" s="31" t="s">
        <v>1494</v>
      </c>
      <c r="C59" s="40">
        <v>42901.818571412034</v>
      </c>
      <c r="D59" s="31" t="s">
        <v>1495</v>
      </c>
      <c r="E59" s="31">
        <v>20</v>
      </c>
      <c r="G59" s="40">
        <v>42901</v>
      </c>
      <c r="H59" s="31" t="s">
        <v>1188</v>
      </c>
      <c r="I59" s="47">
        <v>2</v>
      </c>
      <c r="J59" s="1">
        <v>59</v>
      </c>
      <c r="K59" s="72" t="s">
        <v>1498</v>
      </c>
    </row>
    <row r="60" spans="2:11" x14ac:dyDescent="0.25">
      <c r="B60" s="31" t="s">
        <v>1497</v>
      </c>
      <c r="C60" s="40">
        <v>42901.818595370372</v>
      </c>
      <c r="D60" s="31" t="s">
        <v>1496</v>
      </c>
      <c r="E60" s="31">
        <v>20</v>
      </c>
      <c r="G60" s="40">
        <v>42901</v>
      </c>
      <c r="H60" s="31" t="s">
        <v>1188</v>
      </c>
      <c r="I60" s="47">
        <v>2</v>
      </c>
      <c r="J60" s="1">
        <v>60</v>
      </c>
      <c r="K60" s="72" t="s">
        <v>1498</v>
      </c>
    </row>
    <row r="61" spans="2:11" x14ac:dyDescent="0.25">
      <c r="B61" s="31" t="s">
        <v>1500</v>
      </c>
      <c r="C61" s="40">
        <v>42901.827025231483</v>
      </c>
      <c r="D61" s="31" t="s">
        <v>1501</v>
      </c>
      <c r="E61" s="31">
        <v>20</v>
      </c>
      <c r="G61" s="40">
        <v>42901</v>
      </c>
      <c r="I61" s="47">
        <v>1</v>
      </c>
      <c r="J61" s="1">
        <v>61</v>
      </c>
      <c r="K61" s="72" t="s">
        <v>1499</v>
      </c>
    </row>
    <row r="62" spans="2:11" x14ac:dyDescent="0.25">
      <c r="B62" s="31" t="s">
        <v>1502</v>
      </c>
      <c r="C62" s="40">
        <v>42901.827536574077</v>
      </c>
      <c r="D62" s="31" t="s">
        <v>1485</v>
      </c>
      <c r="E62" s="31">
        <v>20</v>
      </c>
      <c r="G62" s="40">
        <v>42901</v>
      </c>
      <c r="I62" s="47">
        <v>1</v>
      </c>
      <c r="J62" s="1">
        <v>62</v>
      </c>
      <c r="K62" s="72" t="s">
        <v>1499</v>
      </c>
    </row>
    <row r="63" spans="2:11" x14ac:dyDescent="0.25">
      <c r="B63" s="31" t="s">
        <v>1503</v>
      </c>
      <c r="C63" s="40">
        <v>42901.828106828703</v>
      </c>
      <c r="D63" s="31" t="s">
        <v>1504</v>
      </c>
      <c r="E63" s="31">
        <v>20</v>
      </c>
      <c r="G63" s="40">
        <v>42901</v>
      </c>
      <c r="I63" s="47">
        <v>1</v>
      </c>
      <c r="J63" s="1">
        <v>63</v>
      </c>
      <c r="K63" s="72" t="s">
        <v>1493</v>
      </c>
    </row>
    <row r="64" spans="2:11" x14ac:dyDescent="0.25">
      <c r="B64" s="31" t="s">
        <v>1505</v>
      </c>
      <c r="C64" s="40">
        <v>42901.828530671293</v>
      </c>
      <c r="D64" s="31" t="s">
        <v>1485</v>
      </c>
      <c r="E64" s="31">
        <v>20</v>
      </c>
      <c r="G64" s="40">
        <v>42901</v>
      </c>
      <c r="I64" s="47">
        <v>1</v>
      </c>
      <c r="J64" s="1">
        <v>64</v>
      </c>
      <c r="K64" s="72" t="s">
        <v>1493</v>
      </c>
    </row>
    <row r="65" spans="2:11" x14ac:dyDescent="0.25">
      <c r="B65" s="31" t="s">
        <v>1506</v>
      </c>
      <c r="C65" s="40">
        <v>42901.829675810186</v>
      </c>
      <c r="D65" s="31" t="s">
        <v>1332</v>
      </c>
      <c r="E65" s="31">
        <v>20</v>
      </c>
      <c r="G65" s="40">
        <v>42901</v>
      </c>
      <c r="I65" s="47">
        <v>1</v>
      </c>
      <c r="J65" s="1">
        <v>65</v>
      </c>
      <c r="K65" s="72" t="s">
        <v>1507</v>
      </c>
    </row>
    <row r="66" spans="2:11" x14ac:dyDescent="0.25">
      <c r="B66" s="31" t="s">
        <v>1508</v>
      </c>
      <c r="C66" s="40">
        <v>42901.830641203705</v>
      </c>
      <c r="D66" s="31" t="s">
        <v>1501</v>
      </c>
      <c r="E66" s="31">
        <v>20</v>
      </c>
      <c r="G66" s="40">
        <v>42901</v>
      </c>
      <c r="I66" s="47">
        <v>1</v>
      </c>
      <c r="J66" s="1">
        <v>66</v>
      </c>
      <c r="K66" s="72" t="s">
        <v>1499</v>
      </c>
    </row>
    <row r="67" spans="2:11" x14ac:dyDescent="0.25">
      <c r="B67" s="31" t="s">
        <v>1510</v>
      </c>
      <c r="C67" s="40">
        <v>42983.698387731478</v>
      </c>
      <c r="D67" s="31" t="s">
        <v>1477</v>
      </c>
      <c r="E67" s="31">
        <v>1</v>
      </c>
      <c r="F67" s="41">
        <v>514.79999999999995</v>
      </c>
      <c r="G67" s="40">
        <v>0</v>
      </c>
      <c r="H67" s="31" t="s">
        <v>1188</v>
      </c>
      <c r="I67" s="47">
        <v>1</v>
      </c>
      <c r="J67" s="1">
        <v>67</v>
      </c>
      <c r="K67" s="72">
        <v>0</v>
      </c>
    </row>
    <row r="68" spans="2:11" x14ac:dyDescent="0.25">
      <c r="B68" s="31" t="s">
        <v>1888</v>
      </c>
      <c r="C68" s="40">
        <v>42984.531920023146</v>
      </c>
      <c r="D68" s="31" t="s">
        <v>1892</v>
      </c>
      <c r="E68" s="31">
        <v>20</v>
      </c>
      <c r="F68" s="41">
        <v>0</v>
      </c>
      <c r="G68" s="40">
        <v>42973</v>
      </c>
      <c r="H68" s="31" t="s">
        <v>1182</v>
      </c>
      <c r="I68" s="47">
        <v>6</v>
      </c>
      <c r="J68" s="1">
        <v>68</v>
      </c>
      <c r="K68" s="72" t="s">
        <v>1897</v>
      </c>
    </row>
    <row r="69" spans="2:11" x14ac:dyDescent="0.25">
      <c r="B69" s="31" t="s">
        <v>1898</v>
      </c>
      <c r="C69" s="40">
        <v>42984.531945486109</v>
      </c>
      <c r="D69" s="31" t="s">
        <v>1893</v>
      </c>
      <c r="E69" s="31">
        <v>20</v>
      </c>
      <c r="F69" s="41">
        <v>0</v>
      </c>
      <c r="G69" s="40">
        <v>42973</v>
      </c>
      <c r="H69" s="31" t="s">
        <v>1182</v>
      </c>
      <c r="I69" s="47">
        <v>6</v>
      </c>
      <c r="J69" s="1">
        <v>69</v>
      </c>
      <c r="K69" s="72" t="s">
        <v>1897</v>
      </c>
    </row>
    <row r="70" spans="2:11" x14ac:dyDescent="0.25">
      <c r="B70" s="31" t="s">
        <v>1899</v>
      </c>
      <c r="C70" s="40">
        <v>42984.531945601855</v>
      </c>
      <c r="D70" s="31" t="s">
        <v>1894</v>
      </c>
      <c r="E70" s="31">
        <v>20</v>
      </c>
      <c r="F70" s="41">
        <v>0</v>
      </c>
      <c r="G70" s="40">
        <v>42973</v>
      </c>
      <c r="H70" s="31" t="s">
        <v>1182</v>
      </c>
      <c r="I70" s="47">
        <v>6</v>
      </c>
      <c r="J70" s="1">
        <v>70</v>
      </c>
      <c r="K70" s="72" t="s">
        <v>1897</v>
      </c>
    </row>
    <row r="71" spans="2:11" x14ac:dyDescent="0.25">
      <c r="B71" s="31" t="s">
        <v>1900</v>
      </c>
      <c r="C71" s="40">
        <v>42984.531945601855</v>
      </c>
      <c r="D71" s="31" t="s">
        <v>1895</v>
      </c>
      <c r="E71" s="31">
        <v>20</v>
      </c>
      <c r="F71" s="41">
        <v>0</v>
      </c>
      <c r="G71" s="40">
        <v>42973</v>
      </c>
      <c r="H71" s="31" t="s">
        <v>1182</v>
      </c>
      <c r="I71" s="47">
        <v>6</v>
      </c>
      <c r="J71" s="1">
        <v>71</v>
      </c>
      <c r="K71" s="72" t="s">
        <v>1897</v>
      </c>
    </row>
    <row r="72" spans="2:11" x14ac:dyDescent="0.25">
      <c r="B72" s="31" t="s">
        <v>1901</v>
      </c>
      <c r="C72" s="40">
        <v>42984.531945601855</v>
      </c>
      <c r="D72" s="31" t="s">
        <v>1896</v>
      </c>
      <c r="E72" s="31">
        <v>20</v>
      </c>
      <c r="F72" s="41">
        <v>0</v>
      </c>
      <c r="G72" s="40">
        <v>42973</v>
      </c>
      <c r="H72" s="31" t="s">
        <v>1182</v>
      </c>
      <c r="I72" s="47">
        <v>6</v>
      </c>
      <c r="J72" s="1">
        <v>72</v>
      </c>
      <c r="K72" s="72" t="s">
        <v>1897</v>
      </c>
    </row>
    <row r="73" spans="2:11" x14ac:dyDescent="0.25">
      <c r="B73" s="31" t="s">
        <v>1911</v>
      </c>
      <c r="C73" s="40">
        <v>42985.372341666669</v>
      </c>
      <c r="D73" s="31" t="s">
        <v>1912</v>
      </c>
      <c r="E73" s="31">
        <v>20</v>
      </c>
      <c r="F73" s="41">
        <v>0</v>
      </c>
      <c r="I73" s="47">
        <v>3</v>
      </c>
      <c r="J73" s="1">
        <v>73</v>
      </c>
    </row>
    <row r="74" spans="2:11" x14ac:dyDescent="0.25">
      <c r="B74" s="31" t="s">
        <v>1915</v>
      </c>
      <c r="C74" s="40">
        <v>42985.37254895833</v>
      </c>
      <c r="D74" s="31" t="s">
        <v>1913</v>
      </c>
      <c r="E74" s="31">
        <v>20</v>
      </c>
      <c r="F74" s="41">
        <v>0</v>
      </c>
      <c r="I74" s="47">
        <v>3</v>
      </c>
      <c r="J74" s="1">
        <v>74</v>
      </c>
    </row>
    <row r="75" spans="2:11" x14ac:dyDescent="0.25">
      <c r="B75" s="31" t="s">
        <v>1916</v>
      </c>
      <c r="C75" s="40">
        <v>42985.37254895833</v>
      </c>
      <c r="D75" s="31" t="s">
        <v>1914</v>
      </c>
      <c r="E75" s="31">
        <v>20</v>
      </c>
      <c r="F75" s="41">
        <v>0</v>
      </c>
      <c r="I75" s="47">
        <v>3</v>
      </c>
      <c r="J75" s="1">
        <v>75</v>
      </c>
    </row>
    <row r="76" spans="2:11" x14ac:dyDescent="0.25">
      <c r="B76" s="31" t="s">
        <v>1917</v>
      </c>
      <c r="C76" s="40">
        <v>42985.377898148145</v>
      </c>
      <c r="D76" s="31" t="s">
        <v>1918</v>
      </c>
      <c r="E76" s="31">
        <v>20</v>
      </c>
      <c r="F76" s="41">
        <v>0</v>
      </c>
      <c r="I76" s="47">
        <v>4</v>
      </c>
      <c r="J76" s="1">
        <v>76</v>
      </c>
    </row>
    <row r="77" spans="2:11" x14ac:dyDescent="0.25">
      <c r="B77" s="31" t="s">
        <v>1923</v>
      </c>
      <c r="C77" s="40">
        <v>42985.377952546296</v>
      </c>
      <c r="D77" s="31" t="s">
        <v>1919</v>
      </c>
      <c r="E77" s="31">
        <v>20</v>
      </c>
      <c r="F77" s="41">
        <v>0</v>
      </c>
      <c r="I77" s="47">
        <v>4</v>
      </c>
      <c r="J77" s="1">
        <v>77</v>
      </c>
    </row>
    <row r="78" spans="2:11" x14ac:dyDescent="0.25">
      <c r="B78" s="31" t="s">
        <v>1924</v>
      </c>
      <c r="C78" s="40">
        <v>42985.377952546296</v>
      </c>
      <c r="D78" s="31" t="s">
        <v>1921</v>
      </c>
      <c r="E78" s="31">
        <v>20</v>
      </c>
      <c r="F78" s="41">
        <v>0</v>
      </c>
      <c r="I78" s="47">
        <v>4</v>
      </c>
      <c r="J78" s="1">
        <v>78</v>
      </c>
    </row>
    <row r="79" spans="2:11" x14ac:dyDescent="0.25">
      <c r="B79" s="31" t="s">
        <v>1925</v>
      </c>
      <c r="C79" s="40">
        <v>42985.377952546296</v>
      </c>
      <c r="D79" s="31" t="s">
        <v>1922</v>
      </c>
      <c r="E79" s="31">
        <v>20</v>
      </c>
      <c r="F79" s="41">
        <v>0</v>
      </c>
      <c r="I79" s="47">
        <v>4</v>
      </c>
      <c r="J79" s="1">
        <v>79</v>
      </c>
    </row>
    <row r="80" spans="2:11" x14ac:dyDescent="0.25">
      <c r="B80" s="31" t="s">
        <v>1926</v>
      </c>
      <c r="C80" s="40">
        <v>42985.390491666665</v>
      </c>
      <c r="D80" s="31" t="s">
        <v>1927</v>
      </c>
      <c r="E80" s="31">
        <v>20</v>
      </c>
      <c r="F80" s="41">
        <v>0</v>
      </c>
      <c r="G80" s="40">
        <v>42982</v>
      </c>
      <c r="H80" s="31" t="s">
        <v>1182</v>
      </c>
      <c r="I80" s="47">
        <v>3</v>
      </c>
      <c r="J80" s="1">
        <v>80</v>
      </c>
      <c r="K80" s="72" t="s">
        <v>1897</v>
      </c>
    </row>
    <row r="81" spans="2:11" x14ac:dyDescent="0.25">
      <c r="B81" s="31" t="s">
        <v>1930</v>
      </c>
      <c r="C81" s="40">
        <v>42985.390537500003</v>
      </c>
      <c r="D81" s="31" t="s">
        <v>1928</v>
      </c>
      <c r="E81" s="31">
        <v>20</v>
      </c>
      <c r="F81" s="41">
        <v>0</v>
      </c>
      <c r="G81" s="40">
        <v>42982</v>
      </c>
      <c r="H81" s="31" t="s">
        <v>1182</v>
      </c>
      <c r="I81" s="47">
        <v>3</v>
      </c>
      <c r="J81" s="1">
        <v>81</v>
      </c>
      <c r="K81" s="72" t="s">
        <v>1897</v>
      </c>
    </row>
    <row r="82" spans="2:11" x14ac:dyDescent="0.25">
      <c r="B82" s="31" t="s">
        <v>1931</v>
      </c>
      <c r="C82" s="40">
        <v>42985.390537500003</v>
      </c>
      <c r="D82" s="31" t="s">
        <v>1929</v>
      </c>
      <c r="E82" s="31">
        <v>20</v>
      </c>
      <c r="F82" s="41">
        <v>0</v>
      </c>
      <c r="G82" s="40">
        <v>42982</v>
      </c>
      <c r="H82" s="31" t="s">
        <v>1182</v>
      </c>
      <c r="I82" s="47">
        <v>3</v>
      </c>
      <c r="J82" s="1">
        <v>82</v>
      </c>
      <c r="K82" s="72" t="s">
        <v>1897</v>
      </c>
    </row>
    <row r="83" spans="2:11" x14ac:dyDescent="0.25">
      <c r="B83" s="31" t="s">
        <v>1934</v>
      </c>
      <c r="C83" s="40">
        <v>42985.401377430557</v>
      </c>
      <c r="D83" s="31" t="s">
        <v>1912</v>
      </c>
      <c r="E83" s="31">
        <v>20</v>
      </c>
      <c r="F83" s="41">
        <v>0</v>
      </c>
      <c r="G83" s="40">
        <v>42797</v>
      </c>
      <c r="H83" s="31" t="s">
        <v>1188</v>
      </c>
      <c r="I83" s="47">
        <v>4</v>
      </c>
      <c r="J83" s="1">
        <v>83</v>
      </c>
      <c r="K83" s="72" t="s">
        <v>1937</v>
      </c>
    </row>
    <row r="84" spans="2:11" x14ac:dyDescent="0.25">
      <c r="B84" s="31" t="s">
        <v>1939</v>
      </c>
      <c r="C84" s="40">
        <v>42985.401427083336</v>
      </c>
      <c r="D84" s="31" t="s">
        <v>1935</v>
      </c>
      <c r="E84" s="31">
        <v>20</v>
      </c>
      <c r="F84" s="41">
        <v>0</v>
      </c>
      <c r="G84" s="40">
        <v>42797</v>
      </c>
      <c r="H84" s="31" t="s">
        <v>1188</v>
      </c>
      <c r="I84" s="47">
        <v>4</v>
      </c>
      <c r="J84" s="1">
        <v>84</v>
      </c>
      <c r="K84" s="72" t="s">
        <v>1938</v>
      </c>
    </row>
    <row r="85" spans="2:11" x14ac:dyDescent="0.25">
      <c r="B85" s="31" t="s">
        <v>1940</v>
      </c>
      <c r="C85" s="40">
        <v>42985.401427314813</v>
      </c>
      <c r="D85" s="31" t="s">
        <v>1936</v>
      </c>
      <c r="E85" s="31">
        <v>20</v>
      </c>
      <c r="F85" s="41">
        <v>0</v>
      </c>
      <c r="G85" s="40">
        <v>42797</v>
      </c>
      <c r="H85" s="31" t="s">
        <v>1188</v>
      </c>
      <c r="I85" s="47">
        <v>4</v>
      </c>
      <c r="J85" s="1">
        <v>85</v>
      </c>
      <c r="K85" s="72" t="s">
        <v>1938</v>
      </c>
    </row>
    <row r="86" spans="2:11" x14ac:dyDescent="0.25">
      <c r="B86" s="31" t="s">
        <v>1941</v>
      </c>
      <c r="C86" s="40">
        <v>42985.401427314813</v>
      </c>
      <c r="D86" s="31" t="s">
        <v>1914</v>
      </c>
      <c r="E86" s="31">
        <v>20</v>
      </c>
      <c r="F86" s="41">
        <v>0</v>
      </c>
      <c r="G86" s="40">
        <v>42797</v>
      </c>
      <c r="H86" s="31" t="s">
        <v>1188</v>
      </c>
      <c r="I86" s="47">
        <v>4</v>
      </c>
      <c r="J86" s="1">
        <v>86</v>
      </c>
      <c r="K86" s="72" t="s">
        <v>1938</v>
      </c>
    </row>
    <row r="87" spans="2:11" x14ac:dyDescent="0.25">
      <c r="B87" s="31" t="s">
        <v>1942</v>
      </c>
      <c r="C87" s="40">
        <v>42985.408319907408</v>
      </c>
      <c r="D87" s="31" t="s">
        <v>1943</v>
      </c>
      <c r="E87" s="31">
        <v>20</v>
      </c>
      <c r="F87" s="41">
        <v>0</v>
      </c>
      <c r="G87" s="40">
        <v>42979</v>
      </c>
      <c r="H87" s="31" t="s">
        <v>1188</v>
      </c>
      <c r="I87" s="47">
        <v>4</v>
      </c>
      <c r="J87" s="1">
        <v>87</v>
      </c>
      <c r="K87" s="72" t="s">
        <v>1920</v>
      </c>
    </row>
    <row r="88" spans="2:11" x14ac:dyDescent="0.25">
      <c r="B88" s="31" t="s">
        <v>1947</v>
      </c>
      <c r="C88" s="40">
        <v>42985.408357060187</v>
      </c>
      <c r="D88" s="31" t="s">
        <v>1944</v>
      </c>
      <c r="E88" s="31">
        <v>20</v>
      </c>
      <c r="F88" s="41">
        <v>0</v>
      </c>
      <c r="G88" s="40">
        <v>42979</v>
      </c>
      <c r="H88" s="31" t="s">
        <v>1188</v>
      </c>
      <c r="I88" s="47">
        <v>4</v>
      </c>
      <c r="J88" s="1">
        <v>88</v>
      </c>
      <c r="K88" s="72" t="s">
        <v>2061</v>
      </c>
    </row>
    <row r="89" spans="2:11" x14ac:dyDescent="0.25">
      <c r="B89" s="31" t="s">
        <v>1948</v>
      </c>
      <c r="C89" s="40">
        <v>42985.408357060187</v>
      </c>
      <c r="D89" s="31" t="s">
        <v>1944</v>
      </c>
      <c r="E89" s="31">
        <v>20</v>
      </c>
      <c r="F89" s="41">
        <v>0</v>
      </c>
      <c r="G89" s="40">
        <v>42979</v>
      </c>
      <c r="H89" s="31" t="s">
        <v>1188</v>
      </c>
      <c r="I89" s="47">
        <v>4</v>
      </c>
      <c r="J89" s="1">
        <v>89</v>
      </c>
      <c r="K89" s="72" t="s">
        <v>2061</v>
      </c>
    </row>
    <row r="90" spans="2:11" x14ac:dyDescent="0.25">
      <c r="B90" s="31" t="s">
        <v>1949</v>
      </c>
      <c r="C90" s="40">
        <v>42985.408357175926</v>
      </c>
      <c r="D90" s="31" t="s">
        <v>1945</v>
      </c>
      <c r="E90" s="31">
        <v>20</v>
      </c>
      <c r="F90" s="41">
        <v>0</v>
      </c>
      <c r="G90" s="40">
        <v>42979</v>
      </c>
      <c r="H90" s="31" t="s">
        <v>1188</v>
      </c>
      <c r="I90" s="47">
        <v>4</v>
      </c>
      <c r="J90" s="1">
        <v>90</v>
      </c>
      <c r="K90" s="72" t="s">
        <v>2062</v>
      </c>
    </row>
    <row r="91" spans="2:11" x14ac:dyDescent="0.25">
      <c r="B91" s="31" t="s">
        <v>1950</v>
      </c>
      <c r="C91" s="40">
        <v>42985.411276157407</v>
      </c>
      <c r="D91" s="31" t="s">
        <v>1951</v>
      </c>
      <c r="E91" s="31">
        <v>20</v>
      </c>
      <c r="F91" s="41">
        <v>0</v>
      </c>
      <c r="G91" s="40">
        <v>42933</v>
      </c>
      <c r="H91" s="31" t="s">
        <v>1182</v>
      </c>
      <c r="I91" s="47">
        <v>1</v>
      </c>
      <c r="J91" s="1">
        <v>91</v>
      </c>
      <c r="K91" s="72" t="s">
        <v>1952</v>
      </c>
    </row>
    <row r="92" spans="2:11" x14ac:dyDescent="0.25">
      <c r="B92" s="31" t="s">
        <v>1953</v>
      </c>
      <c r="C92" s="40">
        <v>42985.415401041668</v>
      </c>
      <c r="D92" s="31" t="s">
        <v>1954</v>
      </c>
      <c r="E92" s="31">
        <v>20</v>
      </c>
      <c r="F92" s="41">
        <v>0</v>
      </c>
      <c r="G92" s="40">
        <v>0</v>
      </c>
      <c r="H92" s="31">
        <v>0</v>
      </c>
      <c r="I92" s="47">
        <v>2</v>
      </c>
      <c r="J92" s="1">
        <v>92</v>
      </c>
      <c r="K92" s="72">
        <v>0</v>
      </c>
    </row>
    <row r="93" spans="2:11" x14ac:dyDescent="0.25">
      <c r="B93" s="31" t="s">
        <v>1956</v>
      </c>
      <c r="C93" s="40">
        <v>42985.415419328703</v>
      </c>
      <c r="D93" s="31" t="s">
        <v>1955</v>
      </c>
      <c r="E93" s="31">
        <v>20</v>
      </c>
      <c r="F93" s="41">
        <v>0</v>
      </c>
      <c r="G93" s="40">
        <v>42990</v>
      </c>
      <c r="H93" s="31" t="s">
        <v>1993</v>
      </c>
      <c r="I93" s="47">
        <v>2</v>
      </c>
      <c r="J93" s="1">
        <v>93</v>
      </c>
      <c r="K93" s="72" t="s">
        <v>2240</v>
      </c>
    </row>
    <row r="94" spans="2:11" x14ac:dyDescent="0.25">
      <c r="B94" s="31" t="s">
        <v>1957</v>
      </c>
      <c r="C94" s="40">
        <v>42985.42029548611</v>
      </c>
      <c r="D94" s="31" t="s">
        <v>1912</v>
      </c>
      <c r="E94" s="31">
        <v>20</v>
      </c>
      <c r="F94" s="41">
        <v>0</v>
      </c>
      <c r="G94" s="40">
        <v>42423</v>
      </c>
      <c r="H94" s="31" t="s">
        <v>1182</v>
      </c>
      <c r="I94" s="47">
        <v>1</v>
      </c>
      <c r="J94" s="1">
        <v>94</v>
      </c>
      <c r="K94" s="72" t="s">
        <v>1937</v>
      </c>
    </row>
    <row r="95" spans="2:11" x14ac:dyDescent="0.25">
      <c r="B95" s="31" t="s">
        <v>1965</v>
      </c>
      <c r="C95" s="40">
        <v>42985.428643402774</v>
      </c>
      <c r="D95" s="31" t="s">
        <v>1174</v>
      </c>
      <c r="E95" s="31">
        <v>20</v>
      </c>
      <c r="F95" s="41">
        <v>0</v>
      </c>
      <c r="G95" s="40">
        <v>42943</v>
      </c>
      <c r="H95" s="31" t="s">
        <v>1188</v>
      </c>
      <c r="I95" s="47">
        <v>6</v>
      </c>
      <c r="J95" s="1">
        <v>95</v>
      </c>
      <c r="K95" s="72" t="s">
        <v>1937</v>
      </c>
    </row>
    <row r="96" spans="2:11" x14ac:dyDescent="0.25">
      <c r="B96" s="31" t="s">
        <v>1971</v>
      </c>
      <c r="C96" s="40">
        <v>42985.428737037037</v>
      </c>
      <c r="D96" s="31" t="s">
        <v>1966</v>
      </c>
      <c r="E96" s="31">
        <v>20</v>
      </c>
      <c r="F96" s="41">
        <v>0</v>
      </c>
      <c r="G96" s="40">
        <v>42943</v>
      </c>
      <c r="H96" s="31" t="s">
        <v>1188</v>
      </c>
      <c r="I96" s="47">
        <v>6</v>
      </c>
      <c r="J96" s="1">
        <v>96</v>
      </c>
      <c r="K96" s="72" t="s">
        <v>1976</v>
      </c>
    </row>
    <row r="97" spans="2:11" x14ac:dyDescent="0.25">
      <c r="B97" s="31" t="s">
        <v>1972</v>
      </c>
      <c r="C97" s="40">
        <v>42985.428737037037</v>
      </c>
      <c r="D97" s="31" t="s">
        <v>1967</v>
      </c>
      <c r="E97" s="31">
        <v>20</v>
      </c>
      <c r="F97" s="41">
        <v>0</v>
      </c>
      <c r="G97" s="40">
        <v>42943</v>
      </c>
      <c r="H97" s="31" t="s">
        <v>1188</v>
      </c>
      <c r="I97" s="47">
        <v>6</v>
      </c>
      <c r="J97" s="1">
        <v>97</v>
      </c>
      <c r="K97" s="72" t="s">
        <v>1937</v>
      </c>
    </row>
    <row r="98" spans="2:11" x14ac:dyDescent="0.25">
      <c r="B98" s="31" t="s">
        <v>1973</v>
      </c>
      <c r="C98" s="40">
        <v>42985.428737268521</v>
      </c>
      <c r="D98" s="31" t="s">
        <v>1968</v>
      </c>
      <c r="E98" s="31">
        <v>20</v>
      </c>
      <c r="F98" s="41">
        <v>0</v>
      </c>
      <c r="G98" s="40">
        <v>42943</v>
      </c>
      <c r="H98" s="31" t="s">
        <v>1188</v>
      </c>
      <c r="I98" s="47">
        <v>6</v>
      </c>
      <c r="J98" s="1">
        <v>98</v>
      </c>
      <c r="K98" s="72" t="s">
        <v>1977</v>
      </c>
    </row>
    <row r="99" spans="2:11" x14ac:dyDescent="0.25">
      <c r="B99" s="31" t="s">
        <v>1974</v>
      </c>
      <c r="C99" s="40">
        <v>42985.428737268521</v>
      </c>
      <c r="D99" s="31" t="s">
        <v>1969</v>
      </c>
      <c r="E99" s="31">
        <v>20</v>
      </c>
      <c r="F99" s="41">
        <v>0</v>
      </c>
      <c r="I99" s="47">
        <v>6</v>
      </c>
      <c r="J99" s="1">
        <v>99</v>
      </c>
    </row>
    <row r="100" spans="2:11" x14ac:dyDescent="0.25">
      <c r="B100" s="31" t="s">
        <v>1975</v>
      </c>
      <c r="C100" s="40">
        <v>42985.428737268521</v>
      </c>
      <c r="D100" s="31" t="s">
        <v>1970</v>
      </c>
      <c r="E100" s="31">
        <v>20</v>
      </c>
      <c r="F100" s="41">
        <v>0</v>
      </c>
      <c r="I100" s="47">
        <v>6</v>
      </c>
      <c r="J100" s="1">
        <v>100</v>
      </c>
    </row>
    <row r="101" spans="2:11" x14ac:dyDescent="0.25">
      <c r="B101" s="31" t="s">
        <v>1978</v>
      </c>
      <c r="C101" s="40">
        <v>42985.432593750003</v>
      </c>
      <c r="D101" s="31" t="s">
        <v>1479</v>
      </c>
      <c r="E101" s="31">
        <v>20</v>
      </c>
      <c r="F101" s="41">
        <v>0</v>
      </c>
      <c r="G101" s="40">
        <v>43012</v>
      </c>
      <c r="H101" s="31" t="s">
        <v>1188</v>
      </c>
      <c r="I101" s="47">
        <v>1</v>
      </c>
      <c r="J101" s="1">
        <v>101</v>
      </c>
      <c r="K101" s="72" t="s">
        <v>2044</v>
      </c>
    </row>
    <row r="102" spans="2:11" x14ac:dyDescent="0.25">
      <c r="B102" s="31" t="s">
        <v>1932</v>
      </c>
      <c r="C102" s="40">
        <v>42985.443139236108</v>
      </c>
      <c r="D102" s="31" t="s">
        <v>1912</v>
      </c>
      <c r="E102" s="31">
        <v>20</v>
      </c>
      <c r="F102" s="41">
        <v>0</v>
      </c>
      <c r="G102" s="40">
        <v>0</v>
      </c>
      <c r="H102" s="31">
        <v>0</v>
      </c>
      <c r="I102" s="47">
        <v>2</v>
      </c>
      <c r="J102" s="1">
        <v>102</v>
      </c>
      <c r="K102" s="72">
        <v>0</v>
      </c>
    </row>
    <row r="103" spans="2:11" x14ac:dyDescent="0.25">
      <c r="B103" s="31" t="s">
        <v>1980</v>
      </c>
      <c r="C103" s="40">
        <v>42985.443157291666</v>
      </c>
      <c r="D103" s="31" t="s">
        <v>1979</v>
      </c>
      <c r="E103" s="31">
        <v>20</v>
      </c>
      <c r="F103" s="41">
        <v>0</v>
      </c>
      <c r="G103" s="40">
        <v>0</v>
      </c>
      <c r="H103" s="31">
        <v>0</v>
      </c>
      <c r="I103" s="47">
        <v>2</v>
      </c>
      <c r="J103" s="1">
        <v>103</v>
      </c>
      <c r="K103" s="72">
        <v>0</v>
      </c>
    </row>
    <row r="104" spans="2:11" x14ac:dyDescent="0.25">
      <c r="B104" s="31" t="s">
        <v>1983</v>
      </c>
      <c r="C104" s="40">
        <v>42985.444825347222</v>
      </c>
      <c r="D104" s="31" t="s">
        <v>1982</v>
      </c>
      <c r="E104" s="31">
        <v>20</v>
      </c>
      <c r="F104" s="41">
        <v>0</v>
      </c>
      <c r="G104" s="40">
        <v>43014</v>
      </c>
      <c r="H104" s="31" t="s">
        <v>1188</v>
      </c>
      <c r="I104" s="47">
        <v>11</v>
      </c>
      <c r="J104" s="1">
        <v>104</v>
      </c>
      <c r="K104" s="72" t="s">
        <v>2115</v>
      </c>
    </row>
    <row r="105" spans="2:11" x14ac:dyDescent="0.25">
      <c r="B105" s="31" t="s">
        <v>1984</v>
      </c>
      <c r="C105" s="40">
        <v>42985.446085185184</v>
      </c>
      <c r="D105" s="31" t="s">
        <v>1981</v>
      </c>
      <c r="E105" s="31">
        <v>20</v>
      </c>
      <c r="F105" s="41">
        <v>0</v>
      </c>
      <c r="G105" s="40">
        <v>42779</v>
      </c>
      <c r="H105" s="31" t="s">
        <v>1946</v>
      </c>
      <c r="I105" s="47">
        <v>1</v>
      </c>
      <c r="J105" s="1">
        <v>105</v>
      </c>
      <c r="K105" s="72" t="s">
        <v>1937</v>
      </c>
    </row>
    <row r="106" spans="2:11" x14ac:dyDescent="0.25">
      <c r="B106" s="31" t="s">
        <v>1933</v>
      </c>
      <c r="C106" s="40">
        <v>42985.447330671297</v>
      </c>
      <c r="D106" s="31" t="s">
        <v>1981</v>
      </c>
      <c r="E106" s="31">
        <v>20</v>
      </c>
      <c r="F106" s="41">
        <v>0</v>
      </c>
      <c r="G106" s="40">
        <v>42779</v>
      </c>
      <c r="H106" s="31" t="s">
        <v>1946</v>
      </c>
      <c r="I106" s="47">
        <v>1</v>
      </c>
      <c r="J106" s="1">
        <v>106</v>
      </c>
      <c r="K106" s="72" t="s">
        <v>1937</v>
      </c>
    </row>
    <row r="107" spans="2:11" x14ac:dyDescent="0.25">
      <c r="B107" s="31" t="s">
        <v>1986</v>
      </c>
      <c r="C107" s="40">
        <v>42985.469554861113</v>
      </c>
      <c r="D107" s="31" t="s">
        <v>1985</v>
      </c>
      <c r="E107" s="31">
        <v>20</v>
      </c>
      <c r="G107" s="40">
        <v>42973</v>
      </c>
      <c r="H107" s="31" t="s">
        <v>1182</v>
      </c>
      <c r="I107" s="47">
        <v>6</v>
      </c>
      <c r="J107" s="1">
        <v>107</v>
      </c>
      <c r="K107" s="72" t="s">
        <v>1897</v>
      </c>
    </row>
    <row r="108" spans="2:11" x14ac:dyDescent="0.25">
      <c r="B108" s="31" t="s">
        <v>1990</v>
      </c>
      <c r="C108" s="40">
        <v>42985.480888425926</v>
      </c>
      <c r="D108" s="31" t="s">
        <v>1174</v>
      </c>
      <c r="E108" s="31">
        <v>20</v>
      </c>
      <c r="F108" s="41">
        <v>0</v>
      </c>
      <c r="G108" s="40">
        <v>42985</v>
      </c>
      <c r="H108" s="31" t="s">
        <v>1993</v>
      </c>
      <c r="I108" s="47">
        <v>7</v>
      </c>
      <c r="J108" s="1">
        <v>108</v>
      </c>
      <c r="K108" s="72" t="s">
        <v>1937</v>
      </c>
    </row>
    <row r="109" spans="2:11" x14ac:dyDescent="0.25">
      <c r="B109" s="31" t="s">
        <v>1994</v>
      </c>
      <c r="C109" s="40">
        <v>42985.48097546296</v>
      </c>
      <c r="D109" s="31" t="s">
        <v>1966</v>
      </c>
      <c r="E109" s="31">
        <v>20</v>
      </c>
      <c r="F109" s="41">
        <v>0</v>
      </c>
      <c r="G109" s="40">
        <v>42985</v>
      </c>
      <c r="H109" s="31" t="s">
        <v>1993</v>
      </c>
      <c r="I109" s="47">
        <v>7</v>
      </c>
      <c r="J109" s="1">
        <v>109</v>
      </c>
      <c r="K109" s="72" t="s">
        <v>1998</v>
      </c>
    </row>
    <row r="110" spans="2:11" x14ac:dyDescent="0.25">
      <c r="B110" s="31" t="s">
        <v>1995</v>
      </c>
      <c r="C110" s="40">
        <v>42985.48097546296</v>
      </c>
      <c r="D110" s="31" t="s">
        <v>1991</v>
      </c>
      <c r="E110" s="31">
        <v>20</v>
      </c>
      <c r="F110" s="41">
        <v>0</v>
      </c>
      <c r="G110" s="40">
        <v>42985</v>
      </c>
      <c r="H110" s="31" t="s">
        <v>1993</v>
      </c>
      <c r="I110" s="47">
        <v>7</v>
      </c>
      <c r="J110" s="1">
        <v>110</v>
      </c>
      <c r="K110" s="72" t="s">
        <v>1998</v>
      </c>
    </row>
    <row r="111" spans="2:11" x14ac:dyDescent="0.25">
      <c r="B111" s="31" t="s">
        <v>1996</v>
      </c>
      <c r="C111" s="40">
        <v>42985.48097546296</v>
      </c>
      <c r="D111" s="31" t="s">
        <v>1992</v>
      </c>
      <c r="E111" s="31">
        <v>20</v>
      </c>
      <c r="F111" s="41">
        <v>0</v>
      </c>
      <c r="G111" s="40">
        <v>42985</v>
      </c>
      <c r="H111" s="31" t="s">
        <v>1993</v>
      </c>
      <c r="I111" s="47">
        <v>7</v>
      </c>
      <c r="J111" s="1">
        <v>111</v>
      </c>
      <c r="K111" s="72" t="s">
        <v>1998</v>
      </c>
    </row>
    <row r="112" spans="2:11" x14ac:dyDescent="0.25">
      <c r="B112" s="31" t="s">
        <v>1997</v>
      </c>
      <c r="C112" s="40">
        <v>42985.480975694445</v>
      </c>
      <c r="D112" s="31" t="s">
        <v>1943</v>
      </c>
      <c r="E112" s="31">
        <v>20</v>
      </c>
      <c r="F112" s="41">
        <v>0</v>
      </c>
      <c r="G112" s="40">
        <v>42985</v>
      </c>
      <c r="H112" s="31" t="s">
        <v>1993</v>
      </c>
      <c r="I112" s="47">
        <v>7</v>
      </c>
      <c r="J112" s="1">
        <v>112</v>
      </c>
      <c r="K112" s="72" t="s">
        <v>1998</v>
      </c>
    </row>
    <row r="113" spans="2:11" x14ac:dyDescent="0.25">
      <c r="B113" s="31" t="s">
        <v>1987</v>
      </c>
      <c r="C113" s="40">
        <v>42985.496841898152</v>
      </c>
      <c r="D113" s="31" t="s">
        <v>1988</v>
      </c>
      <c r="E113" s="31">
        <v>20</v>
      </c>
      <c r="F113" s="41">
        <v>0</v>
      </c>
      <c r="G113" s="40">
        <v>42971</v>
      </c>
      <c r="H113" s="31" t="s">
        <v>1182</v>
      </c>
      <c r="I113" s="47">
        <v>10</v>
      </c>
      <c r="J113" s="1">
        <v>113</v>
      </c>
      <c r="K113" s="72" t="s">
        <v>2005</v>
      </c>
    </row>
    <row r="114" spans="2:11" x14ac:dyDescent="0.25">
      <c r="B114" s="31" t="s">
        <v>2006</v>
      </c>
      <c r="C114" s="40">
        <v>42985.496979861113</v>
      </c>
      <c r="D114" s="31" t="s">
        <v>1174</v>
      </c>
      <c r="E114" s="31">
        <v>20</v>
      </c>
      <c r="F114" s="41">
        <v>0</v>
      </c>
      <c r="G114" s="40">
        <v>42971</v>
      </c>
      <c r="H114" s="31" t="s">
        <v>1182</v>
      </c>
      <c r="I114" s="47">
        <v>10</v>
      </c>
      <c r="J114" s="1">
        <v>114</v>
      </c>
      <c r="K114" s="72" t="s">
        <v>1937</v>
      </c>
    </row>
    <row r="115" spans="2:11" x14ac:dyDescent="0.25">
      <c r="B115" s="31" t="s">
        <v>2007</v>
      </c>
      <c r="C115" s="40">
        <v>42985.496979861113</v>
      </c>
      <c r="D115" s="31" t="s">
        <v>1989</v>
      </c>
      <c r="E115" s="31">
        <v>20</v>
      </c>
      <c r="F115" s="41">
        <v>0</v>
      </c>
      <c r="G115" s="40">
        <v>42971</v>
      </c>
      <c r="H115" s="31" t="s">
        <v>1182</v>
      </c>
      <c r="I115" s="47">
        <v>10</v>
      </c>
      <c r="J115" s="1">
        <v>115</v>
      </c>
      <c r="K115" s="72" t="s">
        <v>1920</v>
      </c>
    </row>
    <row r="116" spans="2:11" x14ac:dyDescent="0.25">
      <c r="B116" s="31" t="s">
        <v>2008</v>
      </c>
      <c r="C116" s="40">
        <v>42985.496979976851</v>
      </c>
      <c r="D116" s="31" t="s">
        <v>1332</v>
      </c>
      <c r="E116" s="31">
        <v>20</v>
      </c>
      <c r="F116" s="41">
        <v>0</v>
      </c>
      <c r="G116" s="40">
        <v>42971</v>
      </c>
      <c r="H116" s="31" t="s">
        <v>1182</v>
      </c>
      <c r="I116" s="47">
        <v>10</v>
      </c>
      <c r="J116" s="1">
        <v>116</v>
      </c>
      <c r="K116" s="72" t="s">
        <v>1920</v>
      </c>
    </row>
    <row r="117" spans="2:11" x14ac:dyDescent="0.25">
      <c r="B117" s="31" t="s">
        <v>2009</v>
      </c>
      <c r="C117" s="40">
        <v>42985.496979976851</v>
      </c>
      <c r="D117" s="31" t="s">
        <v>1999</v>
      </c>
      <c r="E117" s="31">
        <v>20</v>
      </c>
      <c r="F117" s="41">
        <v>0</v>
      </c>
      <c r="G117" s="40">
        <v>42971</v>
      </c>
      <c r="H117" s="31" t="s">
        <v>1182</v>
      </c>
      <c r="I117" s="47">
        <v>10</v>
      </c>
      <c r="J117" s="1">
        <v>117</v>
      </c>
      <c r="K117" s="72" t="s">
        <v>1920</v>
      </c>
    </row>
    <row r="118" spans="2:11" x14ac:dyDescent="0.25">
      <c r="B118" s="31" t="s">
        <v>2010</v>
      </c>
      <c r="C118" s="40">
        <v>42985.496980208336</v>
      </c>
      <c r="D118" s="31" t="s">
        <v>2000</v>
      </c>
      <c r="E118" s="31">
        <v>20</v>
      </c>
      <c r="F118" s="41">
        <v>0</v>
      </c>
      <c r="G118" s="40">
        <v>42971</v>
      </c>
      <c r="H118" s="31" t="s">
        <v>1182</v>
      </c>
      <c r="I118" s="47">
        <v>10</v>
      </c>
      <c r="J118" s="1">
        <v>118</v>
      </c>
      <c r="K118" s="72" t="s">
        <v>1920</v>
      </c>
    </row>
    <row r="119" spans="2:11" x14ac:dyDescent="0.25">
      <c r="B119" s="31" t="s">
        <v>2011</v>
      </c>
      <c r="C119" s="40">
        <v>42985.496980208336</v>
      </c>
      <c r="D119" s="31" t="s">
        <v>2001</v>
      </c>
      <c r="E119" s="31">
        <v>20</v>
      </c>
      <c r="F119" s="41">
        <v>0</v>
      </c>
      <c r="G119" s="40">
        <v>42971</v>
      </c>
      <c r="H119" s="31" t="s">
        <v>1182</v>
      </c>
      <c r="I119" s="47">
        <v>10</v>
      </c>
      <c r="J119" s="1">
        <v>119</v>
      </c>
      <c r="K119" s="72" t="s">
        <v>1920</v>
      </c>
    </row>
    <row r="120" spans="2:11" x14ac:dyDescent="0.25">
      <c r="B120" s="31" t="s">
        <v>2012</v>
      </c>
      <c r="C120" s="40">
        <v>42985.496980208336</v>
      </c>
      <c r="D120" s="31" t="s">
        <v>2002</v>
      </c>
      <c r="E120" s="31">
        <v>20</v>
      </c>
      <c r="F120" s="41">
        <v>0</v>
      </c>
      <c r="G120" s="40">
        <v>42971</v>
      </c>
      <c r="H120" s="31" t="s">
        <v>1182</v>
      </c>
      <c r="I120" s="47">
        <v>10</v>
      </c>
      <c r="J120" s="1">
        <v>120</v>
      </c>
      <c r="K120" s="72" t="s">
        <v>1920</v>
      </c>
    </row>
    <row r="121" spans="2:11" x14ac:dyDescent="0.25">
      <c r="B121" s="31" t="s">
        <v>2013</v>
      </c>
      <c r="C121" s="40">
        <v>42985.496980324075</v>
      </c>
      <c r="D121" s="31" t="s">
        <v>2003</v>
      </c>
      <c r="E121" s="31">
        <v>20</v>
      </c>
      <c r="F121" s="41">
        <v>0</v>
      </c>
      <c r="G121" s="40">
        <v>42971</v>
      </c>
      <c r="H121" s="31" t="s">
        <v>1182</v>
      </c>
      <c r="I121" s="47">
        <v>10</v>
      </c>
      <c r="J121" s="1">
        <v>121</v>
      </c>
      <c r="K121" s="72" t="s">
        <v>1920</v>
      </c>
    </row>
    <row r="122" spans="2:11" x14ac:dyDescent="0.25">
      <c r="B122" s="31" t="s">
        <v>2014</v>
      </c>
      <c r="C122" s="40">
        <v>42985.496980324075</v>
      </c>
      <c r="D122" s="31" t="s">
        <v>2004</v>
      </c>
      <c r="E122" s="31">
        <v>20</v>
      </c>
      <c r="F122" s="41">
        <v>0</v>
      </c>
      <c r="G122" s="40">
        <v>42971</v>
      </c>
      <c r="H122" s="31" t="s">
        <v>1182</v>
      </c>
      <c r="I122" s="47">
        <v>10</v>
      </c>
      <c r="J122" s="1">
        <v>122</v>
      </c>
      <c r="K122" s="72" t="s">
        <v>1920</v>
      </c>
    </row>
    <row r="123" spans="2:11" x14ac:dyDescent="0.25">
      <c r="B123" s="31" t="s">
        <v>2019</v>
      </c>
      <c r="C123" s="40">
        <v>42985.599759837962</v>
      </c>
      <c r="D123" s="31" t="s">
        <v>1174</v>
      </c>
      <c r="E123" s="31">
        <v>20</v>
      </c>
      <c r="F123" s="41">
        <v>0</v>
      </c>
      <c r="G123" s="40">
        <v>0</v>
      </c>
      <c r="H123" s="31">
        <v>0</v>
      </c>
      <c r="I123" s="47">
        <v>2</v>
      </c>
      <c r="J123" s="1">
        <v>123</v>
      </c>
      <c r="K123" s="72">
        <v>0</v>
      </c>
    </row>
    <row r="124" spans="2:11" x14ac:dyDescent="0.25">
      <c r="B124" s="31" t="s">
        <v>2020</v>
      </c>
      <c r="C124" s="40">
        <v>42985.606587037037</v>
      </c>
      <c r="D124" s="31" t="s">
        <v>2021</v>
      </c>
      <c r="E124" s="31">
        <v>20</v>
      </c>
      <c r="F124" s="41">
        <v>0</v>
      </c>
      <c r="G124" s="40">
        <v>42643</v>
      </c>
      <c r="H124" s="31" t="s">
        <v>1182</v>
      </c>
      <c r="I124" s="47">
        <v>9</v>
      </c>
      <c r="J124" s="1">
        <v>124</v>
      </c>
      <c r="K124" s="72" t="s">
        <v>1937</v>
      </c>
    </row>
    <row r="125" spans="2:11" x14ac:dyDescent="0.25">
      <c r="B125" s="31" t="s">
        <v>2026</v>
      </c>
      <c r="C125" s="40">
        <v>42985.606637037039</v>
      </c>
      <c r="D125" s="31" t="s">
        <v>2022</v>
      </c>
      <c r="E125" s="31">
        <v>20</v>
      </c>
      <c r="F125" s="41">
        <v>0</v>
      </c>
      <c r="G125" s="40">
        <v>42643</v>
      </c>
      <c r="H125" s="31" t="s">
        <v>1182</v>
      </c>
      <c r="I125" s="47">
        <v>9</v>
      </c>
      <c r="J125" s="1">
        <v>125</v>
      </c>
      <c r="K125" s="72" t="s">
        <v>1937</v>
      </c>
    </row>
    <row r="126" spans="2:11" x14ac:dyDescent="0.25">
      <c r="B126" s="31" t="s">
        <v>2027</v>
      </c>
      <c r="C126" s="40">
        <v>42985.606637037039</v>
      </c>
      <c r="D126" s="31" t="s">
        <v>2023</v>
      </c>
      <c r="E126" s="31">
        <v>20</v>
      </c>
      <c r="F126" s="41">
        <v>0</v>
      </c>
      <c r="G126" s="40">
        <v>42643</v>
      </c>
      <c r="H126" s="31" t="s">
        <v>1182</v>
      </c>
      <c r="I126" s="47">
        <v>9</v>
      </c>
      <c r="J126" s="1">
        <v>126</v>
      </c>
      <c r="K126" s="72" t="s">
        <v>1937</v>
      </c>
    </row>
    <row r="127" spans="2:11" x14ac:dyDescent="0.25">
      <c r="B127" s="31" t="s">
        <v>2028</v>
      </c>
      <c r="C127" s="40">
        <v>42985.606637152778</v>
      </c>
      <c r="D127" s="31" t="s">
        <v>2024</v>
      </c>
      <c r="E127" s="31">
        <v>20</v>
      </c>
      <c r="F127" s="41">
        <v>0</v>
      </c>
      <c r="G127" s="40">
        <v>42643</v>
      </c>
      <c r="H127" s="31" t="s">
        <v>1182</v>
      </c>
      <c r="I127" s="47">
        <v>9</v>
      </c>
      <c r="J127" s="1">
        <v>127</v>
      </c>
      <c r="K127" s="72" t="s">
        <v>1937</v>
      </c>
    </row>
    <row r="128" spans="2:11" x14ac:dyDescent="0.25">
      <c r="B128" s="31" t="s">
        <v>2029</v>
      </c>
      <c r="C128" s="40">
        <v>42985.606637152778</v>
      </c>
      <c r="D128" s="31" t="s">
        <v>2025</v>
      </c>
      <c r="E128" s="31">
        <v>20</v>
      </c>
      <c r="F128" s="41">
        <v>0</v>
      </c>
      <c r="G128" s="40">
        <v>42643</v>
      </c>
      <c r="H128" s="31" t="s">
        <v>1182</v>
      </c>
      <c r="I128" s="47">
        <v>9</v>
      </c>
      <c r="J128" s="1">
        <v>128</v>
      </c>
      <c r="K128" s="72" t="s">
        <v>1937</v>
      </c>
    </row>
    <row r="129" spans="2:11" x14ac:dyDescent="0.25">
      <c r="B129" s="31" t="s">
        <v>2030</v>
      </c>
      <c r="C129" s="40">
        <v>42985.609847337961</v>
      </c>
      <c r="D129" s="31" t="s">
        <v>1912</v>
      </c>
      <c r="E129" s="31">
        <v>20</v>
      </c>
      <c r="F129" s="41">
        <v>0</v>
      </c>
      <c r="G129" s="40">
        <v>42942</v>
      </c>
      <c r="H129" s="31" t="s">
        <v>1188</v>
      </c>
      <c r="I129" s="47">
        <v>1</v>
      </c>
      <c r="J129" s="1">
        <v>129</v>
      </c>
      <c r="K129" s="72" t="s">
        <v>1937</v>
      </c>
    </row>
    <row r="130" spans="2:11" x14ac:dyDescent="0.25">
      <c r="B130" s="31" t="s">
        <v>2031</v>
      </c>
      <c r="C130" s="40">
        <v>42985.612886111114</v>
      </c>
      <c r="D130" s="31" t="s">
        <v>2032</v>
      </c>
      <c r="E130" s="31">
        <v>20</v>
      </c>
      <c r="F130" s="41">
        <v>0</v>
      </c>
      <c r="G130" s="40">
        <v>42910</v>
      </c>
      <c r="H130" s="31" t="s">
        <v>1182</v>
      </c>
      <c r="I130" s="47">
        <v>2</v>
      </c>
      <c r="J130" s="1">
        <v>130</v>
      </c>
      <c r="K130" s="72" t="s">
        <v>2034</v>
      </c>
    </row>
    <row r="131" spans="2:11" x14ac:dyDescent="0.25">
      <c r="B131" s="31" t="s">
        <v>2036</v>
      </c>
      <c r="C131" s="40">
        <v>42985.612914583333</v>
      </c>
      <c r="D131" s="31" t="s">
        <v>2033</v>
      </c>
      <c r="E131" s="31">
        <v>20</v>
      </c>
      <c r="F131" s="41">
        <v>0</v>
      </c>
      <c r="G131" s="40">
        <v>42910</v>
      </c>
      <c r="H131" s="31" t="s">
        <v>1182</v>
      </c>
      <c r="I131" s="47">
        <v>2</v>
      </c>
      <c r="J131" s="1">
        <v>131</v>
      </c>
      <c r="K131" s="72" t="s">
        <v>2035</v>
      </c>
    </row>
    <row r="132" spans="2:11" x14ac:dyDescent="0.25">
      <c r="B132" s="31" t="s">
        <v>2037</v>
      </c>
      <c r="C132" s="40">
        <v>42985.616526851853</v>
      </c>
      <c r="D132" s="31" t="s">
        <v>1171</v>
      </c>
      <c r="E132" s="31">
        <v>20</v>
      </c>
      <c r="F132" s="41">
        <v>0</v>
      </c>
      <c r="G132" s="40">
        <v>42989</v>
      </c>
      <c r="H132" s="31" t="s">
        <v>1993</v>
      </c>
      <c r="I132" s="47">
        <v>2</v>
      </c>
      <c r="J132" s="1">
        <v>132</v>
      </c>
      <c r="K132" s="72" t="s">
        <v>2044</v>
      </c>
    </row>
    <row r="133" spans="2:11" x14ac:dyDescent="0.25">
      <c r="B133" s="31" t="s">
        <v>2038</v>
      </c>
      <c r="C133" s="40">
        <v>42985.616602430557</v>
      </c>
      <c r="D133" s="31" t="s">
        <v>1170</v>
      </c>
      <c r="E133" s="31">
        <v>20</v>
      </c>
      <c r="F133" s="41">
        <v>0</v>
      </c>
      <c r="G133" s="40">
        <v>42989</v>
      </c>
      <c r="H133" s="31" t="s">
        <v>1993</v>
      </c>
      <c r="I133" s="47">
        <v>2</v>
      </c>
      <c r="J133" s="1">
        <v>133</v>
      </c>
      <c r="K133" s="72" t="s">
        <v>2044</v>
      </c>
    </row>
    <row r="134" spans="2:11" x14ac:dyDescent="0.25">
      <c r="B134" s="31" t="s">
        <v>2039</v>
      </c>
      <c r="C134" s="40">
        <v>42985.624942361108</v>
      </c>
      <c r="D134" s="31" t="s">
        <v>2040</v>
      </c>
      <c r="E134" s="31">
        <v>20</v>
      </c>
      <c r="F134" s="41">
        <v>0</v>
      </c>
      <c r="G134" s="40">
        <v>21899</v>
      </c>
      <c r="H134" s="31" t="s">
        <v>1189</v>
      </c>
      <c r="I134" s="47">
        <v>2</v>
      </c>
      <c r="J134" s="1">
        <v>134</v>
      </c>
      <c r="K134" s="72" t="s">
        <v>1998</v>
      </c>
    </row>
    <row r="135" spans="2:11" x14ac:dyDescent="0.25">
      <c r="B135" s="31" t="s">
        <v>2041</v>
      </c>
      <c r="C135" s="40">
        <v>42985.624995370374</v>
      </c>
      <c r="D135" s="31" t="s">
        <v>1919</v>
      </c>
      <c r="E135" s="31">
        <v>20</v>
      </c>
      <c r="F135" s="41">
        <v>0</v>
      </c>
      <c r="G135" s="40">
        <v>21899</v>
      </c>
      <c r="H135" s="31" t="s">
        <v>1189</v>
      </c>
      <c r="I135" s="47">
        <v>2</v>
      </c>
      <c r="J135" s="1">
        <v>135</v>
      </c>
      <c r="K135" s="72" t="s">
        <v>1998</v>
      </c>
    </row>
    <row r="136" spans="2:11" x14ac:dyDescent="0.25">
      <c r="B136" s="31" t="s">
        <v>2042</v>
      </c>
      <c r="C136" s="40">
        <v>42985.636836805556</v>
      </c>
      <c r="D136" s="31" t="s">
        <v>2043</v>
      </c>
      <c r="E136" s="31">
        <v>20</v>
      </c>
      <c r="F136" s="41">
        <v>0</v>
      </c>
      <c r="G136" s="40">
        <v>22166</v>
      </c>
      <c r="H136" s="31" t="s">
        <v>1993</v>
      </c>
      <c r="I136" s="47">
        <v>2</v>
      </c>
      <c r="J136" s="1">
        <v>136</v>
      </c>
      <c r="K136" s="72" t="s">
        <v>2044</v>
      </c>
    </row>
    <row r="137" spans="2:11" x14ac:dyDescent="0.25">
      <c r="B137" s="31" t="s">
        <v>2045</v>
      </c>
      <c r="C137" s="40">
        <v>42985.647651967593</v>
      </c>
      <c r="D137" s="31" t="s">
        <v>2046</v>
      </c>
      <c r="E137" s="31">
        <v>20</v>
      </c>
      <c r="F137" s="41">
        <v>0</v>
      </c>
      <c r="G137" s="40">
        <v>42860</v>
      </c>
      <c r="H137" s="31" t="s">
        <v>1993</v>
      </c>
      <c r="I137" s="47">
        <v>2</v>
      </c>
      <c r="J137" s="1">
        <v>137</v>
      </c>
      <c r="K137" s="72" t="s">
        <v>1920</v>
      </c>
    </row>
    <row r="138" spans="2:11" x14ac:dyDescent="0.25">
      <c r="B138" s="31" t="s">
        <v>2048</v>
      </c>
      <c r="C138" s="40">
        <v>42985.647703356481</v>
      </c>
      <c r="D138" s="31" t="s">
        <v>2047</v>
      </c>
      <c r="E138" s="31">
        <v>20</v>
      </c>
      <c r="F138" s="41">
        <v>0</v>
      </c>
      <c r="G138" s="40">
        <v>42983</v>
      </c>
      <c r="H138" s="31" t="s">
        <v>1993</v>
      </c>
      <c r="I138" s="47">
        <v>2</v>
      </c>
      <c r="J138" s="1">
        <v>138</v>
      </c>
      <c r="K138" s="72" t="s">
        <v>1920</v>
      </c>
    </row>
    <row r="139" spans="2:11" x14ac:dyDescent="0.25">
      <c r="B139" s="31" t="s">
        <v>2049</v>
      </c>
      <c r="C139" s="40">
        <v>42985.656168518515</v>
      </c>
      <c r="D139" s="31" t="s">
        <v>2050</v>
      </c>
      <c r="E139" s="31">
        <v>20</v>
      </c>
      <c r="F139" s="41">
        <v>0</v>
      </c>
      <c r="I139" s="47">
        <v>1</v>
      </c>
      <c r="J139" s="1">
        <v>139</v>
      </c>
    </row>
    <row r="140" spans="2:11" x14ac:dyDescent="0.25">
      <c r="B140" s="31" t="s">
        <v>2051</v>
      </c>
      <c r="C140" s="40">
        <v>42985.66498483796</v>
      </c>
      <c r="D140" s="31" t="s">
        <v>1174</v>
      </c>
      <c r="E140" s="31">
        <v>20</v>
      </c>
      <c r="F140" s="41">
        <v>0</v>
      </c>
      <c r="G140" s="40">
        <v>42986</v>
      </c>
      <c r="H140" s="31" t="s">
        <v>1993</v>
      </c>
      <c r="I140" s="47">
        <v>5</v>
      </c>
      <c r="J140" s="1">
        <v>140</v>
      </c>
      <c r="K140" s="72" t="s">
        <v>1937</v>
      </c>
    </row>
    <row r="141" spans="2:11" x14ac:dyDescent="0.25">
      <c r="B141" s="31" t="s">
        <v>2056</v>
      </c>
      <c r="C141" s="40">
        <v>42985.66503877315</v>
      </c>
      <c r="D141" s="31" t="s">
        <v>2052</v>
      </c>
      <c r="E141" s="31">
        <v>20</v>
      </c>
      <c r="F141" s="41">
        <v>0</v>
      </c>
      <c r="G141" s="40">
        <v>42986</v>
      </c>
      <c r="H141" s="31" t="s">
        <v>1993</v>
      </c>
      <c r="I141" s="47">
        <v>5</v>
      </c>
      <c r="J141" s="1">
        <v>141</v>
      </c>
      <c r="K141" s="72" t="s">
        <v>1977</v>
      </c>
    </row>
    <row r="142" spans="2:11" x14ac:dyDescent="0.25">
      <c r="B142" s="31" t="s">
        <v>2057</v>
      </c>
      <c r="C142" s="40">
        <v>42985.665038888888</v>
      </c>
      <c r="D142" s="31" t="s">
        <v>2053</v>
      </c>
      <c r="E142" s="31">
        <v>20</v>
      </c>
      <c r="F142" s="41">
        <v>0</v>
      </c>
      <c r="G142" s="40">
        <v>42986</v>
      </c>
      <c r="H142" s="31" t="s">
        <v>1993</v>
      </c>
      <c r="I142" s="47">
        <v>5</v>
      </c>
      <c r="J142" s="1">
        <v>142</v>
      </c>
      <c r="K142" s="72" t="s">
        <v>1938</v>
      </c>
    </row>
    <row r="143" spans="2:11" x14ac:dyDescent="0.25">
      <c r="B143" s="31" t="s">
        <v>2058</v>
      </c>
      <c r="C143" s="40">
        <v>42985.665038888888</v>
      </c>
      <c r="D143" s="31" t="s">
        <v>2054</v>
      </c>
      <c r="E143" s="31">
        <v>20</v>
      </c>
      <c r="F143" s="41">
        <v>0</v>
      </c>
      <c r="G143" s="40">
        <v>42986</v>
      </c>
      <c r="H143" s="31" t="s">
        <v>1993</v>
      </c>
      <c r="I143" s="47">
        <v>5</v>
      </c>
      <c r="J143" s="1">
        <v>143</v>
      </c>
      <c r="K143" s="72" t="s">
        <v>1937</v>
      </c>
    </row>
    <row r="144" spans="2:11" x14ac:dyDescent="0.25">
      <c r="B144" s="31" t="s">
        <v>2059</v>
      </c>
      <c r="C144" s="40">
        <v>42985.665038888888</v>
      </c>
      <c r="D144" s="31" t="s">
        <v>2055</v>
      </c>
      <c r="E144" s="31">
        <v>20</v>
      </c>
      <c r="F144" s="41">
        <v>0</v>
      </c>
      <c r="G144" s="40">
        <v>42986</v>
      </c>
      <c r="H144" s="31" t="s">
        <v>1993</v>
      </c>
      <c r="I144" s="47">
        <v>5</v>
      </c>
      <c r="J144" s="1">
        <v>144</v>
      </c>
      <c r="K144" s="72" t="s">
        <v>2044</v>
      </c>
    </row>
    <row r="145" spans="2:11" x14ac:dyDescent="0.25">
      <c r="B145" s="31" t="s">
        <v>2060</v>
      </c>
      <c r="C145" s="40">
        <v>42985.683014351853</v>
      </c>
      <c r="D145" s="31" t="s">
        <v>1174</v>
      </c>
      <c r="E145" s="31">
        <v>20</v>
      </c>
      <c r="F145" s="41">
        <v>0</v>
      </c>
      <c r="G145" s="40">
        <v>42945</v>
      </c>
      <c r="H145" s="31" t="s">
        <v>1182</v>
      </c>
      <c r="I145" s="47">
        <v>3</v>
      </c>
      <c r="J145" s="1">
        <v>145</v>
      </c>
    </row>
    <row r="146" spans="2:11" x14ac:dyDescent="0.25">
      <c r="B146" s="31" t="s">
        <v>2065</v>
      </c>
      <c r="C146" s="40">
        <v>42985.68305590278</v>
      </c>
      <c r="D146" s="31" t="s">
        <v>2063</v>
      </c>
      <c r="E146" s="31">
        <v>20</v>
      </c>
      <c r="F146" s="41">
        <v>0</v>
      </c>
      <c r="G146" s="40">
        <v>42945</v>
      </c>
      <c r="H146" s="31" t="s">
        <v>1182</v>
      </c>
      <c r="I146" s="47">
        <v>3</v>
      </c>
      <c r="J146" s="1">
        <v>146</v>
      </c>
    </row>
    <row r="147" spans="2:11" x14ac:dyDescent="0.25">
      <c r="B147" s="31" t="s">
        <v>2066</v>
      </c>
      <c r="C147" s="40">
        <v>42985.68305590278</v>
      </c>
      <c r="D147" s="31" t="s">
        <v>2064</v>
      </c>
      <c r="I147" s="47">
        <v>3</v>
      </c>
      <c r="J147" s="1">
        <v>147</v>
      </c>
    </row>
    <row r="148" spans="2:11" x14ac:dyDescent="0.25">
      <c r="B148" s="31" t="s">
        <v>2067</v>
      </c>
      <c r="C148" s="40">
        <v>42986.378032291665</v>
      </c>
      <c r="D148" s="31" t="s">
        <v>2071</v>
      </c>
      <c r="E148" s="31">
        <v>20</v>
      </c>
      <c r="F148" s="41">
        <v>0</v>
      </c>
      <c r="G148" s="40">
        <v>42983</v>
      </c>
      <c r="H148" s="31" t="s">
        <v>1182</v>
      </c>
      <c r="I148" s="47">
        <v>4</v>
      </c>
      <c r="J148" s="1">
        <v>148</v>
      </c>
      <c r="K148" s="72" t="s">
        <v>1897</v>
      </c>
    </row>
    <row r="149" spans="2:11" x14ac:dyDescent="0.25">
      <c r="B149" s="31" t="s">
        <v>2075</v>
      </c>
      <c r="C149" s="40">
        <v>42986.378035648151</v>
      </c>
      <c r="D149" s="31" t="s">
        <v>2072</v>
      </c>
      <c r="E149" s="31">
        <v>20</v>
      </c>
      <c r="F149" s="41">
        <v>0</v>
      </c>
      <c r="G149" s="40">
        <v>42983</v>
      </c>
      <c r="H149" s="31" t="s">
        <v>1182</v>
      </c>
      <c r="I149" s="47">
        <v>4</v>
      </c>
      <c r="J149" s="1">
        <v>149</v>
      </c>
      <c r="K149" s="72" t="s">
        <v>1897</v>
      </c>
    </row>
    <row r="150" spans="2:11" x14ac:dyDescent="0.25">
      <c r="B150" s="31" t="s">
        <v>2076</v>
      </c>
      <c r="C150" s="40">
        <v>42986.378035648151</v>
      </c>
      <c r="D150" s="31" t="s">
        <v>2073</v>
      </c>
      <c r="E150" s="31">
        <v>20</v>
      </c>
      <c r="F150" s="41">
        <v>0</v>
      </c>
      <c r="G150" s="40">
        <v>42983</v>
      </c>
      <c r="H150" s="31" t="s">
        <v>1182</v>
      </c>
      <c r="I150" s="47">
        <v>4</v>
      </c>
      <c r="J150" s="1">
        <v>150</v>
      </c>
      <c r="K150" s="72" t="s">
        <v>1897</v>
      </c>
    </row>
    <row r="151" spans="2:11" x14ac:dyDescent="0.25">
      <c r="B151" s="31" t="s">
        <v>2077</v>
      </c>
      <c r="C151" s="40">
        <v>42986.37803576389</v>
      </c>
      <c r="D151" s="31" t="s">
        <v>2074</v>
      </c>
      <c r="E151" s="31">
        <v>20</v>
      </c>
      <c r="F151" s="41">
        <v>0</v>
      </c>
      <c r="G151" s="40">
        <v>42983</v>
      </c>
      <c r="H151" s="31" t="s">
        <v>1182</v>
      </c>
      <c r="I151" s="47">
        <v>4</v>
      </c>
      <c r="J151" s="1">
        <v>151</v>
      </c>
      <c r="K151" s="72" t="s">
        <v>1897</v>
      </c>
    </row>
    <row r="152" spans="2:11" x14ac:dyDescent="0.25">
      <c r="B152" s="31" t="s">
        <v>2086</v>
      </c>
      <c r="C152" s="40">
        <v>42986.40835474537</v>
      </c>
      <c r="D152" s="31" t="s">
        <v>2080</v>
      </c>
      <c r="E152" s="31">
        <v>20</v>
      </c>
      <c r="F152" s="41">
        <v>0</v>
      </c>
      <c r="G152" s="40">
        <v>42985</v>
      </c>
      <c r="H152" s="31" t="s">
        <v>1182</v>
      </c>
      <c r="I152" s="47">
        <v>4</v>
      </c>
      <c r="J152" s="1">
        <v>152</v>
      </c>
      <c r="K152" s="72" t="s">
        <v>2085</v>
      </c>
    </row>
    <row r="153" spans="2:11" x14ac:dyDescent="0.25">
      <c r="B153" s="31" t="s">
        <v>2087</v>
      </c>
      <c r="C153" s="40">
        <v>42986.409031712959</v>
      </c>
      <c r="D153" s="31" t="s">
        <v>2081</v>
      </c>
      <c r="E153" s="31">
        <v>20</v>
      </c>
      <c r="F153" s="41">
        <v>0</v>
      </c>
      <c r="G153" s="40">
        <v>42985</v>
      </c>
      <c r="H153" s="31" t="s">
        <v>1182</v>
      </c>
      <c r="I153" s="47">
        <v>4</v>
      </c>
      <c r="J153" s="1">
        <v>153</v>
      </c>
      <c r="K153" s="72" t="s">
        <v>2084</v>
      </c>
    </row>
    <row r="154" spans="2:11" x14ac:dyDescent="0.25">
      <c r="B154" s="31" t="s">
        <v>2088</v>
      </c>
      <c r="C154" s="40">
        <v>42986.409031712959</v>
      </c>
      <c r="D154" s="31" t="s">
        <v>2082</v>
      </c>
      <c r="E154" s="31">
        <v>20</v>
      </c>
      <c r="F154" s="41">
        <v>0</v>
      </c>
      <c r="G154" s="40">
        <v>42985</v>
      </c>
      <c r="H154" s="31" t="s">
        <v>1182</v>
      </c>
      <c r="I154" s="47">
        <v>4</v>
      </c>
      <c r="J154" s="1">
        <v>154</v>
      </c>
      <c r="K154" s="72" t="s">
        <v>2085</v>
      </c>
    </row>
    <row r="155" spans="2:11" x14ac:dyDescent="0.25">
      <c r="B155" s="31" t="s">
        <v>2089</v>
      </c>
      <c r="C155" s="40">
        <v>42986.409031828705</v>
      </c>
      <c r="D155" s="31" t="s">
        <v>2083</v>
      </c>
      <c r="E155" s="31">
        <v>20</v>
      </c>
      <c r="F155" s="41">
        <v>0</v>
      </c>
      <c r="G155" s="40">
        <v>42985</v>
      </c>
      <c r="H155" s="31" t="s">
        <v>1182</v>
      </c>
      <c r="I155" s="47">
        <v>4</v>
      </c>
      <c r="J155" s="1">
        <v>155</v>
      </c>
      <c r="K155" s="72" t="s">
        <v>2085</v>
      </c>
    </row>
    <row r="156" spans="2:11" x14ac:dyDescent="0.25">
      <c r="B156" s="31" t="s">
        <v>2090</v>
      </c>
      <c r="C156" s="40">
        <v>42986.415812384257</v>
      </c>
      <c r="D156" s="31" t="s">
        <v>2091</v>
      </c>
      <c r="E156" s="31">
        <v>20</v>
      </c>
      <c r="F156" s="41">
        <v>0</v>
      </c>
      <c r="G156" s="40">
        <v>42983</v>
      </c>
      <c r="H156" s="31" t="s">
        <v>1993</v>
      </c>
      <c r="I156" s="47">
        <v>1</v>
      </c>
      <c r="J156" s="1">
        <v>156</v>
      </c>
      <c r="K156" s="72" t="s">
        <v>1920</v>
      </c>
    </row>
    <row r="157" spans="2:11" x14ac:dyDescent="0.25">
      <c r="B157" s="31" t="s">
        <v>2095</v>
      </c>
      <c r="C157" s="40">
        <v>42986.452233796299</v>
      </c>
      <c r="D157" s="31" t="s">
        <v>2094</v>
      </c>
      <c r="E157" s="31">
        <v>20</v>
      </c>
      <c r="F157" s="41">
        <v>0</v>
      </c>
      <c r="G157" s="40">
        <v>42809</v>
      </c>
      <c r="H157" s="31" t="s">
        <v>1188</v>
      </c>
      <c r="I157" s="47">
        <v>1</v>
      </c>
      <c r="J157" s="1">
        <v>157</v>
      </c>
      <c r="K157" s="72" t="s">
        <v>2034</v>
      </c>
    </row>
    <row r="158" spans="2:11" x14ac:dyDescent="0.25">
      <c r="B158" s="31" t="s">
        <v>2096</v>
      </c>
      <c r="C158" s="40">
        <v>42986.459910300924</v>
      </c>
      <c r="D158" s="31" t="s">
        <v>2097</v>
      </c>
      <c r="E158" s="31">
        <v>20</v>
      </c>
      <c r="F158" s="41">
        <v>0</v>
      </c>
      <c r="G158" s="40">
        <v>42990</v>
      </c>
      <c r="H158" s="31" t="s">
        <v>1993</v>
      </c>
      <c r="I158" s="47">
        <v>1</v>
      </c>
      <c r="J158" s="1">
        <v>158</v>
      </c>
      <c r="K158" s="72" t="s">
        <v>1937</v>
      </c>
    </row>
    <row r="159" spans="2:11" x14ac:dyDescent="0.25">
      <c r="B159" s="31" t="s">
        <v>2098</v>
      </c>
      <c r="C159" s="40">
        <v>42986.491352662037</v>
      </c>
      <c r="D159" s="31" t="s">
        <v>2101</v>
      </c>
      <c r="E159" s="31">
        <v>20</v>
      </c>
      <c r="F159" s="41">
        <v>0</v>
      </c>
      <c r="G159" s="40">
        <v>42902</v>
      </c>
      <c r="H159" s="31" t="s">
        <v>1188</v>
      </c>
      <c r="I159" s="47">
        <v>1</v>
      </c>
      <c r="J159" s="1">
        <v>159</v>
      </c>
      <c r="K159" s="72" t="s">
        <v>2102</v>
      </c>
    </row>
    <row r="160" spans="2:11" x14ac:dyDescent="0.25">
      <c r="B160" s="31" t="s">
        <v>307</v>
      </c>
      <c r="C160" s="40" t="s">
        <v>307</v>
      </c>
      <c r="D160" s="31" t="s">
        <v>2231</v>
      </c>
      <c r="E160" s="31" t="s">
        <v>307</v>
      </c>
      <c r="F160" s="41" t="s">
        <v>307</v>
      </c>
      <c r="G160" s="40" t="s">
        <v>307</v>
      </c>
      <c r="H160" s="31" t="s">
        <v>307</v>
      </c>
      <c r="I160" s="47" t="s">
        <v>307</v>
      </c>
      <c r="J160" s="1">
        <v>160</v>
      </c>
      <c r="K160" s="72" t="s">
        <v>307</v>
      </c>
    </row>
    <row r="161" spans="2:11" x14ac:dyDescent="0.25">
      <c r="B161" s="31" t="s">
        <v>307</v>
      </c>
      <c r="C161" s="40" t="s">
        <v>307</v>
      </c>
      <c r="D161" s="31" t="s">
        <v>2231</v>
      </c>
      <c r="E161" s="31" t="s">
        <v>307</v>
      </c>
      <c r="F161" s="41" t="s">
        <v>307</v>
      </c>
      <c r="G161" s="40" t="s">
        <v>307</v>
      </c>
      <c r="H161" s="31" t="s">
        <v>307</v>
      </c>
      <c r="I161" s="47" t="s">
        <v>307</v>
      </c>
      <c r="J161" s="1">
        <v>161</v>
      </c>
      <c r="K161" s="72" t="s">
        <v>307</v>
      </c>
    </row>
    <row r="162" spans="2:11" x14ac:dyDescent="0.25">
      <c r="B162" s="31" t="s">
        <v>307</v>
      </c>
      <c r="C162" s="40" t="s">
        <v>307</v>
      </c>
      <c r="D162" s="31" t="s">
        <v>2231</v>
      </c>
      <c r="E162" s="31" t="s">
        <v>307</v>
      </c>
      <c r="F162" s="41" t="s">
        <v>307</v>
      </c>
      <c r="G162" s="40" t="s">
        <v>307</v>
      </c>
      <c r="H162" s="31" t="s">
        <v>307</v>
      </c>
      <c r="I162" s="47" t="s">
        <v>307</v>
      </c>
      <c r="J162" s="1">
        <v>162</v>
      </c>
      <c r="K162" s="72" t="s">
        <v>307</v>
      </c>
    </row>
    <row r="163" spans="2:11" x14ac:dyDescent="0.25">
      <c r="B163" s="31" t="s">
        <v>307</v>
      </c>
      <c r="C163" s="40" t="s">
        <v>307</v>
      </c>
      <c r="D163" s="31" t="s">
        <v>2231</v>
      </c>
      <c r="E163" s="31" t="s">
        <v>307</v>
      </c>
      <c r="F163" s="41" t="s">
        <v>307</v>
      </c>
      <c r="G163" s="40" t="s">
        <v>307</v>
      </c>
      <c r="H163" s="31" t="s">
        <v>307</v>
      </c>
      <c r="I163" s="47" t="s">
        <v>307</v>
      </c>
      <c r="J163" s="1">
        <v>163</v>
      </c>
      <c r="K163" s="72" t="s">
        <v>307</v>
      </c>
    </row>
    <row r="164" spans="2:11" x14ac:dyDescent="0.25">
      <c r="B164" s="31" t="s">
        <v>307</v>
      </c>
      <c r="C164" s="40" t="s">
        <v>307</v>
      </c>
      <c r="D164" s="31" t="s">
        <v>2231</v>
      </c>
      <c r="E164" s="31" t="s">
        <v>307</v>
      </c>
      <c r="F164" s="41" t="s">
        <v>307</v>
      </c>
      <c r="G164" s="40" t="s">
        <v>307</v>
      </c>
      <c r="H164" s="31" t="s">
        <v>307</v>
      </c>
      <c r="I164" s="47" t="s">
        <v>307</v>
      </c>
      <c r="J164" s="1">
        <v>164</v>
      </c>
      <c r="K164" s="72" t="s">
        <v>307</v>
      </c>
    </row>
    <row r="165" spans="2:11" x14ac:dyDescent="0.25">
      <c r="B165" s="31" t="s">
        <v>307</v>
      </c>
      <c r="C165" s="40" t="s">
        <v>307</v>
      </c>
      <c r="D165" s="31" t="s">
        <v>2231</v>
      </c>
      <c r="E165" s="31" t="s">
        <v>307</v>
      </c>
      <c r="F165" s="41" t="s">
        <v>307</v>
      </c>
      <c r="G165" s="40" t="s">
        <v>307</v>
      </c>
      <c r="H165" s="31" t="s">
        <v>307</v>
      </c>
      <c r="I165" s="47" t="s">
        <v>307</v>
      </c>
      <c r="J165" s="1">
        <v>165</v>
      </c>
      <c r="K165" s="72" t="s">
        <v>307</v>
      </c>
    </row>
    <row r="166" spans="2:11" x14ac:dyDescent="0.25">
      <c r="B166" s="31" t="s">
        <v>307</v>
      </c>
      <c r="C166" s="40" t="s">
        <v>307</v>
      </c>
      <c r="D166" s="31" t="s">
        <v>2231</v>
      </c>
      <c r="E166" s="31" t="s">
        <v>307</v>
      </c>
      <c r="F166" s="41" t="s">
        <v>307</v>
      </c>
      <c r="G166" s="40" t="s">
        <v>307</v>
      </c>
      <c r="H166" s="31" t="s">
        <v>307</v>
      </c>
      <c r="I166" s="47" t="s">
        <v>307</v>
      </c>
      <c r="J166" s="1">
        <v>166</v>
      </c>
      <c r="K166" s="72" t="s">
        <v>307</v>
      </c>
    </row>
    <row r="167" spans="2:11" x14ac:dyDescent="0.25">
      <c r="B167" s="31" t="s">
        <v>307</v>
      </c>
      <c r="C167" s="40" t="s">
        <v>307</v>
      </c>
      <c r="D167" s="31" t="s">
        <v>2231</v>
      </c>
      <c r="E167" s="31" t="s">
        <v>307</v>
      </c>
      <c r="F167" s="41" t="s">
        <v>307</v>
      </c>
      <c r="G167" s="40" t="s">
        <v>307</v>
      </c>
      <c r="H167" s="31" t="s">
        <v>307</v>
      </c>
      <c r="I167" s="47" t="s">
        <v>307</v>
      </c>
      <c r="J167" s="1">
        <v>167</v>
      </c>
      <c r="K167" s="72" t="s">
        <v>307</v>
      </c>
    </row>
    <row r="168" spans="2:11" x14ac:dyDescent="0.25">
      <c r="B168" s="31" t="s">
        <v>307</v>
      </c>
      <c r="C168" s="40" t="s">
        <v>307</v>
      </c>
      <c r="D168" s="31" t="s">
        <v>2231</v>
      </c>
      <c r="E168" s="31" t="s">
        <v>307</v>
      </c>
      <c r="F168" s="41" t="s">
        <v>307</v>
      </c>
      <c r="G168" s="40" t="s">
        <v>307</v>
      </c>
      <c r="H168" s="31" t="s">
        <v>307</v>
      </c>
      <c r="I168" s="47" t="s">
        <v>307</v>
      </c>
      <c r="J168" s="1">
        <v>168</v>
      </c>
      <c r="K168" s="72" t="s">
        <v>307</v>
      </c>
    </row>
    <row r="169" spans="2:11" x14ac:dyDescent="0.25">
      <c r="B169" s="31" t="s">
        <v>307</v>
      </c>
      <c r="C169" s="40" t="s">
        <v>307</v>
      </c>
      <c r="D169" s="31" t="s">
        <v>2231</v>
      </c>
      <c r="E169" s="31" t="s">
        <v>307</v>
      </c>
      <c r="F169" s="41" t="s">
        <v>307</v>
      </c>
      <c r="G169" s="40" t="s">
        <v>307</v>
      </c>
      <c r="H169" s="31" t="s">
        <v>307</v>
      </c>
      <c r="I169" s="47" t="s">
        <v>307</v>
      </c>
      <c r="J169" s="1">
        <v>169</v>
      </c>
      <c r="K169" s="72" t="s">
        <v>307</v>
      </c>
    </row>
    <row r="170" spans="2:11" x14ac:dyDescent="0.25">
      <c r="B170" s="31" t="s">
        <v>307</v>
      </c>
      <c r="C170" s="40" t="s">
        <v>307</v>
      </c>
      <c r="D170" s="31" t="s">
        <v>2231</v>
      </c>
      <c r="E170" s="31" t="s">
        <v>307</v>
      </c>
      <c r="F170" s="41" t="s">
        <v>307</v>
      </c>
      <c r="G170" s="40" t="s">
        <v>307</v>
      </c>
      <c r="H170" s="31" t="s">
        <v>307</v>
      </c>
      <c r="I170" s="47" t="s">
        <v>307</v>
      </c>
      <c r="J170" s="1">
        <v>170</v>
      </c>
      <c r="K170" s="72" t="s">
        <v>307</v>
      </c>
    </row>
    <row r="171" spans="2:11" x14ac:dyDescent="0.25">
      <c r="B171" s="31" t="s">
        <v>307</v>
      </c>
      <c r="C171" s="40" t="s">
        <v>307</v>
      </c>
      <c r="D171" s="31" t="s">
        <v>2231</v>
      </c>
      <c r="E171" s="31" t="s">
        <v>307</v>
      </c>
      <c r="F171" s="41" t="s">
        <v>307</v>
      </c>
      <c r="G171" s="40" t="s">
        <v>307</v>
      </c>
      <c r="H171" s="31" t="s">
        <v>307</v>
      </c>
      <c r="I171" s="47" t="s">
        <v>307</v>
      </c>
      <c r="J171" s="1">
        <v>171</v>
      </c>
      <c r="K171" s="72" t="s">
        <v>307</v>
      </c>
    </row>
    <row r="172" spans="2:11" x14ac:dyDescent="0.25">
      <c r="B172" s="31" t="s">
        <v>2113</v>
      </c>
      <c r="C172" s="40">
        <v>42986.570131944442</v>
      </c>
      <c r="D172" s="31" t="s">
        <v>2114</v>
      </c>
      <c r="E172" s="31">
        <v>1</v>
      </c>
      <c r="F172" s="41">
        <v>1622.4</v>
      </c>
      <c r="G172" s="40">
        <v>42986</v>
      </c>
      <c r="H172" s="31" t="s">
        <v>1189</v>
      </c>
      <c r="I172" s="47">
        <v>2</v>
      </c>
      <c r="J172" s="1">
        <v>172</v>
      </c>
      <c r="K172" s="72" t="s">
        <v>2115</v>
      </c>
    </row>
    <row r="173" spans="2:11" x14ac:dyDescent="0.25">
      <c r="B173" s="31" t="s">
        <v>2116</v>
      </c>
      <c r="C173" s="40">
        <v>42986.60975729167</v>
      </c>
      <c r="D173" s="31" t="s">
        <v>2117</v>
      </c>
      <c r="E173" s="31">
        <v>20</v>
      </c>
      <c r="F173" s="41">
        <v>0</v>
      </c>
      <c r="I173" s="47">
        <v>3</v>
      </c>
      <c r="J173" s="1">
        <v>173</v>
      </c>
    </row>
    <row r="174" spans="2:11" x14ac:dyDescent="0.25">
      <c r="B174" s="31" t="s">
        <v>2120</v>
      </c>
      <c r="C174" s="40">
        <v>42986.609780671293</v>
      </c>
      <c r="D174" s="31" t="s">
        <v>2118</v>
      </c>
      <c r="E174" s="31">
        <v>20</v>
      </c>
      <c r="F174" s="41">
        <v>0</v>
      </c>
      <c r="I174" s="47">
        <v>3</v>
      </c>
      <c r="J174" s="1">
        <v>174</v>
      </c>
    </row>
    <row r="175" spans="2:11" x14ac:dyDescent="0.25">
      <c r="B175" s="31" t="s">
        <v>2121</v>
      </c>
      <c r="C175" s="40">
        <v>42986.609780787039</v>
      </c>
      <c r="D175" s="31" t="s">
        <v>2119</v>
      </c>
      <c r="E175" s="31">
        <v>20</v>
      </c>
      <c r="F175" s="41">
        <v>0</v>
      </c>
      <c r="I175" s="47">
        <v>3</v>
      </c>
      <c r="J175" s="1">
        <v>175</v>
      </c>
    </row>
    <row r="176" spans="2:11" x14ac:dyDescent="0.25">
      <c r="B176" s="31" t="s">
        <v>2122</v>
      </c>
      <c r="C176" s="40">
        <v>42986.660160879626</v>
      </c>
      <c r="D176" s="31" t="s">
        <v>1912</v>
      </c>
      <c r="E176" s="31">
        <v>2</v>
      </c>
      <c r="G176" s="40">
        <v>42986</v>
      </c>
      <c r="H176" s="31" t="s">
        <v>1188</v>
      </c>
      <c r="I176" s="47">
        <v>1</v>
      </c>
      <c r="J176" s="1">
        <v>176</v>
      </c>
      <c r="K176" s="72" t="s">
        <v>1937</v>
      </c>
    </row>
    <row r="177" spans="2:11" x14ac:dyDescent="0.25">
      <c r="B177" s="31" t="s">
        <v>2124</v>
      </c>
      <c r="C177" s="40">
        <v>42987.386815509257</v>
      </c>
      <c r="D177" s="31" t="s">
        <v>2125</v>
      </c>
      <c r="E177" s="31">
        <v>20</v>
      </c>
      <c r="F177" s="41">
        <v>0</v>
      </c>
      <c r="I177" s="47">
        <v>12</v>
      </c>
      <c r="J177" s="1">
        <v>177</v>
      </c>
    </row>
    <row r="178" spans="2:11" x14ac:dyDescent="0.25">
      <c r="B178" s="31" t="s">
        <v>2127</v>
      </c>
      <c r="C178" s="40">
        <v>42987.387011689818</v>
      </c>
      <c r="D178" s="31" t="s">
        <v>2103</v>
      </c>
      <c r="E178" s="31">
        <v>20</v>
      </c>
      <c r="F178" s="41">
        <v>0</v>
      </c>
      <c r="I178" s="47">
        <v>12</v>
      </c>
      <c r="J178" s="1">
        <v>178</v>
      </c>
    </row>
    <row r="179" spans="2:11" x14ac:dyDescent="0.25">
      <c r="B179" s="31" t="s">
        <v>2128</v>
      </c>
      <c r="C179" s="40">
        <v>42987.387011689818</v>
      </c>
      <c r="D179" s="31" t="s">
        <v>2063</v>
      </c>
      <c r="E179" s="31">
        <v>20</v>
      </c>
      <c r="F179" s="41">
        <v>0</v>
      </c>
      <c r="I179" s="47">
        <v>12</v>
      </c>
      <c r="J179" s="1">
        <v>179</v>
      </c>
    </row>
    <row r="180" spans="2:11" x14ac:dyDescent="0.25">
      <c r="B180" s="31" t="s">
        <v>2129</v>
      </c>
      <c r="C180" s="40">
        <v>42987.387011805557</v>
      </c>
      <c r="D180" s="31" t="s">
        <v>1171</v>
      </c>
      <c r="E180" s="31">
        <v>20</v>
      </c>
      <c r="F180" s="41">
        <v>0</v>
      </c>
      <c r="I180" s="47">
        <v>12</v>
      </c>
      <c r="J180" s="1">
        <v>180</v>
      </c>
    </row>
    <row r="181" spans="2:11" x14ac:dyDescent="0.25">
      <c r="B181" s="31" t="s">
        <v>2130</v>
      </c>
      <c r="C181" s="40">
        <v>42987.387011805557</v>
      </c>
      <c r="D181" s="31" t="s">
        <v>1170</v>
      </c>
      <c r="E181" s="31">
        <v>20</v>
      </c>
      <c r="F181" s="41">
        <v>0</v>
      </c>
      <c r="I181" s="47">
        <v>12</v>
      </c>
      <c r="J181" s="1">
        <v>181</v>
      </c>
    </row>
    <row r="182" spans="2:11" x14ac:dyDescent="0.25">
      <c r="B182" s="31" t="s">
        <v>2131</v>
      </c>
      <c r="C182" s="40">
        <v>42987.387011805557</v>
      </c>
      <c r="D182" s="31" t="s">
        <v>2104</v>
      </c>
      <c r="E182" s="31">
        <v>20</v>
      </c>
      <c r="F182" s="41">
        <v>0</v>
      </c>
      <c r="I182" s="47">
        <v>12</v>
      </c>
      <c r="J182" s="1">
        <v>182</v>
      </c>
    </row>
    <row r="183" spans="2:11" x14ac:dyDescent="0.25">
      <c r="B183" s="31" t="s">
        <v>2132</v>
      </c>
      <c r="C183" s="40">
        <v>42987.387012037034</v>
      </c>
      <c r="D183" s="31" t="s">
        <v>2108</v>
      </c>
      <c r="E183" s="31">
        <v>20</v>
      </c>
      <c r="F183" s="41">
        <v>0</v>
      </c>
      <c r="I183" s="47">
        <v>12</v>
      </c>
      <c r="J183" s="1">
        <v>183</v>
      </c>
    </row>
    <row r="184" spans="2:11" x14ac:dyDescent="0.25">
      <c r="B184" s="31" t="s">
        <v>2133</v>
      </c>
      <c r="C184" s="40">
        <v>42987.387012037034</v>
      </c>
      <c r="D184" s="31" t="s">
        <v>2105</v>
      </c>
      <c r="E184" s="31">
        <v>20</v>
      </c>
      <c r="F184" s="41">
        <v>0</v>
      </c>
      <c r="I184" s="47">
        <v>12</v>
      </c>
      <c r="J184" s="1">
        <v>184</v>
      </c>
    </row>
    <row r="185" spans="2:11" x14ac:dyDescent="0.25">
      <c r="B185" s="31" t="s">
        <v>2134</v>
      </c>
      <c r="C185" s="40">
        <v>42987.387012037034</v>
      </c>
      <c r="D185" s="31" t="s">
        <v>2106</v>
      </c>
      <c r="E185" s="31">
        <v>20</v>
      </c>
      <c r="F185" s="41">
        <v>0</v>
      </c>
      <c r="I185" s="47">
        <v>12</v>
      </c>
      <c r="J185" s="1">
        <v>185</v>
      </c>
    </row>
    <row r="186" spans="2:11" x14ac:dyDescent="0.25">
      <c r="B186" s="31" t="s">
        <v>2135</v>
      </c>
      <c r="C186" s="40">
        <v>42987.38701215278</v>
      </c>
      <c r="D186" s="31" t="s">
        <v>2107</v>
      </c>
      <c r="E186" s="31">
        <v>20</v>
      </c>
      <c r="F186" s="41">
        <v>0</v>
      </c>
      <c r="I186" s="47">
        <v>12</v>
      </c>
      <c r="J186" s="1">
        <v>186</v>
      </c>
    </row>
    <row r="187" spans="2:11" x14ac:dyDescent="0.25">
      <c r="B187" s="31" t="s">
        <v>2136</v>
      </c>
      <c r="C187" s="40">
        <v>42987.38701215278</v>
      </c>
      <c r="D187" s="31" t="s">
        <v>2126</v>
      </c>
      <c r="E187" s="31">
        <v>20</v>
      </c>
      <c r="F187" s="41">
        <v>0</v>
      </c>
      <c r="I187" s="47">
        <v>12</v>
      </c>
      <c r="J187" s="1">
        <v>187</v>
      </c>
    </row>
    <row r="188" spans="2:11" x14ac:dyDescent="0.25">
      <c r="B188" s="31" t="s">
        <v>2137</v>
      </c>
      <c r="C188" s="40">
        <v>42987.387012384257</v>
      </c>
      <c r="D188" s="31" t="s">
        <v>2110</v>
      </c>
      <c r="E188" s="31">
        <v>20</v>
      </c>
      <c r="F188" s="41">
        <v>0</v>
      </c>
      <c r="I188" s="47">
        <v>12</v>
      </c>
      <c r="J188" s="1">
        <v>188</v>
      </c>
    </row>
    <row r="189" spans="2:11" x14ac:dyDescent="0.25">
      <c r="B189" s="31" t="s">
        <v>2123</v>
      </c>
      <c r="C189" s="40">
        <v>42987.396235879627</v>
      </c>
      <c r="D189" s="31" t="s">
        <v>2125</v>
      </c>
      <c r="E189" s="31">
        <v>20</v>
      </c>
      <c r="F189" s="41">
        <v>0</v>
      </c>
      <c r="G189" s="40">
        <v>42943</v>
      </c>
      <c r="H189" s="31" t="s">
        <v>1189</v>
      </c>
      <c r="I189" s="47">
        <v>12</v>
      </c>
      <c r="J189" s="1">
        <v>189</v>
      </c>
      <c r="K189" s="72" t="s">
        <v>2111</v>
      </c>
    </row>
    <row r="190" spans="2:11" x14ac:dyDescent="0.25">
      <c r="B190" s="31" t="s">
        <v>2139</v>
      </c>
      <c r="C190" s="40">
        <v>42987.396358680555</v>
      </c>
      <c r="D190" s="31" t="s">
        <v>2103</v>
      </c>
      <c r="E190" s="31">
        <v>20</v>
      </c>
      <c r="F190" s="41">
        <v>0</v>
      </c>
      <c r="G190" s="40">
        <v>42943</v>
      </c>
      <c r="H190" s="31" t="s">
        <v>1189</v>
      </c>
      <c r="I190" s="47">
        <v>12</v>
      </c>
      <c r="J190" s="1">
        <v>190</v>
      </c>
      <c r="K190" s="72" t="s">
        <v>2111</v>
      </c>
    </row>
    <row r="191" spans="2:11" x14ac:dyDescent="0.25">
      <c r="B191" s="31" t="s">
        <v>2140</v>
      </c>
      <c r="C191" s="40">
        <v>42987.396358680555</v>
      </c>
      <c r="D191" s="31" t="s">
        <v>2063</v>
      </c>
      <c r="E191" s="31">
        <v>20</v>
      </c>
      <c r="F191" s="41">
        <v>0</v>
      </c>
      <c r="G191" s="40">
        <v>42943</v>
      </c>
      <c r="H191" s="31" t="s">
        <v>1189</v>
      </c>
      <c r="I191" s="47">
        <v>12</v>
      </c>
      <c r="J191" s="1">
        <v>191</v>
      </c>
      <c r="K191" s="72" t="s">
        <v>2111</v>
      </c>
    </row>
    <row r="192" spans="2:11" x14ac:dyDescent="0.25">
      <c r="B192" s="31" t="s">
        <v>2141</v>
      </c>
      <c r="C192" s="40">
        <v>42987.396358912039</v>
      </c>
      <c r="D192" s="31" t="s">
        <v>1171</v>
      </c>
      <c r="E192" s="31">
        <v>20</v>
      </c>
      <c r="F192" s="41">
        <v>0</v>
      </c>
      <c r="G192" s="40">
        <v>42943</v>
      </c>
      <c r="H192" s="31" t="s">
        <v>1189</v>
      </c>
      <c r="I192" s="47">
        <v>12</v>
      </c>
      <c r="J192" s="1">
        <v>192</v>
      </c>
      <c r="K192" s="72" t="s">
        <v>2111</v>
      </c>
    </row>
    <row r="193" spans="2:11" x14ac:dyDescent="0.25">
      <c r="B193" s="31" t="s">
        <v>2142</v>
      </c>
      <c r="C193" s="40">
        <v>42987.396358912039</v>
      </c>
      <c r="D193" s="31" t="s">
        <v>1170</v>
      </c>
      <c r="E193" s="31">
        <v>20</v>
      </c>
      <c r="F193" s="41">
        <v>0</v>
      </c>
      <c r="G193" s="40">
        <v>42943</v>
      </c>
      <c r="H193" s="31" t="s">
        <v>1189</v>
      </c>
      <c r="I193" s="47">
        <v>12</v>
      </c>
      <c r="J193" s="1">
        <v>193</v>
      </c>
      <c r="K193" s="72" t="s">
        <v>2111</v>
      </c>
    </row>
    <row r="194" spans="2:11" x14ac:dyDescent="0.25">
      <c r="B194" s="31" t="s">
        <v>2143</v>
      </c>
      <c r="C194" s="40">
        <v>42987.396358912039</v>
      </c>
      <c r="D194" s="31" t="s">
        <v>2104</v>
      </c>
      <c r="E194" s="31">
        <v>20</v>
      </c>
      <c r="F194" s="41">
        <v>0</v>
      </c>
      <c r="G194" s="40">
        <v>42986</v>
      </c>
      <c r="H194" s="31" t="s">
        <v>1993</v>
      </c>
      <c r="I194" s="47">
        <v>12</v>
      </c>
      <c r="J194" s="1">
        <v>194</v>
      </c>
      <c r="K194" s="72" t="s">
        <v>2138</v>
      </c>
    </row>
    <row r="195" spans="2:11" x14ac:dyDescent="0.25">
      <c r="B195" s="31" t="s">
        <v>2144</v>
      </c>
      <c r="C195" s="40">
        <v>42987.396359027778</v>
      </c>
      <c r="D195" s="31" t="s">
        <v>2108</v>
      </c>
      <c r="E195" s="31">
        <v>20</v>
      </c>
      <c r="F195" s="41">
        <v>0</v>
      </c>
      <c r="G195" s="40">
        <v>42986</v>
      </c>
      <c r="H195" s="31" t="s">
        <v>1993</v>
      </c>
      <c r="I195" s="47">
        <v>12</v>
      </c>
      <c r="J195" s="1">
        <v>195</v>
      </c>
      <c r="K195" s="72" t="s">
        <v>2138</v>
      </c>
    </row>
    <row r="196" spans="2:11" x14ac:dyDescent="0.25">
      <c r="B196" s="31" t="s">
        <v>2145</v>
      </c>
      <c r="C196" s="40">
        <v>42987.396359027778</v>
      </c>
      <c r="D196" s="31" t="s">
        <v>2105</v>
      </c>
      <c r="E196" s="31">
        <v>20</v>
      </c>
      <c r="F196" s="41">
        <v>0</v>
      </c>
      <c r="G196" s="40">
        <v>42986</v>
      </c>
      <c r="H196" s="31" t="s">
        <v>1993</v>
      </c>
      <c r="I196" s="47">
        <v>12</v>
      </c>
      <c r="J196" s="1">
        <v>196</v>
      </c>
      <c r="K196" s="72" t="s">
        <v>2138</v>
      </c>
    </row>
    <row r="197" spans="2:11" x14ac:dyDescent="0.25">
      <c r="B197" s="31" t="s">
        <v>2146</v>
      </c>
      <c r="C197" s="40">
        <v>42987.396359027778</v>
      </c>
      <c r="D197" s="31" t="s">
        <v>2106</v>
      </c>
      <c r="E197" s="31">
        <v>20</v>
      </c>
      <c r="F197" s="41">
        <v>0</v>
      </c>
      <c r="G197" s="40">
        <v>42986</v>
      </c>
      <c r="H197" s="31" t="s">
        <v>1993</v>
      </c>
      <c r="I197" s="47">
        <v>12</v>
      </c>
      <c r="J197" s="1">
        <v>197</v>
      </c>
      <c r="K197" s="72" t="s">
        <v>2138</v>
      </c>
    </row>
    <row r="198" spans="2:11" x14ac:dyDescent="0.25">
      <c r="B198" s="31" t="s">
        <v>2147</v>
      </c>
      <c r="C198" s="40">
        <v>42987.396359259263</v>
      </c>
      <c r="D198" s="31" t="s">
        <v>2107</v>
      </c>
      <c r="E198" s="31">
        <v>20</v>
      </c>
      <c r="F198" s="41">
        <v>0</v>
      </c>
      <c r="G198" s="40">
        <v>42986</v>
      </c>
      <c r="H198" s="31" t="s">
        <v>1993</v>
      </c>
      <c r="I198" s="47">
        <v>12</v>
      </c>
      <c r="J198" s="1">
        <v>198</v>
      </c>
      <c r="K198" s="72" t="s">
        <v>2138</v>
      </c>
    </row>
    <row r="199" spans="2:11" x14ac:dyDescent="0.25">
      <c r="B199" s="31" t="s">
        <v>2148</v>
      </c>
      <c r="C199" s="40">
        <v>42987.396359259263</v>
      </c>
      <c r="D199" s="31" t="s">
        <v>2109</v>
      </c>
      <c r="E199" s="31">
        <v>20</v>
      </c>
      <c r="F199" s="41">
        <v>0</v>
      </c>
      <c r="G199" s="40">
        <v>43005</v>
      </c>
      <c r="H199" s="31" t="s">
        <v>1189</v>
      </c>
      <c r="I199" s="47">
        <v>12</v>
      </c>
      <c r="J199" s="1">
        <v>199</v>
      </c>
      <c r="K199" s="72" t="s">
        <v>2112</v>
      </c>
    </row>
    <row r="200" spans="2:11" x14ac:dyDescent="0.25">
      <c r="B200" s="31" t="s">
        <v>2149</v>
      </c>
      <c r="C200" s="40">
        <v>42987.39635949074</v>
      </c>
      <c r="D200" s="31" t="s">
        <v>2110</v>
      </c>
      <c r="E200" s="31">
        <v>20</v>
      </c>
      <c r="F200" s="41">
        <v>0</v>
      </c>
      <c r="G200" s="40">
        <v>43005</v>
      </c>
      <c r="H200" s="31" t="s">
        <v>1189</v>
      </c>
      <c r="I200" s="47">
        <v>12</v>
      </c>
      <c r="J200" s="1">
        <v>200</v>
      </c>
      <c r="K200" s="72" t="s">
        <v>2112</v>
      </c>
    </row>
    <row r="201" spans="2:11" x14ac:dyDescent="0.25">
      <c r="B201" s="31" t="s">
        <v>2150</v>
      </c>
      <c r="C201" s="40">
        <v>42987.550548726853</v>
      </c>
      <c r="D201" s="31" t="s">
        <v>2151</v>
      </c>
      <c r="E201" s="31">
        <v>5</v>
      </c>
      <c r="F201" s="41">
        <v>1200</v>
      </c>
      <c r="G201" s="40">
        <v>42987</v>
      </c>
      <c r="H201" s="31" t="s">
        <v>1189</v>
      </c>
      <c r="I201" s="47">
        <v>9</v>
      </c>
      <c r="J201" s="1">
        <v>201</v>
      </c>
      <c r="K201" s="72" t="s">
        <v>2154</v>
      </c>
    </row>
    <row r="202" spans="2:11" x14ac:dyDescent="0.25">
      <c r="B202" s="31" t="s">
        <v>2155</v>
      </c>
      <c r="C202" s="40">
        <v>42987.550853125002</v>
      </c>
      <c r="D202" s="31" t="s">
        <v>2152</v>
      </c>
      <c r="E202" s="31">
        <v>2</v>
      </c>
      <c r="F202" s="41">
        <v>1500</v>
      </c>
      <c r="G202" s="40">
        <v>42987</v>
      </c>
      <c r="H202" s="31" t="s">
        <v>1188</v>
      </c>
      <c r="I202" s="47">
        <v>9</v>
      </c>
      <c r="J202" s="1">
        <v>202</v>
      </c>
      <c r="K202" s="72" t="s">
        <v>2154</v>
      </c>
    </row>
    <row r="203" spans="2:11" x14ac:dyDescent="0.25">
      <c r="B203" s="31" t="s">
        <v>2156</v>
      </c>
      <c r="C203" s="40">
        <v>42987.550853125002</v>
      </c>
      <c r="D203" s="31" t="s">
        <v>2153</v>
      </c>
      <c r="E203" s="31">
        <v>2</v>
      </c>
      <c r="F203" s="41">
        <v>1800</v>
      </c>
      <c r="G203" s="40">
        <v>42987</v>
      </c>
      <c r="H203" s="31" t="s">
        <v>1188</v>
      </c>
      <c r="I203" s="47">
        <v>9</v>
      </c>
      <c r="J203" s="1">
        <v>203</v>
      </c>
      <c r="K203" s="72" t="s">
        <v>2154</v>
      </c>
    </row>
    <row r="204" spans="2:11" x14ac:dyDescent="0.25">
      <c r="B204" s="31" t="s">
        <v>307</v>
      </c>
      <c r="C204" s="31" t="s">
        <v>307</v>
      </c>
      <c r="D204" s="31" t="s">
        <v>307</v>
      </c>
      <c r="E204" s="31" t="s">
        <v>307</v>
      </c>
      <c r="F204" s="31" t="s">
        <v>307</v>
      </c>
      <c r="G204" s="31" t="s">
        <v>307</v>
      </c>
      <c r="H204" s="31" t="s">
        <v>307</v>
      </c>
      <c r="I204" s="31" t="s">
        <v>307</v>
      </c>
      <c r="J204" s="31" t="s">
        <v>307</v>
      </c>
      <c r="K204" s="72" t="s">
        <v>307</v>
      </c>
    </row>
    <row r="205" spans="2:11" x14ac:dyDescent="0.25">
      <c r="B205" s="31" t="s">
        <v>307</v>
      </c>
      <c r="C205" s="31" t="s">
        <v>307</v>
      </c>
      <c r="D205" s="31" t="s">
        <v>307</v>
      </c>
      <c r="E205" s="31" t="s">
        <v>307</v>
      </c>
      <c r="F205" s="31" t="s">
        <v>307</v>
      </c>
      <c r="G205" s="31" t="s">
        <v>307</v>
      </c>
      <c r="H205" s="31" t="s">
        <v>307</v>
      </c>
      <c r="I205" s="31" t="s">
        <v>307</v>
      </c>
      <c r="J205" s="31" t="s">
        <v>307</v>
      </c>
      <c r="K205" s="72" t="s">
        <v>307</v>
      </c>
    </row>
    <row r="206" spans="2:11" x14ac:dyDescent="0.25">
      <c r="B206" s="31" t="s">
        <v>307</v>
      </c>
      <c r="C206" s="31" t="s">
        <v>307</v>
      </c>
      <c r="D206" s="31" t="s">
        <v>307</v>
      </c>
      <c r="E206" s="31" t="s">
        <v>307</v>
      </c>
      <c r="F206" s="31" t="s">
        <v>307</v>
      </c>
      <c r="G206" s="31" t="s">
        <v>307</v>
      </c>
      <c r="H206" s="31" t="s">
        <v>307</v>
      </c>
      <c r="I206" s="31" t="s">
        <v>307</v>
      </c>
      <c r="J206" s="31" t="s">
        <v>307</v>
      </c>
      <c r="K206" s="72" t="s">
        <v>307</v>
      </c>
    </row>
    <row r="207" spans="2:11" x14ac:dyDescent="0.25">
      <c r="B207" s="31" t="s">
        <v>307</v>
      </c>
      <c r="C207" s="31" t="s">
        <v>307</v>
      </c>
      <c r="D207" s="31" t="s">
        <v>307</v>
      </c>
      <c r="E207" s="31" t="s">
        <v>307</v>
      </c>
      <c r="F207" s="31" t="s">
        <v>307</v>
      </c>
      <c r="G207" s="31" t="s">
        <v>307</v>
      </c>
      <c r="H207" s="31" t="s">
        <v>307</v>
      </c>
      <c r="I207" s="31" t="s">
        <v>307</v>
      </c>
      <c r="J207" s="31" t="s">
        <v>307</v>
      </c>
      <c r="K207" s="72" t="s">
        <v>307</v>
      </c>
    </row>
    <row r="208" spans="2:11" x14ac:dyDescent="0.25">
      <c r="B208" s="31" t="s">
        <v>307</v>
      </c>
      <c r="C208" s="31" t="s">
        <v>307</v>
      </c>
      <c r="D208" s="31" t="s">
        <v>307</v>
      </c>
      <c r="E208" s="31" t="s">
        <v>307</v>
      </c>
      <c r="F208" s="31" t="s">
        <v>307</v>
      </c>
      <c r="G208" s="31" t="s">
        <v>307</v>
      </c>
      <c r="H208" s="31" t="s">
        <v>307</v>
      </c>
      <c r="I208" s="31" t="s">
        <v>307</v>
      </c>
      <c r="J208" s="31" t="s">
        <v>307</v>
      </c>
      <c r="K208" s="72" t="s">
        <v>307</v>
      </c>
    </row>
    <row r="209" spans="2:11" x14ac:dyDescent="0.25">
      <c r="B209" s="31" t="s">
        <v>2178</v>
      </c>
      <c r="C209" s="40">
        <v>42987.637524421298</v>
      </c>
      <c r="D209" s="31" t="s">
        <v>1171</v>
      </c>
      <c r="E209" s="31">
        <v>1</v>
      </c>
      <c r="F209" s="41">
        <v>3273.6</v>
      </c>
      <c r="G209" s="40">
        <v>42987</v>
      </c>
      <c r="H209" s="31" t="s">
        <v>1188</v>
      </c>
      <c r="I209" s="47">
        <v>19</v>
      </c>
      <c r="J209" s="1">
        <v>209</v>
      </c>
      <c r="K209" s="72" t="s">
        <v>2111</v>
      </c>
    </row>
    <row r="210" spans="2:11" x14ac:dyDescent="0.25">
      <c r="B210" s="31" t="s">
        <v>2188</v>
      </c>
      <c r="C210" s="40">
        <v>42987.637608449077</v>
      </c>
      <c r="D210" s="31" t="s">
        <v>2179</v>
      </c>
      <c r="E210" s="31">
        <v>1</v>
      </c>
      <c r="F210" s="41">
        <v>200.64</v>
      </c>
      <c r="G210" s="40">
        <v>42987</v>
      </c>
      <c r="H210" s="31" t="s">
        <v>1188</v>
      </c>
      <c r="I210" s="47">
        <v>19</v>
      </c>
      <c r="J210" s="1">
        <v>210</v>
      </c>
      <c r="K210" s="72" t="s">
        <v>2111</v>
      </c>
    </row>
    <row r="211" spans="2:11" x14ac:dyDescent="0.25">
      <c r="B211" s="31" t="s">
        <v>2189</v>
      </c>
      <c r="C211" s="40">
        <v>42987.637608564815</v>
      </c>
      <c r="D211" s="31" t="s">
        <v>1155</v>
      </c>
      <c r="E211" s="31">
        <v>1</v>
      </c>
      <c r="F211" s="41">
        <v>2112</v>
      </c>
      <c r="G211" s="40">
        <v>42987</v>
      </c>
      <c r="H211" s="31" t="s">
        <v>1188</v>
      </c>
      <c r="I211" s="47">
        <v>19</v>
      </c>
      <c r="J211" s="1">
        <v>211</v>
      </c>
      <c r="K211" s="72" t="s">
        <v>2111</v>
      </c>
    </row>
    <row r="212" spans="2:11" x14ac:dyDescent="0.25">
      <c r="B212" s="31" t="s">
        <v>2190</v>
      </c>
      <c r="C212" s="40">
        <v>42987.637608564815</v>
      </c>
      <c r="D212" s="31" t="s">
        <v>1169</v>
      </c>
      <c r="E212" s="31">
        <v>1</v>
      </c>
      <c r="F212" s="41">
        <v>2112</v>
      </c>
      <c r="G212" s="40">
        <v>42987</v>
      </c>
      <c r="H212" s="31" t="s">
        <v>1188</v>
      </c>
      <c r="I212" s="47">
        <v>19</v>
      </c>
      <c r="J212" s="1">
        <v>212</v>
      </c>
      <c r="K212" s="72" t="s">
        <v>2111</v>
      </c>
    </row>
    <row r="213" spans="2:11" x14ac:dyDescent="0.25">
      <c r="B213" s="31" t="s">
        <v>2191</v>
      </c>
      <c r="C213" s="40">
        <v>42987.637608680554</v>
      </c>
      <c r="D213" s="31" t="s">
        <v>1170</v>
      </c>
      <c r="E213" s="31">
        <v>1</v>
      </c>
      <c r="F213" s="41">
        <v>704</v>
      </c>
      <c r="G213" s="40">
        <v>42987</v>
      </c>
      <c r="H213" s="31" t="s">
        <v>1188</v>
      </c>
      <c r="I213" s="47">
        <v>19</v>
      </c>
      <c r="J213" s="1">
        <v>213</v>
      </c>
      <c r="K213" s="72" t="s">
        <v>2111</v>
      </c>
    </row>
    <row r="214" spans="2:11" x14ac:dyDescent="0.25">
      <c r="B214" s="31" t="s">
        <v>2192</v>
      </c>
      <c r="C214" s="40">
        <v>42987.637608680554</v>
      </c>
      <c r="D214" s="31" t="s">
        <v>1168</v>
      </c>
      <c r="E214" s="31">
        <v>1</v>
      </c>
      <c r="F214" s="41">
        <v>809.6</v>
      </c>
      <c r="G214" s="40">
        <v>42987</v>
      </c>
      <c r="H214" s="31" t="s">
        <v>1188</v>
      </c>
      <c r="I214" s="47">
        <v>19</v>
      </c>
      <c r="J214" s="1">
        <v>214</v>
      </c>
      <c r="K214" s="72" t="s">
        <v>2111</v>
      </c>
    </row>
    <row r="215" spans="2:11" x14ac:dyDescent="0.25">
      <c r="B215" s="31" t="s">
        <v>2193</v>
      </c>
      <c r="C215" s="40">
        <v>42987.637608680554</v>
      </c>
      <c r="D215" s="31" t="s">
        <v>1250</v>
      </c>
      <c r="E215" s="31">
        <v>1</v>
      </c>
      <c r="F215" s="41">
        <v>523.6</v>
      </c>
      <c r="G215" s="40">
        <v>42987</v>
      </c>
      <c r="H215" s="31" t="s">
        <v>1188</v>
      </c>
      <c r="I215" s="47">
        <v>19</v>
      </c>
      <c r="J215" s="1">
        <v>215</v>
      </c>
      <c r="K215" s="72" t="s">
        <v>2111</v>
      </c>
    </row>
    <row r="216" spans="2:11" x14ac:dyDescent="0.25">
      <c r="B216" s="31" t="s">
        <v>2194</v>
      </c>
      <c r="C216" s="40">
        <v>42987.637608680554</v>
      </c>
      <c r="D216" s="31" t="s">
        <v>1332</v>
      </c>
      <c r="E216" s="31">
        <v>1</v>
      </c>
      <c r="F216" s="41">
        <v>1320</v>
      </c>
      <c r="G216" s="40">
        <v>42987</v>
      </c>
      <c r="H216" s="31" t="s">
        <v>1188</v>
      </c>
      <c r="I216" s="47">
        <v>19</v>
      </c>
      <c r="J216" s="1">
        <v>216</v>
      </c>
      <c r="K216" s="72" t="s">
        <v>2111</v>
      </c>
    </row>
    <row r="217" spans="2:11" x14ac:dyDescent="0.25">
      <c r="B217" s="31" t="s">
        <v>2195</v>
      </c>
      <c r="C217" s="40">
        <v>42987.6376087963</v>
      </c>
      <c r="D217" s="31" t="s">
        <v>1174</v>
      </c>
      <c r="E217" s="31">
        <v>1</v>
      </c>
      <c r="F217" s="41">
        <v>2112</v>
      </c>
      <c r="G217" s="40">
        <v>42987</v>
      </c>
      <c r="H217" s="31" t="s">
        <v>1188</v>
      </c>
      <c r="I217" s="47">
        <v>19</v>
      </c>
      <c r="J217" s="1">
        <v>217</v>
      </c>
      <c r="K217" s="72" t="s">
        <v>2111</v>
      </c>
    </row>
    <row r="218" spans="2:11" x14ac:dyDescent="0.25">
      <c r="B218" s="31" t="s">
        <v>2196</v>
      </c>
      <c r="C218" s="40">
        <v>42987.6376087963</v>
      </c>
      <c r="D218" s="31" t="s">
        <v>2180</v>
      </c>
      <c r="E218" s="31">
        <v>1</v>
      </c>
      <c r="F218" s="41">
        <v>70.400000000000006</v>
      </c>
      <c r="G218" s="40">
        <v>42987</v>
      </c>
      <c r="H218" s="31" t="s">
        <v>1188</v>
      </c>
      <c r="I218" s="47">
        <v>19</v>
      </c>
      <c r="J218" s="1">
        <v>218</v>
      </c>
      <c r="K218" s="72" t="s">
        <v>2111</v>
      </c>
    </row>
    <row r="219" spans="2:11" x14ac:dyDescent="0.25">
      <c r="B219" s="31" t="s">
        <v>2197</v>
      </c>
      <c r="C219" s="40">
        <v>42987.6376087963</v>
      </c>
      <c r="D219" s="31" t="s">
        <v>2181</v>
      </c>
      <c r="E219" s="31">
        <v>1</v>
      </c>
      <c r="F219" s="41">
        <v>70.400000000000006</v>
      </c>
      <c r="G219" s="40">
        <v>42987</v>
      </c>
      <c r="H219" s="31" t="s">
        <v>1188</v>
      </c>
      <c r="I219" s="47">
        <v>19</v>
      </c>
      <c r="J219" s="1">
        <v>219</v>
      </c>
      <c r="K219" s="72" t="s">
        <v>2111</v>
      </c>
    </row>
    <row r="220" spans="2:11" x14ac:dyDescent="0.25">
      <c r="B220" s="31" t="s">
        <v>2198</v>
      </c>
      <c r="C220" s="40">
        <v>42987.637609027777</v>
      </c>
      <c r="D220" s="31" t="s">
        <v>2182</v>
      </c>
      <c r="E220" s="31">
        <v>1</v>
      </c>
      <c r="F220" s="41">
        <v>484</v>
      </c>
      <c r="G220" s="40">
        <v>42987</v>
      </c>
      <c r="H220" s="31" t="s">
        <v>1188</v>
      </c>
      <c r="I220" s="47">
        <v>19</v>
      </c>
      <c r="J220" s="1">
        <v>220</v>
      </c>
      <c r="K220" s="72" t="s">
        <v>2111</v>
      </c>
    </row>
    <row r="221" spans="2:11" x14ac:dyDescent="0.25">
      <c r="B221" s="31" t="s">
        <v>2199</v>
      </c>
      <c r="C221" s="40">
        <v>42987.637609143516</v>
      </c>
      <c r="D221" s="31" t="s">
        <v>2183</v>
      </c>
      <c r="E221" s="31">
        <v>1</v>
      </c>
      <c r="F221" s="41">
        <v>35.200000000000003</v>
      </c>
      <c r="G221" s="40">
        <v>42987</v>
      </c>
      <c r="H221" s="31" t="s">
        <v>1188</v>
      </c>
      <c r="I221" s="47">
        <v>19</v>
      </c>
      <c r="J221" s="1">
        <v>221</v>
      </c>
      <c r="K221" s="72" t="s">
        <v>2111</v>
      </c>
    </row>
    <row r="222" spans="2:11" x14ac:dyDescent="0.25">
      <c r="B222" s="31" t="s">
        <v>2200</v>
      </c>
      <c r="C222" s="40">
        <v>42987.637609143516</v>
      </c>
      <c r="D222" s="31" t="s">
        <v>2184</v>
      </c>
      <c r="E222" s="31">
        <v>1</v>
      </c>
      <c r="F222" s="41">
        <v>35.200000000000003</v>
      </c>
      <c r="G222" s="40">
        <v>42987</v>
      </c>
      <c r="H222" s="31" t="s">
        <v>1188</v>
      </c>
      <c r="I222" s="47">
        <v>19</v>
      </c>
      <c r="J222" s="1">
        <v>222</v>
      </c>
      <c r="K222" s="72" t="s">
        <v>2111</v>
      </c>
    </row>
    <row r="223" spans="2:11" x14ac:dyDescent="0.25">
      <c r="B223" s="31" t="s">
        <v>2201</v>
      </c>
      <c r="C223" s="40">
        <v>42987.637609259262</v>
      </c>
      <c r="D223" s="31" t="s">
        <v>2186</v>
      </c>
      <c r="E223" s="31">
        <v>1</v>
      </c>
      <c r="F223" s="41">
        <v>246.4</v>
      </c>
      <c r="G223" s="40">
        <v>42987</v>
      </c>
      <c r="H223" s="31" t="s">
        <v>1188</v>
      </c>
      <c r="I223" s="47">
        <v>19</v>
      </c>
      <c r="J223" s="1">
        <v>223</v>
      </c>
      <c r="K223" s="72" t="s">
        <v>2111</v>
      </c>
    </row>
    <row r="224" spans="2:11" x14ac:dyDescent="0.25">
      <c r="B224" s="31" t="s">
        <v>2202</v>
      </c>
      <c r="C224" s="40">
        <v>42987.637609375</v>
      </c>
      <c r="D224" s="31" t="s">
        <v>2187</v>
      </c>
      <c r="E224" s="31">
        <v>1</v>
      </c>
      <c r="F224" s="41">
        <v>246.4</v>
      </c>
      <c r="G224" s="40">
        <v>42987</v>
      </c>
      <c r="H224" s="31" t="s">
        <v>1188</v>
      </c>
      <c r="I224" s="47">
        <v>19</v>
      </c>
      <c r="J224" s="1">
        <v>224</v>
      </c>
      <c r="K224" s="72" t="s">
        <v>2111</v>
      </c>
    </row>
    <row r="225" spans="2:11" x14ac:dyDescent="0.25">
      <c r="B225" s="31" t="s">
        <v>2203</v>
      </c>
      <c r="C225" s="40">
        <v>42987.637609375</v>
      </c>
      <c r="D225" s="31" t="s">
        <v>2185</v>
      </c>
      <c r="E225" s="31">
        <v>1</v>
      </c>
      <c r="F225" s="41">
        <v>923.12</v>
      </c>
      <c r="G225" s="40">
        <v>42987</v>
      </c>
      <c r="H225" s="31" t="s">
        <v>1188</v>
      </c>
      <c r="I225" s="47">
        <v>19</v>
      </c>
      <c r="J225" s="1">
        <v>225</v>
      </c>
      <c r="K225" s="72" t="s">
        <v>2111</v>
      </c>
    </row>
    <row r="226" spans="2:11" x14ac:dyDescent="0.25">
      <c r="B226" s="31" t="s">
        <v>2204</v>
      </c>
      <c r="C226" s="40">
        <v>42987.64265833333</v>
      </c>
      <c r="D226" s="31" t="s">
        <v>1239</v>
      </c>
      <c r="E226" s="31">
        <v>3</v>
      </c>
      <c r="G226" s="40">
        <v>42990</v>
      </c>
      <c r="H226" s="31" t="s">
        <v>1993</v>
      </c>
      <c r="I226" s="47">
        <v>19</v>
      </c>
      <c r="J226" s="1">
        <v>226</v>
      </c>
      <c r="K226" s="72" t="s">
        <v>2111</v>
      </c>
    </row>
    <row r="227" spans="2:11" x14ac:dyDescent="0.25">
      <c r="B227" s="31" t="s">
        <v>2157</v>
      </c>
      <c r="C227" s="40">
        <v>42989.364568634257</v>
      </c>
      <c r="D227" s="31" t="s">
        <v>2205</v>
      </c>
      <c r="E227" s="31">
        <v>2</v>
      </c>
      <c r="G227" s="40">
        <v>42987</v>
      </c>
      <c r="H227" s="31" t="s">
        <v>1188</v>
      </c>
      <c r="I227" s="47">
        <v>15</v>
      </c>
      <c r="J227" s="1">
        <v>227</v>
      </c>
    </row>
    <row r="228" spans="2:11" x14ac:dyDescent="0.25">
      <c r="B228" s="31" t="s">
        <v>2212</v>
      </c>
      <c r="C228" s="40">
        <v>42989.364571180558</v>
      </c>
      <c r="D228" s="31" t="s">
        <v>2206</v>
      </c>
      <c r="E228" s="31">
        <v>2</v>
      </c>
      <c r="G228" s="40">
        <v>42987</v>
      </c>
      <c r="H228" s="31" t="s">
        <v>1188</v>
      </c>
      <c r="I228" s="47">
        <v>15</v>
      </c>
      <c r="J228" s="1">
        <v>228</v>
      </c>
    </row>
    <row r="229" spans="2:11" x14ac:dyDescent="0.25">
      <c r="B229" s="31" t="s">
        <v>2213</v>
      </c>
      <c r="C229" s="40">
        <v>42989.364571296297</v>
      </c>
      <c r="D229" s="31" t="s">
        <v>1912</v>
      </c>
      <c r="E229" s="31">
        <v>10</v>
      </c>
      <c r="G229" s="40">
        <v>42987</v>
      </c>
      <c r="H229" s="31" t="s">
        <v>1188</v>
      </c>
      <c r="I229" s="47">
        <v>15</v>
      </c>
      <c r="J229" s="1">
        <v>229</v>
      </c>
    </row>
    <row r="230" spans="2:11" x14ac:dyDescent="0.25">
      <c r="B230" s="31" t="s">
        <v>2214</v>
      </c>
      <c r="C230" s="40">
        <v>42989.364571296297</v>
      </c>
      <c r="D230" s="31" t="s">
        <v>2210</v>
      </c>
      <c r="E230" s="31">
        <v>9</v>
      </c>
      <c r="G230" s="40">
        <v>42987</v>
      </c>
      <c r="H230" s="31" t="s">
        <v>1188</v>
      </c>
      <c r="I230" s="47">
        <v>15</v>
      </c>
      <c r="J230" s="1">
        <v>230</v>
      </c>
    </row>
    <row r="231" spans="2:11" x14ac:dyDescent="0.25">
      <c r="B231" s="31" t="s">
        <v>2215</v>
      </c>
      <c r="C231" s="40">
        <v>42989.364571412036</v>
      </c>
      <c r="D231" s="31" t="s">
        <v>2207</v>
      </c>
      <c r="E231" s="31">
        <v>9</v>
      </c>
      <c r="G231" s="40">
        <v>42987</v>
      </c>
      <c r="H231" s="31" t="s">
        <v>1188</v>
      </c>
      <c r="I231" s="47">
        <v>15</v>
      </c>
      <c r="J231" s="1">
        <v>231</v>
      </c>
    </row>
    <row r="232" spans="2:11" x14ac:dyDescent="0.25">
      <c r="B232" s="31" t="s">
        <v>2216</v>
      </c>
      <c r="C232" s="40">
        <v>42989.36573553241</v>
      </c>
      <c r="D232" s="31" t="s">
        <v>2208</v>
      </c>
      <c r="E232" s="31">
        <v>1</v>
      </c>
      <c r="I232" s="47">
        <v>15</v>
      </c>
      <c r="J232" s="1">
        <v>232</v>
      </c>
    </row>
    <row r="233" spans="2:11" x14ac:dyDescent="0.25">
      <c r="B233" s="31" t="s">
        <v>2217</v>
      </c>
      <c r="C233" s="40">
        <v>42989.365735763888</v>
      </c>
      <c r="D233" s="31" t="s">
        <v>2209</v>
      </c>
      <c r="E233" s="31">
        <v>1</v>
      </c>
      <c r="I233" s="47">
        <v>15</v>
      </c>
      <c r="J233" s="1">
        <v>233</v>
      </c>
    </row>
    <row r="234" spans="2:11" x14ac:dyDescent="0.25">
      <c r="B234" s="31" t="s">
        <v>2218</v>
      </c>
      <c r="C234" s="40">
        <v>42989.365735763888</v>
      </c>
      <c r="D234" s="31" t="s">
        <v>2211</v>
      </c>
      <c r="E234" s="31">
        <v>1</v>
      </c>
      <c r="I234" s="47">
        <v>15</v>
      </c>
      <c r="J234" s="1">
        <v>234</v>
      </c>
    </row>
    <row r="235" spans="2:11" x14ac:dyDescent="0.25">
      <c r="B235" s="31" t="s">
        <v>2224</v>
      </c>
      <c r="C235" s="40">
        <v>42989.369954282411</v>
      </c>
      <c r="D235" s="31" t="s">
        <v>2219</v>
      </c>
      <c r="E235" s="31">
        <v>20</v>
      </c>
      <c r="I235" s="47">
        <v>15</v>
      </c>
      <c r="J235" s="1">
        <v>235</v>
      </c>
    </row>
    <row r="236" spans="2:11" x14ac:dyDescent="0.25">
      <c r="B236" s="31" t="s">
        <v>2225</v>
      </c>
      <c r="C236" s="40">
        <v>42989.369955324073</v>
      </c>
      <c r="D236" s="31" t="s">
        <v>2220</v>
      </c>
      <c r="E236" s="31">
        <v>20</v>
      </c>
      <c r="I236" s="47">
        <v>15</v>
      </c>
      <c r="J236" s="1">
        <v>236</v>
      </c>
    </row>
    <row r="237" spans="2:11" x14ac:dyDescent="0.25">
      <c r="B237" s="31" t="s">
        <v>2226</v>
      </c>
      <c r="C237" s="40">
        <v>42989.36995601852</v>
      </c>
      <c r="D237" s="31" t="s">
        <v>2050</v>
      </c>
      <c r="E237" s="31">
        <v>20</v>
      </c>
      <c r="I237" s="47">
        <v>15</v>
      </c>
      <c r="J237" s="1">
        <v>237</v>
      </c>
    </row>
    <row r="238" spans="2:11" x14ac:dyDescent="0.25">
      <c r="B238" s="31" t="s">
        <v>2227</v>
      </c>
      <c r="C238" s="40">
        <v>42989.369956712966</v>
      </c>
      <c r="D238" s="31" t="s">
        <v>2221</v>
      </c>
      <c r="E238" s="31">
        <v>20</v>
      </c>
      <c r="I238" s="47">
        <v>15</v>
      </c>
      <c r="J238" s="1">
        <v>238</v>
      </c>
    </row>
    <row r="239" spans="2:11" x14ac:dyDescent="0.25">
      <c r="B239" s="31" t="s">
        <v>2228</v>
      </c>
      <c r="C239" s="40">
        <v>42989.369957407405</v>
      </c>
      <c r="D239" s="31" t="s">
        <v>2222</v>
      </c>
      <c r="E239" s="31">
        <v>20</v>
      </c>
      <c r="I239" s="47">
        <v>15</v>
      </c>
      <c r="J239" s="1">
        <v>239</v>
      </c>
    </row>
    <row r="240" spans="2:11" x14ac:dyDescent="0.25">
      <c r="B240" s="31" t="s">
        <v>2229</v>
      </c>
      <c r="C240" s="40">
        <v>42989.369958101852</v>
      </c>
      <c r="D240" s="31" t="s">
        <v>2223</v>
      </c>
      <c r="E240" s="31">
        <v>20</v>
      </c>
      <c r="I240" s="47">
        <v>15</v>
      </c>
      <c r="J240" s="1">
        <v>240</v>
      </c>
    </row>
    <row r="241" spans="2:11" x14ac:dyDescent="0.25">
      <c r="B241" s="31" t="s">
        <v>2230</v>
      </c>
      <c r="C241" s="40">
        <v>42989.369958912037</v>
      </c>
      <c r="D241" s="31" t="s">
        <v>1982</v>
      </c>
      <c r="E241" s="31">
        <v>20</v>
      </c>
      <c r="I241" s="47">
        <v>15</v>
      </c>
      <c r="J241" s="1">
        <v>241</v>
      </c>
    </row>
    <row r="242" spans="2:11" x14ac:dyDescent="0.25">
      <c r="B242" s="31" t="s">
        <v>2232</v>
      </c>
      <c r="C242" s="40">
        <v>42989.552342129631</v>
      </c>
      <c r="D242" s="31" t="s">
        <v>1174</v>
      </c>
      <c r="E242" s="31">
        <v>20</v>
      </c>
      <c r="F242" s="41">
        <v>0</v>
      </c>
      <c r="G242" s="40">
        <v>42989</v>
      </c>
      <c r="H242" s="31" t="s">
        <v>1993</v>
      </c>
      <c r="I242" s="47">
        <v>7</v>
      </c>
      <c r="J242" s="1">
        <v>242</v>
      </c>
      <c r="K242" s="72" t="s">
        <v>2084</v>
      </c>
    </row>
    <row r="243" spans="2:11" x14ac:dyDescent="0.25">
      <c r="B243" s="31" t="s">
        <v>2236</v>
      </c>
      <c r="C243" s="40">
        <v>42989.552461805557</v>
      </c>
      <c r="D243" s="31" t="s">
        <v>2233</v>
      </c>
      <c r="E243" s="31">
        <v>20</v>
      </c>
      <c r="F243" s="41">
        <v>0</v>
      </c>
      <c r="G243" s="40">
        <v>42989</v>
      </c>
      <c r="H243" s="31" t="s">
        <v>1993</v>
      </c>
      <c r="I243" s="47">
        <v>7</v>
      </c>
      <c r="J243" s="1">
        <v>243</v>
      </c>
      <c r="K243" s="72" t="s">
        <v>2239</v>
      </c>
    </row>
    <row r="244" spans="2:11" x14ac:dyDescent="0.25">
      <c r="B244" s="31" t="s">
        <v>2237</v>
      </c>
      <c r="C244" s="40">
        <v>42989.552461805557</v>
      </c>
      <c r="D244" s="31" t="s">
        <v>2234</v>
      </c>
      <c r="E244" s="31">
        <v>20</v>
      </c>
      <c r="F244" s="41">
        <v>0</v>
      </c>
      <c r="G244" s="40">
        <v>42989</v>
      </c>
      <c r="H244" s="31" t="s">
        <v>1993</v>
      </c>
      <c r="I244" s="47">
        <v>7</v>
      </c>
      <c r="J244" s="1">
        <v>244</v>
      </c>
      <c r="K244" s="72" t="s">
        <v>1897</v>
      </c>
    </row>
    <row r="245" spans="2:11" x14ac:dyDescent="0.25">
      <c r="B245" s="31" t="s">
        <v>2238</v>
      </c>
      <c r="C245" s="40">
        <v>42989.552461921296</v>
      </c>
      <c r="D245" s="31" t="s">
        <v>2235</v>
      </c>
      <c r="E245" s="31">
        <v>20</v>
      </c>
      <c r="F245" s="41">
        <v>0</v>
      </c>
      <c r="G245" s="40">
        <v>42989</v>
      </c>
      <c r="H245" s="31" t="s">
        <v>1993</v>
      </c>
      <c r="I245" s="47">
        <v>7</v>
      </c>
      <c r="J245" s="1">
        <v>245</v>
      </c>
      <c r="K245" s="72" t="s">
        <v>1897</v>
      </c>
    </row>
    <row r="246" spans="2:11" x14ac:dyDescent="0.25">
      <c r="B246" s="31" t="s">
        <v>2241</v>
      </c>
      <c r="C246" s="40">
        <v>42992.542477546296</v>
      </c>
      <c r="D246" s="31" t="s">
        <v>2242</v>
      </c>
      <c r="E246" s="31">
        <v>20</v>
      </c>
      <c r="F246" s="41">
        <v>0</v>
      </c>
      <c r="G246" s="40">
        <v>42992</v>
      </c>
      <c r="H246" s="31" t="s">
        <v>1993</v>
      </c>
      <c r="I246" s="47">
        <v>1</v>
      </c>
      <c r="J246" s="1">
        <v>246</v>
      </c>
      <c r="K246" s="72" t="s">
        <v>2112</v>
      </c>
    </row>
    <row r="247" spans="2:11" x14ac:dyDescent="0.25">
      <c r="B247" s="31" t="s">
        <v>2243</v>
      </c>
      <c r="C247" s="40">
        <v>42992.544230208332</v>
      </c>
      <c r="D247" s="31" t="s">
        <v>2050</v>
      </c>
      <c r="E247" s="31">
        <v>9</v>
      </c>
      <c r="F247" s="41">
        <v>1200</v>
      </c>
      <c r="G247" s="40">
        <v>42985</v>
      </c>
      <c r="H247" s="31" t="s">
        <v>1188</v>
      </c>
      <c r="I247" s="47">
        <v>1</v>
      </c>
      <c r="J247" s="1">
        <v>247</v>
      </c>
      <c r="K247" s="72" t="s">
        <v>2244</v>
      </c>
    </row>
    <row r="248" spans="2:11" x14ac:dyDescent="0.25">
      <c r="B248" s="31" t="s">
        <v>2247</v>
      </c>
      <c r="C248" s="40">
        <v>42992.54588784722</v>
      </c>
      <c r="D248" s="31" t="s">
        <v>2245</v>
      </c>
      <c r="E248" s="31">
        <v>1</v>
      </c>
      <c r="F248" s="41">
        <v>1640</v>
      </c>
      <c r="G248" s="40">
        <v>42991</v>
      </c>
      <c r="H248" s="31" t="s">
        <v>1188</v>
      </c>
      <c r="I248" s="47">
        <v>2</v>
      </c>
      <c r="J248" s="1">
        <v>248</v>
      </c>
      <c r="K248" s="72" t="s">
        <v>2246</v>
      </c>
    </row>
    <row r="249" spans="2:11" x14ac:dyDescent="0.25">
      <c r="B249" s="31" t="s">
        <v>2249</v>
      </c>
      <c r="C249" s="40">
        <v>42992.549651851848</v>
      </c>
      <c r="D249" s="31" t="s">
        <v>1332</v>
      </c>
      <c r="E249" s="31">
        <v>3</v>
      </c>
      <c r="F249" s="41">
        <v>1000</v>
      </c>
      <c r="G249" s="40">
        <v>42991</v>
      </c>
      <c r="H249" s="31" t="s">
        <v>1188</v>
      </c>
      <c r="I249" s="47">
        <v>7</v>
      </c>
      <c r="J249" s="1">
        <v>249</v>
      </c>
      <c r="K249" s="72" t="s">
        <v>2244</v>
      </c>
    </row>
    <row r="250" spans="2:11" x14ac:dyDescent="0.25">
      <c r="B250" s="31" t="s">
        <v>2250</v>
      </c>
      <c r="C250" s="40">
        <v>42992.550353356484</v>
      </c>
      <c r="D250" s="31" t="s">
        <v>2248</v>
      </c>
      <c r="E250" s="31">
        <v>9</v>
      </c>
      <c r="F250" s="41">
        <v>1200</v>
      </c>
      <c r="G250" s="40">
        <v>0</v>
      </c>
      <c r="H250" s="31">
        <v>0</v>
      </c>
      <c r="I250" s="47">
        <v>7</v>
      </c>
      <c r="J250" s="1">
        <v>250</v>
      </c>
      <c r="K250" s="72">
        <v>0</v>
      </c>
    </row>
    <row r="251" spans="2:11" x14ac:dyDescent="0.25">
      <c r="B251" s="31" t="s">
        <v>2251</v>
      </c>
      <c r="C251" s="40">
        <v>42992.67480439815</v>
      </c>
      <c r="D251" s="31" t="s">
        <v>1174</v>
      </c>
      <c r="E251" s="31">
        <v>20</v>
      </c>
      <c r="F251" s="41">
        <v>0</v>
      </c>
      <c r="G251" s="40">
        <v>42992</v>
      </c>
      <c r="H251" s="31" t="s">
        <v>1492</v>
      </c>
      <c r="I251" s="47">
        <v>8</v>
      </c>
      <c r="J251" s="1">
        <v>251</v>
      </c>
      <c r="K251" s="72" t="s">
        <v>1937</v>
      </c>
    </row>
    <row r="252" spans="2:11" x14ac:dyDescent="0.25">
      <c r="B252" s="31" t="s">
        <v>2255</v>
      </c>
      <c r="C252" s="40">
        <v>42992.674850810188</v>
      </c>
      <c r="D252" s="31" t="s">
        <v>2052</v>
      </c>
      <c r="E252" s="31">
        <v>20</v>
      </c>
      <c r="F252" s="41">
        <v>0</v>
      </c>
      <c r="G252" s="40">
        <v>42997</v>
      </c>
      <c r="H252" s="31" t="s">
        <v>1993</v>
      </c>
      <c r="I252" s="47">
        <v>8</v>
      </c>
      <c r="J252" s="1">
        <v>252</v>
      </c>
      <c r="K252" s="72" t="s">
        <v>1977</v>
      </c>
    </row>
    <row r="253" spans="2:11" x14ac:dyDescent="0.25">
      <c r="B253" s="31" t="s">
        <v>2256</v>
      </c>
      <c r="C253" s="40">
        <v>42992.674850810188</v>
      </c>
      <c r="D253" s="31" t="s">
        <v>2252</v>
      </c>
      <c r="E253" s="31">
        <v>20</v>
      </c>
      <c r="F253" s="41">
        <v>0</v>
      </c>
      <c r="G253" s="40">
        <v>42997</v>
      </c>
      <c r="H253" s="31" t="s">
        <v>1993</v>
      </c>
      <c r="I253" s="47">
        <v>8</v>
      </c>
      <c r="J253" s="1">
        <v>253</v>
      </c>
      <c r="K253" s="72" t="s">
        <v>1977</v>
      </c>
    </row>
    <row r="254" spans="2:11" x14ac:dyDescent="0.25">
      <c r="B254" s="31" t="s">
        <v>2257</v>
      </c>
      <c r="C254" s="40">
        <v>42992.674851041666</v>
      </c>
      <c r="D254" s="31" t="s">
        <v>2253</v>
      </c>
      <c r="E254" s="31">
        <v>20</v>
      </c>
      <c r="F254" s="41">
        <v>0</v>
      </c>
      <c r="G254" s="40">
        <v>42997</v>
      </c>
      <c r="H254" s="31" t="s">
        <v>1993</v>
      </c>
      <c r="I254" s="47">
        <v>8</v>
      </c>
      <c r="J254" s="1">
        <v>254</v>
      </c>
      <c r="K254" s="72" t="s">
        <v>1977</v>
      </c>
    </row>
    <row r="255" spans="2:11" x14ac:dyDescent="0.25">
      <c r="B255" s="31" t="s">
        <v>2258</v>
      </c>
      <c r="C255" s="40">
        <v>42992.674851041666</v>
      </c>
      <c r="D255" s="31" t="s">
        <v>2254</v>
      </c>
      <c r="E255" s="31">
        <v>20</v>
      </c>
      <c r="F255" s="41">
        <v>0</v>
      </c>
      <c r="G255" s="40">
        <v>42997</v>
      </c>
      <c r="H255" s="31" t="s">
        <v>1993</v>
      </c>
      <c r="I255" s="47">
        <v>8</v>
      </c>
      <c r="J255" s="1">
        <v>255</v>
      </c>
      <c r="K255" s="72" t="s">
        <v>1977</v>
      </c>
    </row>
    <row r="256" spans="2:11" x14ac:dyDescent="0.25">
      <c r="B256" s="31" t="s">
        <v>2259</v>
      </c>
      <c r="C256" s="40">
        <v>42992.674851041666</v>
      </c>
      <c r="D256" s="31" t="s">
        <v>1912</v>
      </c>
      <c r="E256" s="31">
        <v>20</v>
      </c>
      <c r="F256" s="41">
        <v>0</v>
      </c>
      <c r="G256" s="40">
        <v>42992</v>
      </c>
      <c r="H256" s="31" t="s">
        <v>1492</v>
      </c>
      <c r="I256" s="47">
        <v>8</v>
      </c>
      <c r="J256" s="1">
        <v>256</v>
      </c>
      <c r="K256" s="72" t="s">
        <v>1937</v>
      </c>
    </row>
    <row r="257" spans="2:11" x14ac:dyDescent="0.25">
      <c r="B257" s="31" t="s">
        <v>2261</v>
      </c>
      <c r="C257" s="40">
        <v>42992.678433912035</v>
      </c>
      <c r="D257" s="31" t="s">
        <v>2260</v>
      </c>
      <c r="G257" s="40">
        <v>0</v>
      </c>
      <c r="H257" s="31">
        <v>0</v>
      </c>
      <c r="I257" s="47">
        <v>8</v>
      </c>
      <c r="J257" s="1">
        <v>257</v>
      </c>
      <c r="K257" s="72">
        <v>0</v>
      </c>
    </row>
    <row r="258" spans="2:11" x14ac:dyDescent="0.25">
      <c r="B258" s="31" t="s">
        <v>2262</v>
      </c>
      <c r="C258" s="40">
        <v>42993.548826273145</v>
      </c>
      <c r="D258" s="31" t="s">
        <v>1171</v>
      </c>
      <c r="E258" s="31">
        <v>5</v>
      </c>
      <c r="F258" s="41">
        <v>1700</v>
      </c>
      <c r="G258" s="40">
        <v>42983</v>
      </c>
      <c r="H258" s="31" t="s">
        <v>1182</v>
      </c>
      <c r="I258" s="47">
        <v>24</v>
      </c>
      <c r="J258" s="1">
        <v>258</v>
      </c>
      <c r="K258" s="72" t="s">
        <v>2244</v>
      </c>
    </row>
    <row r="259" spans="2:11" x14ac:dyDescent="0.25">
      <c r="B259" s="31" t="s">
        <v>2281</v>
      </c>
      <c r="C259" s="40">
        <v>42993.549299421298</v>
      </c>
      <c r="D259" s="31" t="s">
        <v>2263</v>
      </c>
      <c r="E259" s="31">
        <v>5</v>
      </c>
      <c r="F259" s="41">
        <v>180</v>
      </c>
      <c r="G259" s="40">
        <v>42983</v>
      </c>
      <c r="H259" s="31" t="s">
        <v>1182</v>
      </c>
      <c r="I259" s="47">
        <v>24</v>
      </c>
      <c r="J259" s="1">
        <v>259</v>
      </c>
      <c r="K259" s="72" t="s">
        <v>2244</v>
      </c>
    </row>
    <row r="260" spans="2:11" x14ac:dyDescent="0.25">
      <c r="B260" s="31" t="s">
        <v>2282</v>
      </c>
      <c r="C260" s="40">
        <v>42993.549299421298</v>
      </c>
      <c r="D260" s="31" t="s">
        <v>2264</v>
      </c>
      <c r="E260" s="31">
        <v>5</v>
      </c>
      <c r="F260" s="41">
        <v>180</v>
      </c>
      <c r="G260" s="40">
        <v>42983</v>
      </c>
      <c r="H260" s="31" t="s">
        <v>1182</v>
      </c>
      <c r="I260" s="47">
        <v>24</v>
      </c>
      <c r="J260" s="1">
        <v>260</v>
      </c>
      <c r="K260" s="72" t="s">
        <v>2244</v>
      </c>
    </row>
    <row r="261" spans="2:11" x14ac:dyDescent="0.25">
      <c r="B261" s="31" t="s">
        <v>2283</v>
      </c>
      <c r="C261" s="40">
        <v>42993.549299537037</v>
      </c>
      <c r="D261" s="31" t="s">
        <v>2265</v>
      </c>
      <c r="E261" s="31">
        <v>5</v>
      </c>
      <c r="F261" s="41">
        <v>220</v>
      </c>
      <c r="G261" s="40">
        <v>42983</v>
      </c>
      <c r="H261" s="31" t="s">
        <v>1182</v>
      </c>
      <c r="I261" s="47">
        <v>24</v>
      </c>
      <c r="J261" s="1">
        <v>261</v>
      </c>
      <c r="K261" s="72" t="s">
        <v>2244</v>
      </c>
    </row>
    <row r="262" spans="2:11" x14ac:dyDescent="0.25">
      <c r="B262" s="31" t="s">
        <v>2284</v>
      </c>
      <c r="C262" s="40">
        <v>42993.549299537037</v>
      </c>
      <c r="D262" s="31" t="s">
        <v>1157</v>
      </c>
      <c r="E262" s="31">
        <v>5</v>
      </c>
      <c r="F262" s="41">
        <v>600</v>
      </c>
      <c r="G262" s="40">
        <v>42983</v>
      </c>
      <c r="H262" s="31" t="s">
        <v>1182</v>
      </c>
      <c r="I262" s="47">
        <v>24</v>
      </c>
      <c r="J262" s="1">
        <v>262</v>
      </c>
      <c r="K262" s="72" t="s">
        <v>2244</v>
      </c>
    </row>
    <row r="263" spans="2:11" x14ac:dyDescent="0.25">
      <c r="B263" s="31" t="s">
        <v>2285</v>
      </c>
      <c r="C263" s="40">
        <v>42993.549299768521</v>
      </c>
      <c r="D263" s="31" t="s">
        <v>2266</v>
      </c>
      <c r="E263" s="31">
        <v>5</v>
      </c>
      <c r="F263" s="41">
        <v>600</v>
      </c>
      <c r="G263" s="40">
        <v>42983</v>
      </c>
      <c r="H263" s="31" t="s">
        <v>1182</v>
      </c>
      <c r="I263" s="47">
        <v>24</v>
      </c>
      <c r="J263" s="1">
        <v>263</v>
      </c>
      <c r="K263" s="72" t="s">
        <v>2244</v>
      </c>
    </row>
    <row r="264" spans="2:11" x14ac:dyDescent="0.25">
      <c r="B264" s="31" t="s">
        <v>2286</v>
      </c>
      <c r="C264" s="40">
        <v>42993.549299768521</v>
      </c>
      <c r="D264" s="31" t="s">
        <v>2267</v>
      </c>
      <c r="E264" s="31">
        <v>5</v>
      </c>
      <c r="F264" s="41">
        <v>1200</v>
      </c>
      <c r="G264" s="40">
        <v>42983</v>
      </c>
      <c r="H264" s="31" t="s">
        <v>1182</v>
      </c>
      <c r="I264" s="47">
        <v>24</v>
      </c>
      <c r="J264" s="1">
        <v>264</v>
      </c>
      <c r="K264" s="72" t="s">
        <v>2244</v>
      </c>
    </row>
    <row r="265" spans="2:11" x14ac:dyDescent="0.25">
      <c r="B265" s="31" t="s">
        <v>2287</v>
      </c>
      <c r="C265" s="40">
        <v>42993.549299768521</v>
      </c>
      <c r="D265" s="31" t="s">
        <v>1250</v>
      </c>
      <c r="E265" s="31">
        <v>5</v>
      </c>
      <c r="F265" s="41">
        <v>600</v>
      </c>
      <c r="G265" s="40">
        <v>42983</v>
      </c>
      <c r="H265" s="31" t="s">
        <v>1182</v>
      </c>
      <c r="I265" s="47">
        <v>24</v>
      </c>
      <c r="J265" s="1">
        <v>265</v>
      </c>
      <c r="K265" s="72" t="s">
        <v>2244</v>
      </c>
    </row>
    <row r="266" spans="2:11" x14ac:dyDescent="0.25">
      <c r="B266" s="31" t="s">
        <v>2288</v>
      </c>
      <c r="C266" s="40">
        <v>42993.549299999999</v>
      </c>
      <c r="D266" s="31" t="s">
        <v>2268</v>
      </c>
      <c r="E266" s="31">
        <v>5</v>
      </c>
      <c r="F266" s="41">
        <v>440</v>
      </c>
      <c r="G266" s="40">
        <v>42983</v>
      </c>
      <c r="H266" s="31" t="s">
        <v>1182</v>
      </c>
      <c r="I266" s="47">
        <v>24</v>
      </c>
      <c r="J266" s="1">
        <v>266</v>
      </c>
      <c r="K266" s="72" t="s">
        <v>2244</v>
      </c>
    </row>
    <row r="267" spans="2:11" x14ac:dyDescent="0.25">
      <c r="B267" s="31" t="s">
        <v>2289</v>
      </c>
      <c r="C267" s="40">
        <v>42993.549299999999</v>
      </c>
      <c r="D267" s="31" t="s">
        <v>2269</v>
      </c>
      <c r="E267" s="31">
        <v>5</v>
      </c>
      <c r="F267" s="41">
        <v>600</v>
      </c>
      <c r="G267" s="40">
        <v>42983</v>
      </c>
      <c r="H267" s="31" t="s">
        <v>1182</v>
      </c>
      <c r="I267" s="47">
        <v>24</v>
      </c>
      <c r="J267" s="1">
        <v>267</v>
      </c>
      <c r="K267" s="72" t="s">
        <v>2244</v>
      </c>
    </row>
    <row r="268" spans="2:11" x14ac:dyDescent="0.25">
      <c r="B268" s="31" t="s">
        <v>2290</v>
      </c>
      <c r="C268" s="40">
        <v>42993.549300115737</v>
      </c>
      <c r="D268" s="31" t="s">
        <v>1170</v>
      </c>
      <c r="E268" s="31">
        <v>5</v>
      </c>
      <c r="F268" s="41">
        <v>700</v>
      </c>
      <c r="G268" s="40">
        <v>42983</v>
      </c>
      <c r="H268" s="31" t="s">
        <v>1182</v>
      </c>
      <c r="I268" s="47">
        <v>24</v>
      </c>
      <c r="J268" s="1">
        <v>268</v>
      </c>
      <c r="K268" s="72" t="s">
        <v>2244</v>
      </c>
    </row>
    <row r="269" spans="2:11" x14ac:dyDescent="0.25">
      <c r="B269" s="31" t="s">
        <v>2291</v>
      </c>
      <c r="C269" s="40">
        <v>42993.549300115737</v>
      </c>
      <c r="D269" s="31" t="s">
        <v>1238</v>
      </c>
      <c r="E269" s="31">
        <v>3</v>
      </c>
      <c r="F269" s="41">
        <v>2500</v>
      </c>
      <c r="G269" s="40">
        <v>42982</v>
      </c>
      <c r="H269" s="31" t="s">
        <v>1182</v>
      </c>
      <c r="I269" s="47">
        <v>24</v>
      </c>
      <c r="J269" s="1">
        <v>269</v>
      </c>
      <c r="K269" s="72" t="s">
        <v>2244</v>
      </c>
    </row>
    <row r="270" spans="2:11" x14ac:dyDescent="0.25">
      <c r="B270" s="31" t="s">
        <v>2292</v>
      </c>
      <c r="C270" s="40">
        <v>42993.549300115737</v>
      </c>
      <c r="D270" s="31" t="s">
        <v>1239</v>
      </c>
      <c r="E270" s="31">
        <v>3</v>
      </c>
      <c r="F270" s="41">
        <v>1800</v>
      </c>
      <c r="G270" s="40">
        <v>42982</v>
      </c>
      <c r="H270" s="31" t="s">
        <v>1182</v>
      </c>
      <c r="I270" s="47">
        <v>24</v>
      </c>
      <c r="J270" s="1">
        <v>270</v>
      </c>
      <c r="K270" s="72" t="s">
        <v>2244</v>
      </c>
    </row>
    <row r="271" spans="2:11" x14ac:dyDescent="0.25">
      <c r="B271" s="31" t="s">
        <v>2293</v>
      </c>
      <c r="C271" s="40">
        <v>42993.549300115737</v>
      </c>
      <c r="D271" s="31" t="s">
        <v>2270</v>
      </c>
      <c r="E271" s="31">
        <v>1</v>
      </c>
      <c r="F271" s="41">
        <v>1922.7</v>
      </c>
      <c r="G271" s="40">
        <v>42982</v>
      </c>
      <c r="H271" s="31" t="s">
        <v>1182</v>
      </c>
      <c r="I271" s="47">
        <v>24</v>
      </c>
      <c r="J271" s="1">
        <v>271</v>
      </c>
      <c r="K271" s="72" t="s">
        <v>2244</v>
      </c>
    </row>
    <row r="272" spans="2:11" x14ac:dyDescent="0.25">
      <c r="B272" s="31" t="s">
        <v>2294</v>
      </c>
      <c r="C272" s="40">
        <v>42993.549300115737</v>
      </c>
      <c r="D272" s="31" t="s">
        <v>2271</v>
      </c>
      <c r="E272" s="31">
        <v>1</v>
      </c>
      <c r="F272" s="41">
        <v>1922.7</v>
      </c>
      <c r="G272" s="40">
        <v>42982</v>
      </c>
      <c r="H272" s="31" t="s">
        <v>1182</v>
      </c>
      <c r="I272" s="47">
        <v>24</v>
      </c>
      <c r="J272" s="1">
        <v>272</v>
      </c>
      <c r="K272" s="72" t="s">
        <v>2244</v>
      </c>
    </row>
    <row r="273" spans="2:11" x14ac:dyDescent="0.25">
      <c r="B273" s="31" t="s">
        <v>2295</v>
      </c>
      <c r="C273" s="40">
        <v>42993.549300347222</v>
      </c>
      <c r="D273" s="31" t="s">
        <v>2272</v>
      </c>
      <c r="E273" s="31">
        <v>1</v>
      </c>
      <c r="F273" s="41">
        <v>624</v>
      </c>
      <c r="G273" s="40">
        <v>42982</v>
      </c>
      <c r="H273" s="31" t="s">
        <v>1182</v>
      </c>
      <c r="I273" s="47">
        <v>24</v>
      </c>
      <c r="J273" s="1">
        <v>273</v>
      </c>
      <c r="K273" s="72" t="s">
        <v>2244</v>
      </c>
    </row>
    <row r="274" spans="2:11" x14ac:dyDescent="0.25">
      <c r="B274" s="31" t="s">
        <v>2296</v>
      </c>
      <c r="C274" s="40">
        <v>42993.549300578707</v>
      </c>
      <c r="D274" s="31" t="s">
        <v>2273</v>
      </c>
      <c r="E274" s="31">
        <v>1</v>
      </c>
      <c r="F274" s="41">
        <v>180.96</v>
      </c>
      <c r="G274" s="40">
        <v>42982</v>
      </c>
      <c r="H274" s="31" t="s">
        <v>1182</v>
      </c>
      <c r="I274" s="47">
        <v>24</v>
      </c>
      <c r="J274" s="1">
        <v>274</v>
      </c>
      <c r="K274" s="72" t="s">
        <v>2244</v>
      </c>
    </row>
    <row r="275" spans="2:11" x14ac:dyDescent="0.25">
      <c r="B275" s="31" t="s">
        <v>2297</v>
      </c>
      <c r="C275" s="40">
        <v>42993.549300578707</v>
      </c>
      <c r="D275" s="31" t="s">
        <v>2274</v>
      </c>
      <c r="E275" s="31">
        <v>1</v>
      </c>
      <c r="F275" s="41">
        <v>180.96</v>
      </c>
      <c r="G275" s="40">
        <v>42982</v>
      </c>
      <c r="H275" s="31" t="s">
        <v>1182</v>
      </c>
      <c r="I275" s="47">
        <v>24</v>
      </c>
      <c r="J275" s="1">
        <v>275</v>
      </c>
      <c r="K275" s="72" t="s">
        <v>2244</v>
      </c>
    </row>
    <row r="276" spans="2:11" x14ac:dyDescent="0.25">
      <c r="B276" s="31" t="s">
        <v>2298</v>
      </c>
      <c r="C276" s="40">
        <v>42993.549300694445</v>
      </c>
      <c r="D276" s="31" t="s">
        <v>2275</v>
      </c>
      <c r="E276" s="31">
        <v>1</v>
      </c>
      <c r="F276" s="41">
        <v>510.9</v>
      </c>
      <c r="G276" s="40">
        <v>42982</v>
      </c>
      <c r="H276" s="31" t="s">
        <v>1182</v>
      </c>
      <c r="I276" s="47">
        <v>24</v>
      </c>
      <c r="J276" s="1">
        <v>276</v>
      </c>
      <c r="K276" s="72" t="s">
        <v>2244</v>
      </c>
    </row>
    <row r="277" spans="2:11" x14ac:dyDescent="0.25">
      <c r="B277" s="31" t="s">
        <v>2299</v>
      </c>
      <c r="C277" s="40">
        <v>42993.549300694445</v>
      </c>
      <c r="D277" s="31" t="s">
        <v>2276</v>
      </c>
      <c r="E277" s="31">
        <v>1</v>
      </c>
      <c r="F277" s="41">
        <v>240.24</v>
      </c>
      <c r="G277" s="40">
        <v>42982</v>
      </c>
      <c r="H277" s="31" t="s">
        <v>1182</v>
      </c>
      <c r="I277" s="47">
        <v>24</v>
      </c>
      <c r="J277" s="1">
        <v>277</v>
      </c>
      <c r="K277" s="72" t="s">
        <v>2244</v>
      </c>
    </row>
    <row r="278" spans="2:11" x14ac:dyDescent="0.25">
      <c r="B278" s="31" t="s">
        <v>2300</v>
      </c>
      <c r="C278" s="40">
        <v>42993.549300694445</v>
      </c>
      <c r="D278" s="31" t="s">
        <v>2277</v>
      </c>
      <c r="E278" s="31">
        <v>1</v>
      </c>
      <c r="F278" s="41">
        <v>514.79999999999995</v>
      </c>
      <c r="G278" s="40">
        <v>42982</v>
      </c>
      <c r="H278" s="31" t="s">
        <v>1182</v>
      </c>
      <c r="I278" s="47">
        <v>24</v>
      </c>
      <c r="J278" s="1">
        <v>278</v>
      </c>
      <c r="K278" s="72" t="s">
        <v>2244</v>
      </c>
    </row>
    <row r="279" spans="2:11" x14ac:dyDescent="0.25">
      <c r="B279" s="31" t="s">
        <v>2301</v>
      </c>
      <c r="C279" s="40">
        <v>42993.549300810184</v>
      </c>
      <c r="D279" s="31" t="s">
        <v>2278</v>
      </c>
      <c r="E279" s="31">
        <v>1</v>
      </c>
      <c r="F279" s="41">
        <v>510.9</v>
      </c>
      <c r="G279" s="40">
        <v>42983</v>
      </c>
      <c r="H279" s="31" t="s">
        <v>1182</v>
      </c>
      <c r="I279" s="47">
        <v>24</v>
      </c>
      <c r="J279" s="1">
        <v>279</v>
      </c>
      <c r="K279" s="72" t="s">
        <v>2244</v>
      </c>
    </row>
    <row r="280" spans="2:11" x14ac:dyDescent="0.25">
      <c r="B280" s="31" t="s">
        <v>2302</v>
      </c>
      <c r="C280" s="40">
        <v>42993.549300810184</v>
      </c>
      <c r="D280" s="31" t="s">
        <v>2279</v>
      </c>
      <c r="E280" s="31">
        <v>1</v>
      </c>
      <c r="F280" s="41">
        <v>240.24</v>
      </c>
      <c r="G280" s="40">
        <v>42983</v>
      </c>
      <c r="H280" s="31" t="s">
        <v>1182</v>
      </c>
      <c r="I280" s="47">
        <v>24</v>
      </c>
      <c r="J280" s="1">
        <v>280</v>
      </c>
      <c r="K280" s="72" t="s">
        <v>2244</v>
      </c>
    </row>
    <row r="281" spans="2:11" x14ac:dyDescent="0.25">
      <c r="B281" s="31" t="s">
        <v>2303</v>
      </c>
      <c r="C281" s="40">
        <v>42993.549300810184</v>
      </c>
      <c r="D281" s="31" t="s">
        <v>2280</v>
      </c>
      <c r="E281" s="31">
        <v>1</v>
      </c>
      <c r="F281" s="41">
        <v>487.5</v>
      </c>
      <c r="G281" s="40">
        <v>42984</v>
      </c>
      <c r="H281" s="31" t="s">
        <v>1182</v>
      </c>
      <c r="I281" s="47">
        <v>24</v>
      </c>
      <c r="J281" s="1">
        <v>281</v>
      </c>
      <c r="K281" s="72" t="s">
        <v>2244</v>
      </c>
    </row>
    <row r="282" spans="2:11" x14ac:dyDescent="0.25">
      <c r="B282" s="31" t="s">
        <v>2304</v>
      </c>
      <c r="C282" s="40">
        <v>42993.584969212963</v>
      </c>
      <c r="D282" s="31" t="s">
        <v>1243</v>
      </c>
      <c r="E282" s="31">
        <v>20</v>
      </c>
      <c r="F282" s="41">
        <v>0</v>
      </c>
      <c r="G282" s="40">
        <v>42880</v>
      </c>
      <c r="H282" s="31" t="s">
        <v>1188</v>
      </c>
      <c r="I282" s="47">
        <v>5</v>
      </c>
      <c r="J282" s="1">
        <v>282</v>
      </c>
      <c r="K282" s="72" t="s">
        <v>1920</v>
      </c>
    </row>
    <row r="283" spans="2:11" x14ac:dyDescent="0.25">
      <c r="B283" s="31" t="s">
        <v>2307</v>
      </c>
      <c r="C283" s="40">
        <v>42993.585013888885</v>
      </c>
      <c r="D283" s="31" t="s">
        <v>2305</v>
      </c>
      <c r="E283" s="31">
        <v>20</v>
      </c>
      <c r="F283" s="41">
        <v>0</v>
      </c>
      <c r="G283" s="40">
        <v>42975</v>
      </c>
      <c r="H283" s="31" t="s">
        <v>1188</v>
      </c>
      <c r="I283" s="47">
        <v>5</v>
      </c>
      <c r="J283" s="1">
        <v>283</v>
      </c>
      <c r="K283" s="72" t="s">
        <v>2306</v>
      </c>
    </row>
    <row r="284" spans="2:11" x14ac:dyDescent="0.25">
      <c r="B284" s="31" t="s">
        <v>2308</v>
      </c>
      <c r="C284" s="40">
        <v>42993.591270949073</v>
      </c>
      <c r="D284" s="31" t="s">
        <v>2309</v>
      </c>
      <c r="E284" s="31">
        <v>20</v>
      </c>
      <c r="F284" s="41">
        <v>0</v>
      </c>
      <c r="G284" s="40">
        <v>42943</v>
      </c>
      <c r="I284" s="47">
        <v>4</v>
      </c>
      <c r="J284" s="1">
        <v>284</v>
      </c>
    </row>
    <row r="285" spans="2:11" x14ac:dyDescent="0.25">
      <c r="B285" s="31" t="s">
        <v>2312</v>
      </c>
      <c r="C285" s="40">
        <v>42993.593732060188</v>
      </c>
      <c r="D285" s="31" t="s">
        <v>2310</v>
      </c>
      <c r="E285" s="31">
        <v>20</v>
      </c>
      <c r="F285" s="41">
        <v>0</v>
      </c>
      <c r="G285" s="40">
        <v>42943</v>
      </c>
      <c r="I285" s="47">
        <v>4</v>
      </c>
      <c r="J285" s="1">
        <v>285</v>
      </c>
    </row>
    <row r="286" spans="2:11" x14ac:dyDescent="0.25">
      <c r="B286" s="31" t="s">
        <v>2313</v>
      </c>
      <c r="C286" s="40">
        <v>42993.593732060188</v>
      </c>
      <c r="D286" s="31" t="s">
        <v>2311</v>
      </c>
      <c r="E286" s="31">
        <v>20</v>
      </c>
      <c r="F286" s="41">
        <v>0</v>
      </c>
      <c r="G286" s="40">
        <v>42943</v>
      </c>
      <c r="I286" s="47">
        <v>4</v>
      </c>
      <c r="J286" s="1">
        <v>286</v>
      </c>
    </row>
    <row r="287" spans="2:11" x14ac:dyDescent="0.25">
      <c r="B287" s="31" t="s">
        <v>2314</v>
      </c>
      <c r="C287" s="40">
        <v>42993.593732291665</v>
      </c>
      <c r="D287" s="31" t="s">
        <v>1174</v>
      </c>
      <c r="E287" s="31">
        <v>20</v>
      </c>
      <c r="F287" s="41">
        <v>0</v>
      </c>
      <c r="G287" s="40">
        <v>42943</v>
      </c>
      <c r="I287" s="47">
        <v>4</v>
      </c>
      <c r="J287" s="1">
        <v>287</v>
      </c>
    </row>
    <row r="288" spans="2:11" x14ac:dyDescent="0.25">
      <c r="B288" s="31" t="s">
        <v>2315</v>
      </c>
      <c r="C288" s="40">
        <v>42993.605396643521</v>
      </c>
      <c r="D288" s="31" t="s">
        <v>1174</v>
      </c>
      <c r="E288" s="31">
        <v>20</v>
      </c>
      <c r="F288" s="41">
        <v>0</v>
      </c>
      <c r="G288" s="40">
        <v>42956</v>
      </c>
      <c r="I288" s="47">
        <v>4</v>
      </c>
      <c r="J288" s="1">
        <v>288</v>
      </c>
    </row>
    <row r="289" spans="2:11" x14ac:dyDescent="0.25">
      <c r="B289" s="31" t="s">
        <v>2319</v>
      </c>
      <c r="C289" s="40">
        <v>42993.605447800925</v>
      </c>
      <c r="D289" s="31" t="s">
        <v>2316</v>
      </c>
      <c r="E289" s="31">
        <v>20</v>
      </c>
      <c r="F289" s="41">
        <v>0</v>
      </c>
      <c r="G289" s="40">
        <v>42956</v>
      </c>
      <c r="I289" s="47">
        <v>4</v>
      </c>
      <c r="J289" s="1">
        <v>289</v>
      </c>
    </row>
    <row r="290" spans="2:11" x14ac:dyDescent="0.25">
      <c r="B290" s="31" t="s">
        <v>2320</v>
      </c>
      <c r="C290" s="40">
        <v>42993.605448032409</v>
      </c>
      <c r="D290" s="31" t="s">
        <v>2317</v>
      </c>
      <c r="E290" s="31">
        <v>20</v>
      </c>
      <c r="F290" s="41">
        <v>0</v>
      </c>
      <c r="G290" s="40">
        <v>42956</v>
      </c>
      <c r="I290" s="47">
        <v>4</v>
      </c>
      <c r="J290" s="1">
        <v>290</v>
      </c>
    </row>
    <row r="291" spans="2:11" x14ac:dyDescent="0.25">
      <c r="B291" s="31" t="s">
        <v>2321</v>
      </c>
      <c r="C291" s="40">
        <v>42993.605448032409</v>
      </c>
      <c r="D291" s="31" t="s">
        <v>2318</v>
      </c>
      <c r="E291" s="31">
        <v>20</v>
      </c>
      <c r="F291" s="41">
        <v>0</v>
      </c>
      <c r="G291" s="40">
        <v>42956</v>
      </c>
      <c r="I291" s="47">
        <v>4</v>
      </c>
      <c r="J291" s="1">
        <v>291</v>
      </c>
    </row>
    <row r="292" spans="2:11" x14ac:dyDescent="0.25">
      <c r="B292" s="31" t="s">
        <v>2322</v>
      </c>
      <c r="C292" s="40">
        <v>42993.622727199072</v>
      </c>
      <c r="D292" s="31" t="s">
        <v>2323</v>
      </c>
      <c r="E292" s="31">
        <v>20</v>
      </c>
      <c r="F292" s="41">
        <v>0</v>
      </c>
      <c r="G292" s="40">
        <v>42977</v>
      </c>
      <c r="H292" s="31" t="s">
        <v>1188</v>
      </c>
      <c r="I292" s="47">
        <v>1</v>
      </c>
      <c r="J292" s="1">
        <v>292</v>
      </c>
      <c r="K292" s="72" t="s">
        <v>2154</v>
      </c>
    </row>
    <row r="293" spans="2:11" x14ac:dyDescent="0.25">
      <c r="B293" s="31" t="s">
        <v>2325</v>
      </c>
      <c r="C293" s="40">
        <v>42993.693910416667</v>
      </c>
      <c r="D293" s="31" t="s">
        <v>2326</v>
      </c>
      <c r="E293" s="31">
        <v>20</v>
      </c>
      <c r="G293" s="40">
        <v>42993</v>
      </c>
      <c r="H293" s="31" t="s">
        <v>1182</v>
      </c>
      <c r="I293" s="47">
        <v>1</v>
      </c>
      <c r="J293" s="1">
        <v>293</v>
      </c>
      <c r="K293" s="72" t="s">
        <v>2327</v>
      </c>
    </row>
    <row r="294" spans="2:11" x14ac:dyDescent="0.25">
      <c r="B294" s="31" t="s">
        <v>2324</v>
      </c>
      <c r="C294" s="40">
        <v>42993.703297222222</v>
      </c>
      <c r="D294" s="31" t="s">
        <v>2328</v>
      </c>
      <c r="E294" s="31">
        <v>20</v>
      </c>
      <c r="F294" s="41">
        <v>0</v>
      </c>
      <c r="G294" s="40">
        <v>42993</v>
      </c>
      <c r="H294" s="31" t="s">
        <v>1182</v>
      </c>
      <c r="I294" s="47">
        <v>4</v>
      </c>
      <c r="J294" s="1">
        <v>294</v>
      </c>
      <c r="K294" s="72" t="s">
        <v>1937</v>
      </c>
    </row>
    <row r="295" spans="2:11" x14ac:dyDescent="0.25">
      <c r="B295" s="31" t="s">
        <v>2329</v>
      </c>
      <c r="C295" s="40">
        <v>42993.703331018522</v>
      </c>
      <c r="D295" s="31" t="s">
        <v>2272</v>
      </c>
      <c r="E295" s="31">
        <v>20</v>
      </c>
      <c r="F295" s="41">
        <v>0</v>
      </c>
      <c r="G295" s="40">
        <v>42993</v>
      </c>
      <c r="H295" s="31" t="s">
        <v>1182</v>
      </c>
      <c r="I295" s="47">
        <v>4</v>
      </c>
      <c r="J295" s="1">
        <v>295</v>
      </c>
      <c r="K295" s="72" t="s">
        <v>1937</v>
      </c>
    </row>
    <row r="296" spans="2:11" x14ac:dyDescent="0.25">
      <c r="B296" s="31" t="s">
        <v>2322</v>
      </c>
      <c r="C296" s="40">
        <v>42994.446263194448</v>
      </c>
      <c r="D296" s="31" t="s">
        <v>2331</v>
      </c>
      <c r="E296" s="31">
        <v>10</v>
      </c>
      <c r="F296" s="41">
        <v>3500</v>
      </c>
      <c r="I296" s="47">
        <v>1</v>
      </c>
      <c r="J296" s="1">
        <v>296</v>
      </c>
    </row>
    <row r="297" spans="2:11" x14ac:dyDescent="0.25">
      <c r="B297" s="31" t="s">
        <v>2330</v>
      </c>
      <c r="C297" s="40">
        <v>42994.486476157406</v>
      </c>
      <c r="D297" s="31" t="s">
        <v>2332</v>
      </c>
      <c r="E297" s="31">
        <v>1</v>
      </c>
      <c r="F297" s="41">
        <v>487.5</v>
      </c>
      <c r="G297" s="40">
        <v>42994</v>
      </c>
      <c r="H297" s="31" t="s">
        <v>1993</v>
      </c>
      <c r="I297" s="47">
        <v>2</v>
      </c>
      <c r="J297" s="1">
        <v>297</v>
      </c>
      <c r="K297" s="72" t="s">
        <v>2154</v>
      </c>
    </row>
    <row r="298" spans="2:11" x14ac:dyDescent="0.25">
      <c r="B298" s="31" t="s">
        <v>2333</v>
      </c>
      <c r="C298" s="40">
        <v>42994.486516666664</v>
      </c>
      <c r="D298" s="31" t="s">
        <v>2277</v>
      </c>
      <c r="E298" s="31">
        <v>1</v>
      </c>
      <c r="F298" s="41">
        <v>678.6</v>
      </c>
      <c r="G298" s="40">
        <v>42994</v>
      </c>
      <c r="H298" s="31" t="s">
        <v>1993</v>
      </c>
      <c r="I298" s="47">
        <v>2</v>
      </c>
      <c r="J298" s="1">
        <v>298</v>
      </c>
      <c r="K298" s="72" t="s">
        <v>2154</v>
      </c>
    </row>
    <row r="299" spans="2:11" x14ac:dyDescent="0.25">
      <c r="B299" s="31" t="s">
        <v>2335</v>
      </c>
      <c r="C299" s="40">
        <v>42994.550525462961</v>
      </c>
      <c r="D299" s="31" t="s">
        <v>2334</v>
      </c>
      <c r="E299" s="31">
        <v>20</v>
      </c>
      <c r="G299" s="40">
        <v>42994</v>
      </c>
      <c r="H299" s="31" t="s">
        <v>1182</v>
      </c>
      <c r="I299" s="47">
        <v>7</v>
      </c>
      <c r="J299" s="1">
        <v>299</v>
      </c>
      <c r="K299" s="72" t="s">
        <v>2044</v>
      </c>
    </row>
    <row r="300" spans="2:11" x14ac:dyDescent="0.25">
      <c r="B300" s="31" t="s">
        <v>2336</v>
      </c>
      <c r="C300" s="40">
        <v>42994.615698379632</v>
      </c>
      <c r="D300" s="31" t="s">
        <v>2043</v>
      </c>
      <c r="E300" s="31">
        <v>1</v>
      </c>
      <c r="F300" s="41">
        <v>6930</v>
      </c>
      <c r="G300" s="40">
        <v>42994</v>
      </c>
      <c r="H300" s="31" t="s">
        <v>1182</v>
      </c>
      <c r="I300" s="47">
        <v>7</v>
      </c>
      <c r="J300" s="1">
        <v>300</v>
      </c>
      <c r="K300" s="72" t="s">
        <v>2044</v>
      </c>
    </row>
    <row r="301" spans="2:11" x14ac:dyDescent="0.25">
      <c r="B301" s="31" t="s">
        <v>2337</v>
      </c>
      <c r="C301" s="40">
        <v>42996.460198611108</v>
      </c>
      <c r="D301" s="31" t="s">
        <v>2338</v>
      </c>
      <c r="E301" s="31">
        <v>20</v>
      </c>
      <c r="F301" s="41">
        <v>0</v>
      </c>
      <c r="G301" s="40">
        <v>42996</v>
      </c>
      <c r="H301" s="31" t="s">
        <v>1182</v>
      </c>
      <c r="I301" s="47">
        <v>1</v>
      </c>
      <c r="J301" s="1">
        <v>301</v>
      </c>
      <c r="K301" s="72" t="s">
        <v>2044</v>
      </c>
    </row>
    <row r="302" spans="2:11" x14ac:dyDescent="0.25">
      <c r="B302" s="31" t="s">
        <v>2388</v>
      </c>
      <c r="C302" s="40">
        <v>42997.681987847223</v>
      </c>
      <c r="D302" s="31" t="s">
        <v>2389</v>
      </c>
      <c r="E302" s="31">
        <v>20</v>
      </c>
      <c r="F302" s="41">
        <v>0</v>
      </c>
      <c r="G302" s="40">
        <v>42997</v>
      </c>
      <c r="H302" s="31" t="s">
        <v>1993</v>
      </c>
      <c r="I302" s="47">
        <v>2</v>
      </c>
      <c r="J302" s="1">
        <v>302</v>
      </c>
      <c r="K302" s="72" t="s">
        <v>1920</v>
      </c>
    </row>
    <row r="303" spans="2:11" x14ac:dyDescent="0.25">
      <c r="B303" s="31" t="s">
        <v>2390</v>
      </c>
      <c r="C303" s="40">
        <v>42998.410969560187</v>
      </c>
      <c r="D303" s="31" t="s">
        <v>2392</v>
      </c>
      <c r="E303" s="31">
        <v>20</v>
      </c>
      <c r="F303" s="41">
        <v>0</v>
      </c>
      <c r="G303" s="40">
        <v>42997</v>
      </c>
      <c r="H303" s="31" t="s">
        <v>1182</v>
      </c>
      <c r="I303" s="47">
        <v>4</v>
      </c>
      <c r="J303" s="1">
        <v>303</v>
      </c>
      <c r="K303" s="72" t="s">
        <v>2393</v>
      </c>
    </row>
    <row r="304" spans="2:11" x14ac:dyDescent="0.25">
      <c r="B304" s="31" t="s">
        <v>2394</v>
      </c>
      <c r="C304" s="40">
        <v>42998.410969907411</v>
      </c>
      <c r="D304" s="31" t="s">
        <v>2391</v>
      </c>
      <c r="E304" s="31">
        <v>20</v>
      </c>
      <c r="F304" s="41">
        <v>0</v>
      </c>
      <c r="G304" s="40">
        <v>42997</v>
      </c>
      <c r="H304" s="31" t="s">
        <v>1182</v>
      </c>
      <c r="I304" s="47">
        <v>4</v>
      </c>
      <c r="J304" s="1">
        <v>304</v>
      </c>
      <c r="K304" s="72" t="s">
        <v>2393</v>
      </c>
    </row>
    <row r="305" spans="2:11" x14ac:dyDescent="0.25">
      <c r="B305" s="31" t="s">
        <v>2395</v>
      </c>
      <c r="C305" s="40">
        <v>42998.417922800923</v>
      </c>
      <c r="D305" s="31" t="s">
        <v>2396</v>
      </c>
      <c r="E305" s="31">
        <v>1</v>
      </c>
      <c r="F305" s="41">
        <v>1296</v>
      </c>
      <c r="G305" s="40">
        <v>42996</v>
      </c>
      <c r="H305" s="31" t="s">
        <v>1182</v>
      </c>
      <c r="I305" s="47">
        <v>1</v>
      </c>
      <c r="J305" s="1">
        <v>305</v>
      </c>
      <c r="K305" s="72" t="s">
        <v>2115</v>
      </c>
    </row>
    <row r="306" spans="2:11" x14ac:dyDescent="0.25">
      <c r="B306" s="31" t="s">
        <v>2397</v>
      </c>
      <c r="C306" s="40">
        <v>42998.433745717593</v>
      </c>
      <c r="D306" s="31" t="s">
        <v>2398</v>
      </c>
      <c r="E306" s="31">
        <v>20</v>
      </c>
      <c r="F306" s="41">
        <v>0</v>
      </c>
      <c r="G306" s="40">
        <v>22179</v>
      </c>
      <c r="H306" s="31" t="s">
        <v>1993</v>
      </c>
      <c r="I306" s="47">
        <v>1</v>
      </c>
      <c r="J306" s="1">
        <v>306</v>
      </c>
      <c r="K306" s="72" t="s">
        <v>1998</v>
      </c>
    </row>
    <row r="307" spans="2:11" x14ac:dyDescent="0.25">
      <c r="B307" s="31" t="s">
        <v>2399</v>
      </c>
      <c r="C307" s="40">
        <v>42998.583134606481</v>
      </c>
      <c r="D307" s="31" t="s">
        <v>2318</v>
      </c>
      <c r="E307" s="31">
        <v>20</v>
      </c>
      <c r="F307" s="41">
        <v>0</v>
      </c>
      <c r="G307" s="40">
        <v>22147</v>
      </c>
      <c r="H307" s="31" t="s">
        <v>1492</v>
      </c>
      <c r="I307" s="47">
        <v>1</v>
      </c>
      <c r="J307" s="1">
        <v>307</v>
      </c>
      <c r="K307" s="72" t="s">
        <v>2154</v>
      </c>
    </row>
    <row r="308" spans="2:11" x14ac:dyDescent="0.25">
      <c r="B308" s="31" t="s">
        <v>2400</v>
      </c>
      <c r="C308" s="40">
        <v>42999.454327199077</v>
      </c>
      <c r="D308" s="31" t="s">
        <v>1332</v>
      </c>
      <c r="E308" s="31">
        <v>20</v>
      </c>
      <c r="F308" s="41">
        <v>0</v>
      </c>
      <c r="G308" s="40">
        <v>42998</v>
      </c>
      <c r="H308" s="31" t="s">
        <v>1182</v>
      </c>
      <c r="I308" s="47">
        <v>3</v>
      </c>
      <c r="J308" s="1">
        <v>308</v>
      </c>
      <c r="K308" s="72" t="s">
        <v>2405</v>
      </c>
    </row>
    <row r="309" spans="2:11" x14ac:dyDescent="0.25">
      <c r="B309" s="31" t="s">
        <v>2403</v>
      </c>
      <c r="C309" s="40">
        <v>42999.454366319442</v>
      </c>
      <c r="D309" s="31" t="s">
        <v>2401</v>
      </c>
      <c r="E309" s="31">
        <v>20</v>
      </c>
      <c r="F309" s="41">
        <v>0</v>
      </c>
      <c r="G309" s="40">
        <v>42998</v>
      </c>
      <c r="H309" s="31" t="s">
        <v>1182</v>
      </c>
      <c r="I309" s="47">
        <v>3</v>
      </c>
      <c r="J309" s="1">
        <v>309</v>
      </c>
      <c r="K309" s="72" t="s">
        <v>2405</v>
      </c>
    </row>
    <row r="310" spans="2:11" x14ac:dyDescent="0.25">
      <c r="B310" s="31" t="s">
        <v>2404</v>
      </c>
      <c r="C310" s="40">
        <v>42999.454366550926</v>
      </c>
      <c r="D310" s="31" t="s">
        <v>2402</v>
      </c>
      <c r="E310" s="31">
        <v>20</v>
      </c>
      <c r="F310" s="41">
        <v>0</v>
      </c>
      <c r="G310" s="40">
        <v>42998</v>
      </c>
      <c r="H310" s="31" t="s">
        <v>1182</v>
      </c>
      <c r="I310" s="47">
        <v>3</v>
      </c>
      <c r="J310" s="1">
        <v>310</v>
      </c>
      <c r="K310" s="72" t="s">
        <v>2405</v>
      </c>
    </row>
    <row r="311" spans="2:11" x14ac:dyDescent="0.25">
      <c r="B311" s="31" t="s">
        <v>2406</v>
      </c>
      <c r="C311" s="40">
        <v>42999.566248842595</v>
      </c>
      <c r="D311" s="31" t="s">
        <v>1246</v>
      </c>
      <c r="E311" s="31">
        <v>20</v>
      </c>
      <c r="F311" s="41">
        <v>0</v>
      </c>
      <c r="G311" s="40">
        <v>42999</v>
      </c>
      <c r="H311" s="31" t="s">
        <v>1993</v>
      </c>
      <c r="I311" s="47">
        <v>3</v>
      </c>
      <c r="J311" s="1">
        <v>311</v>
      </c>
      <c r="K311" s="72" t="s">
        <v>1920</v>
      </c>
    </row>
    <row r="312" spans="2:11" x14ac:dyDescent="0.25">
      <c r="B312" s="31" t="s">
        <v>2408</v>
      </c>
      <c r="C312" s="40">
        <v>42999.566288657406</v>
      </c>
      <c r="D312" s="31" t="s">
        <v>2277</v>
      </c>
      <c r="E312" s="31">
        <v>20</v>
      </c>
      <c r="F312" s="41">
        <v>0</v>
      </c>
      <c r="G312" s="40">
        <v>42999</v>
      </c>
      <c r="H312" s="31" t="s">
        <v>1993</v>
      </c>
      <c r="I312" s="47">
        <v>3</v>
      </c>
      <c r="J312" s="1">
        <v>312</v>
      </c>
      <c r="K312" s="72" t="s">
        <v>2407</v>
      </c>
    </row>
    <row r="313" spans="2:11" x14ac:dyDescent="0.25">
      <c r="B313" s="31" t="s">
        <v>2413</v>
      </c>
      <c r="C313" s="40">
        <v>42999.577457870371</v>
      </c>
      <c r="D313" s="31" t="s">
        <v>2409</v>
      </c>
      <c r="E313" s="31">
        <v>20</v>
      </c>
      <c r="F313" s="41">
        <v>0</v>
      </c>
      <c r="G313" s="40">
        <v>42999</v>
      </c>
      <c r="H313" s="31" t="s">
        <v>1993</v>
      </c>
      <c r="I313" s="47">
        <v>3</v>
      </c>
      <c r="J313" s="1">
        <v>313</v>
      </c>
      <c r="K313" s="72" t="s">
        <v>2412</v>
      </c>
    </row>
    <row r="314" spans="2:11" x14ac:dyDescent="0.25">
      <c r="B314" s="31" t="s">
        <v>2414</v>
      </c>
      <c r="C314" s="40">
        <v>42999.577482870372</v>
      </c>
      <c r="D314" s="31" t="s">
        <v>2410</v>
      </c>
      <c r="E314" s="31">
        <v>20</v>
      </c>
      <c r="F314" s="41">
        <v>0</v>
      </c>
      <c r="G314" s="40">
        <v>42999</v>
      </c>
      <c r="H314" s="31" t="s">
        <v>1993</v>
      </c>
      <c r="I314" s="47">
        <v>3</v>
      </c>
      <c r="J314" s="1">
        <v>314</v>
      </c>
      <c r="K314" s="72" t="s">
        <v>2412</v>
      </c>
    </row>
    <row r="315" spans="2:11" x14ac:dyDescent="0.25">
      <c r="B315" s="31" t="s">
        <v>2415</v>
      </c>
      <c r="C315" s="40">
        <v>42999.577482986111</v>
      </c>
      <c r="D315" s="31" t="s">
        <v>2411</v>
      </c>
      <c r="E315" s="31">
        <v>20</v>
      </c>
      <c r="F315" s="41">
        <v>0</v>
      </c>
      <c r="G315" s="40">
        <v>42999</v>
      </c>
      <c r="H315" s="31" t="s">
        <v>1993</v>
      </c>
      <c r="I315" s="47">
        <v>3</v>
      </c>
      <c r="J315" s="1">
        <v>315</v>
      </c>
      <c r="K315" s="72" t="s">
        <v>2412</v>
      </c>
    </row>
    <row r="316" spans="2:11" x14ac:dyDescent="0.25">
      <c r="B316" s="31" t="s">
        <v>2416</v>
      </c>
      <c r="C316" s="40">
        <v>42999.60568414352</v>
      </c>
      <c r="D316" s="31" t="s">
        <v>1174</v>
      </c>
      <c r="E316" s="31">
        <v>20</v>
      </c>
      <c r="F316" s="41">
        <v>0</v>
      </c>
      <c r="G316" s="40">
        <v>42999</v>
      </c>
      <c r="H316" s="31" t="s">
        <v>1182</v>
      </c>
      <c r="I316" s="47">
        <v>4</v>
      </c>
      <c r="J316" s="1">
        <v>316</v>
      </c>
      <c r="K316" s="72" t="s">
        <v>2084</v>
      </c>
    </row>
    <row r="317" spans="2:11" x14ac:dyDescent="0.25">
      <c r="B317" s="31" t="s">
        <v>2420</v>
      </c>
      <c r="C317" s="40">
        <v>42999.605685995368</v>
      </c>
      <c r="D317" s="31" t="s">
        <v>2417</v>
      </c>
      <c r="E317" s="31">
        <v>20</v>
      </c>
      <c r="F317" s="41">
        <v>0</v>
      </c>
      <c r="G317" s="40">
        <v>42999</v>
      </c>
      <c r="H317" s="31" t="s">
        <v>1182</v>
      </c>
      <c r="I317" s="47">
        <v>4</v>
      </c>
      <c r="J317" s="1">
        <v>317</v>
      </c>
      <c r="K317" s="72" t="s">
        <v>1897</v>
      </c>
    </row>
    <row r="318" spans="2:11" x14ac:dyDescent="0.25">
      <c r="B318" s="31" t="s">
        <v>2421</v>
      </c>
      <c r="C318" s="40">
        <v>42999.605686226852</v>
      </c>
      <c r="D318" s="31" t="s">
        <v>2418</v>
      </c>
      <c r="E318" s="31">
        <v>20</v>
      </c>
      <c r="F318" s="41">
        <v>0</v>
      </c>
      <c r="G318" s="40">
        <v>42999</v>
      </c>
      <c r="H318" s="31" t="s">
        <v>1182</v>
      </c>
      <c r="I318" s="47">
        <v>4</v>
      </c>
      <c r="J318" s="1">
        <v>318</v>
      </c>
      <c r="K318" s="72" t="s">
        <v>1897</v>
      </c>
    </row>
    <row r="319" spans="2:11" x14ac:dyDescent="0.25">
      <c r="B319" s="31" t="s">
        <v>2422</v>
      </c>
      <c r="C319" s="40">
        <v>42999.605686342591</v>
      </c>
      <c r="D319" s="31" t="s">
        <v>2419</v>
      </c>
      <c r="E319" s="31">
        <v>20</v>
      </c>
      <c r="F319" s="41">
        <v>0</v>
      </c>
      <c r="G319" s="40">
        <v>42999</v>
      </c>
      <c r="H319" s="31" t="s">
        <v>1182</v>
      </c>
      <c r="I319" s="47">
        <v>4</v>
      </c>
      <c r="J319" s="1">
        <v>319</v>
      </c>
      <c r="K319" s="72" t="s">
        <v>1897</v>
      </c>
    </row>
    <row r="320" spans="2:11" x14ac:dyDescent="0.25">
      <c r="B320" s="31" t="s">
        <v>2423</v>
      </c>
      <c r="C320" s="40">
        <v>43000.401823379631</v>
      </c>
      <c r="D320" s="31" t="s">
        <v>1174</v>
      </c>
      <c r="E320" s="31">
        <v>5</v>
      </c>
      <c r="F320" s="41">
        <v>0</v>
      </c>
      <c r="G320" s="40">
        <v>43000</v>
      </c>
      <c r="H320" s="31" t="s">
        <v>1188</v>
      </c>
      <c r="I320" s="47">
        <v>15</v>
      </c>
      <c r="J320" s="1">
        <v>320</v>
      </c>
      <c r="K320" s="72" t="s">
        <v>2437</v>
      </c>
    </row>
    <row r="321" spans="2:11" x14ac:dyDescent="0.25">
      <c r="B321" s="31" t="s">
        <v>2429</v>
      </c>
      <c r="C321" s="40">
        <v>43000.402912962963</v>
      </c>
      <c r="D321" s="31" t="s">
        <v>2424</v>
      </c>
      <c r="E321" s="31">
        <v>5</v>
      </c>
      <c r="F321" s="41">
        <v>0</v>
      </c>
      <c r="G321" s="40">
        <v>43000</v>
      </c>
      <c r="H321" s="31" t="s">
        <v>1188</v>
      </c>
      <c r="I321" s="47">
        <v>15</v>
      </c>
      <c r="J321" s="1">
        <v>321</v>
      </c>
      <c r="K321" s="72" t="s">
        <v>2437</v>
      </c>
    </row>
    <row r="322" spans="2:11" x14ac:dyDescent="0.25">
      <c r="B322" s="31" t="s">
        <v>2430</v>
      </c>
      <c r="C322" s="40">
        <v>43000.402912962963</v>
      </c>
      <c r="D322" s="31" t="s">
        <v>2425</v>
      </c>
      <c r="E322" s="31">
        <v>5</v>
      </c>
      <c r="F322" s="41">
        <v>0</v>
      </c>
      <c r="G322" s="40">
        <v>43000</v>
      </c>
      <c r="H322" s="31" t="s">
        <v>1188</v>
      </c>
      <c r="I322" s="47">
        <v>15</v>
      </c>
      <c r="J322" s="1">
        <v>322</v>
      </c>
      <c r="K322" s="72" t="s">
        <v>2437</v>
      </c>
    </row>
    <row r="323" spans="2:11" x14ac:dyDescent="0.25">
      <c r="B323" s="31" t="s">
        <v>2431</v>
      </c>
      <c r="C323" s="40">
        <v>43000.402913078702</v>
      </c>
      <c r="D323" s="31" t="s">
        <v>1332</v>
      </c>
      <c r="E323" s="31">
        <v>5</v>
      </c>
      <c r="G323" s="40">
        <v>43000</v>
      </c>
      <c r="H323" s="31" t="s">
        <v>1188</v>
      </c>
      <c r="I323" s="47">
        <v>15</v>
      </c>
      <c r="J323" s="1">
        <v>323</v>
      </c>
      <c r="K323" s="72" t="s">
        <v>2437</v>
      </c>
    </row>
    <row r="324" spans="2:11" x14ac:dyDescent="0.25">
      <c r="B324" s="31" t="s">
        <v>2432</v>
      </c>
      <c r="C324" s="40">
        <v>43000.402913078702</v>
      </c>
      <c r="D324" s="31" t="s">
        <v>2268</v>
      </c>
      <c r="E324" s="31">
        <v>5</v>
      </c>
      <c r="F324" s="41">
        <v>0</v>
      </c>
      <c r="G324" s="40">
        <v>43000</v>
      </c>
      <c r="H324" s="31" t="s">
        <v>1188</v>
      </c>
      <c r="I324" s="47">
        <v>15</v>
      </c>
      <c r="J324" s="1">
        <v>324</v>
      </c>
      <c r="K324" s="72" t="s">
        <v>2437</v>
      </c>
    </row>
    <row r="325" spans="2:11" x14ac:dyDescent="0.25">
      <c r="B325" s="31" t="s">
        <v>2433</v>
      </c>
      <c r="C325" s="40">
        <v>43000.402913310187</v>
      </c>
      <c r="D325" s="31" t="s">
        <v>2426</v>
      </c>
      <c r="E325" s="31">
        <v>5</v>
      </c>
      <c r="F325" s="41">
        <v>0</v>
      </c>
      <c r="G325" s="40">
        <v>43000</v>
      </c>
      <c r="H325" s="31" t="s">
        <v>1188</v>
      </c>
      <c r="I325" s="47">
        <v>15</v>
      </c>
      <c r="J325" s="1">
        <v>325</v>
      </c>
      <c r="K325" s="72" t="s">
        <v>2437</v>
      </c>
    </row>
    <row r="326" spans="2:11" x14ac:dyDescent="0.25">
      <c r="B326" s="31" t="s">
        <v>2434</v>
      </c>
      <c r="C326" s="40">
        <v>43000.402913310187</v>
      </c>
      <c r="D326" s="31" t="s">
        <v>2427</v>
      </c>
      <c r="E326" s="31">
        <v>5</v>
      </c>
      <c r="F326" s="41">
        <v>0</v>
      </c>
      <c r="G326" s="40">
        <v>43000</v>
      </c>
      <c r="H326" s="31" t="s">
        <v>1188</v>
      </c>
      <c r="I326" s="47">
        <v>15</v>
      </c>
      <c r="J326" s="1">
        <v>326</v>
      </c>
      <c r="K326" s="72" t="s">
        <v>2437</v>
      </c>
    </row>
    <row r="327" spans="2:11" x14ac:dyDescent="0.25">
      <c r="B327" s="31" t="s">
        <v>2435</v>
      </c>
      <c r="C327" s="40">
        <v>43000.402913541664</v>
      </c>
      <c r="D327" s="31" t="s">
        <v>2428</v>
      </c>
      <c r="E327" s="31">
        <v>5</v>
      </c>
      <c r="F327" s="41">
        <v>0</v>
      </c>
      <c r="G327" s="40">
        <v>43000</v>
      </c>
      <c r="H327" s="31" t="s">
        <v>1188</v>
      </c>
      <c r="I327" s="47">
        <v>15</v>
      </c>
      <c r="J327" s="1">
        <v>327</v>
      </c>
      <c r="K327" s="72" t="s">
        <v>2437</v>
      </c>
    </row>
    <row r="328" spans="2:11" x14ac:dyDescent="0.25">
      <c r="B328" s="31" t="s">
        <v>2436</v>
      </c>
      <c r="C328" s="40">
        <v>43000.402913541664</v>
      </c>
      <c r="D328" s="31" t="s">
        <v>2222</v>
      </c>
      <c r="E328" s="31">
        <v>5</v>
      </c>
      <c r="F328" s="41">
        <v>0</v>
      </c>
      <c r="G328" s="40">
        <v>43000</v>
      </c>
      <c r="H328" s="31" t="s">
        <v>1188</v>
      </c>
      <c r="I328" s="47">
        <v>15</v>
      </c>
      <c r="J328" s="1">
        <v>328</v>
      </c>
      <c r="K328" s="72" t="s">
        <v>2437</v>
      </c>
    </row>
    <row r="329" spans="2:11" x14ac:dyDescent="0.25">
      <c r="B329" s="31" t="s">
        <v>2439</v>
      </c>
      <c r="C329" s="40">
        <v>43000.651770949073</v>
      </c>
      <c r="D329" s="31" t="s">
        <v>2438</v>
      </c>
      <c r="E329" s="31">
        <v>3</v>
      </c>
      <c r="F329" s="41">
        <v>500</v>
      </c>
      <c r="G329" s="40">
        <v>43000</v>
      </c>
      <c r="H329" s="31" t="s">
        <v>1492</v>
      </c>
      <c r="I329" s="47">
        <v>2</v>
      </c>
      <c r="J329" s="1">
        <v>329</v>
      </c>
      <c r="K329" s="72" t="s">
        <v>2115</v>
      </c>
    </row>
    <row r="330" spans="2:11" x14ac:dyDescent="0.25">
      <c r="B330" s="31" t="s">
        <v>2446</v>
      </c>
      <c r="C330" s="40">
        <v>43001.432025000002</v>
      </c>
      <c r="D330" s="31" t="s">
        <v>2440</v>
      </c>
      <c r="E330" s="31">
        <v>3</v>
      </c>
      <c r="G330" s="40">
        <v>42996</v>
      </c>
      <c r="H330" s="31" t="s">
        <v>1188</v>
      </c>
      <c r="I330" s="47">
        <v>9</v>
      </c>
      <c r="J330" s="1">
        <v>330</v>
      </c>
      <c r="K330" s="72" t="s">
        <v>2154</v>
      </c>
    </row>
    <row r="331" spans="2:11" x14ac:dyDescent="0.25">
      <c r="B331" s="31" t="s">
        <v>2447</v>
      </c>
      <c r="C331" s="40">
        <v>43001.432025347225</v>
      </c>
      <c r="D331" s="31" t="s">
        <v>2441</v>
      </c>
      <c r="E331" s="31">
        <v>3</v>
      </c>
      <c r="G331" s="40">
        <v>42996</v>
      </c>
      <c r="H331" s="31" t="s">
        <v>1188</v>
      </c>
      <c r="I331" s="47">
        <v>9</v>
      </c>
      <c r="J331" s="1">
        <v>331</v>
      </c>
      <c r="K331" s="72" t="s">
        <v>2154</v>
      </c>
    </row>
    <row r="332" spans="2:11" x14ac:dyDescent="0.25">
      <c r="B332" s="31" t="s">
        <v>2448</v>
      </c>
      <c r="C332" s="40">
        <v>43001.432025694441</v>
      </c>
      <c r="D332" s="31" t="s">
        <v>2442</v>
      </c>
      <c r="E332" s="31">
        <v>3</v>
      </c>
      <c r="G332" s="40">
        <v>42996</v>
      </c>
      <c r="H332" s="31" t="s">
        <v>1188</v>
      </c>
      <c r="I332" s="47">
        <v>9</v>
      </c>
      <c r="J332" s="1">
        <v>332</v>
      </c>
      <c r="K332" s="72" t="s">
        <v>2154</v>
      </c>
    </row>
    <row r="333" spans="2:11" x14ac:dyDescent="0.25">
      <c r="B333" s="31" t="s">
        <v>2449</v>
      </c>
      <c r="C333" s="40">
        <v>43001.432026041664</v>
      </c>
      <c r="D333" s="31" t="s">
        <v>2443</v>
      </c>
      <c r="G333" s="40">
        <v>0</v>
      </c>
      <c r="H333" s="31">
        <v>0</v>
      </c>
      <c r="I333" s="47">
        <v>9</v>
      </c>
      <c r="J333" s="1">
        <v>333</v>
      </c>
      <c r="K333" s="72">
        <v>0</v>
      </c>
    </row>
    <row r="334" spans="2:11" x14ac:dyDescent="0.25">
      <c r="B334" s="31" t="s">
        <v>2450</v>
      </c>
      <c r="C334" s="40">
        <v>43001.432026273149</v>
      </c>
      <c r="D334" s="31" t="s">
        <v>2444</v>
      </c>
      <c r="G334" s="40">
        <v>0</v>
      </c>
      <c r="H334" s="31">
        <v>0</v>
      </c>
      <c r="I334" s="47">
        <v>9</v>
      </c>
      <c r="J334" s="1">
        <v>334</v>
      </c>
      <c r="K334" s="72">
        <v>0</v>
      </c>
    </row>
    <row r="335" spans="2:11" x14ac:dyDescent="0.25">
      <c r="B335" s="31" t="s">
        <v>2451</v>
      </c>
      <c r="C335" s="40">
        <v>43001.432026504626</v>
      </c>
      <c r="D335" s="31" t="s">
        <v>2445</v>
      </c>
      <c r="E335" s="31">
        <v>3</v>
      </c>
      <c r="G335" s="40">
        <v>42996</v>
      </c>
      <c r="H335" s="31" t="s">
        <v>1188</v>
      </c>
      <c r="I335" s="47">
        <v>9</v>
      </c>
      <c r="J335" s="1">
        <v>335</v>
      </c>
      <c r="K335" s="72" t="s">
        <v>2154</v>
      </c>
    </row>
    <row r="336" spans="2:11" x14ac:dyDescent="0.25">
      <c r="B336" s="31" t="s">
        <v>2452</v>
      </c>
      <c r="C336" s="40">
        <v>43001.605108217591</v>
      </c>
      <c r="D336" s="31" t="s">
        <v>1174</v>
      </c>
      <c r="E336" s="31">
        <v>20</v>
      </c>
      <c r="F336" s="41">
        <v>0</v>
      </c>
      <c r="G336" s="40">
        <v>43001</v>
      </c>
      <c r="H336" s="31" t="s">
        <v>1993</v>
      </c>
      <c r="I336" s="47">
        <v>6</v>
      </c>
      <c r="J336" s="1">
        <v>336</v>
      </c>
      <c r="K336" s="72" t="s">
        <v>1937</v>
      </c>
    </row>
    <row r="337" spans="2:11" x14ac:dyDescent="0.25">
      <c r="B337" s="31" t="s">
        <v>2458</v>
      </c>
      <c r="C337" s="40">
        <v>43001.605132407407</v>
      </c>
      <c r="D337" s="31" t="s">
        <v>2453</v>
      </c>
      <c r="E337" s="31">
        <v>20</v>
      </c>
      <c r="F337" s="41">
        <v>0</v>
      </c>
      <c r="G337" s="40">
        <v>43001</v>
      </c>
      <c r="H337" s="31" t="s">
        <v>1993</v>
      </c>
      <c r="I337" s="47">
        <v>6</v>
      </c>
      <c r="J337" s="1">
        <v>337</v>
      </c>
      <c r="K337" s="72" t="s">
        <v>1920</v>
      </c>
    </row>
    <row r="338" spans="2:11" x14ac:dyDescent="0.25">
      <c r="B338" s="31" t="s">
        <v>2459</v>
      </c>
      <c r="C338" s="40">
        <v>43001.605132407407</v>
      </c>
      <c r="D338" s="31" t="s">
        <v>2454</v>
      </c>
      <c r="E338" s="31">
        <v>20</v>
      </c>
      <c r="F338" s="41">
        <v>0</v>
      </c>
      <c r="G338" s="40">
        <v>43001</v>
      </c>
      <c r="H338" s="31" t="s">
        <v>1993</v>
      </c>
      <c r="I338" s="47">
        <v>6</v>
      </c>
      <c r="J338" s="1">
        <v>338</v>
      </c>
      <c r="K338" s="72" t="s">
        <v>1920</v>
      </c>
    </row>
    <row r="339" spans="2:11" x14ac:dyDescent="0.25">
      <c r="B339" s="31" t="s">
        <v>2460</v>
      </c>
      <c r="C339" s="40">
        <v>43001.605132638892</v>
      </c>
      <c r="D339" s="31" t="s">
        <v>2455</v>
      </c>
      <c r="E339" s="31">
        <v>20</v>
      </c>
      <c r="F339" s="41">
        <v>0</v>
      </c>
      <c r="G339" s="40">
        <v>43001</v>
      </c>
      <c r="H339" s="31" t="s">
        <v>1993</v>
      </c>
      <c r="I339" s="47">
        <v>6</v>
      </c>
      <c r="J339" s="1">
        <v>339</v>
      </c>
      <c r="K339" s="72" t="s">
        <v>1920</v>
      </c>
    </row>
    <row r="340" spans="2:11" x14ac:dyDescent="0.25">
      <c r="B340" s="31" t="s">
        <v>2461</v>
      </c>
      <c r="C340" s="40">
        <v>43001.60513275463</v>
      </c>
      <c r="D340" s="31" t="s">
        <v>2456</v>
      </c>
      <c r="E340" s="31">
        <v>20</v>
      </c>
      <c r="F340" s="41">
        <v>0</v>
      </c>
      <c r="G340" s="40">
        <v>43001</v>
      </c>
      <c r="H340" s="31" t="s">
        <v>1993</v>
      </c>
      <c r="I340" s="47">
        <v>6</v>
      </c>
      <c r="J340" s="1">
        <v>340</v>
      </c>
      <c r="K340" s="72" t="s">
        <v>1920</v>
      </c>
    </row>
    <row r="341" spans="2:11" x14ac:dyDescent="0.25">
      <c r="B341" s="31" t="s">
        <v>2462</v>
      </c>
      <c r="C341" s="40">
        <v>43001.60513275463</v>
      </c>
      <c r="D341" s="31" t="s">
        <v>2457</v>
      </c>
      <c r="E341" s="31">
        <v>20</v>
      </c>
      <c r="F341" s="41">
        <v>0</v>
      </c>
      <c r="G341" s="40">
        <v>43001</v>
      </c>
      <c r="H341" s="31" t="s">
        <v>1993</v>
      </c>
      <c r="I341" s="47">
        <v>6</v>
      </c>
      <c r="J341" s="1">
        <v>341</v>
      </c>
      <c r="K341" s="72" t="s">
        <v>1920</v>
      </c>
    </row>
    <row r="342" spans="2:11" x14ac:dyDescent="0.25">
      <c r="B342" s="31" t="s">
        <v>2463</v>
      </c>
      <c r="C342" s="40">
        <v>43001.619570138886</v>
      </c>
      <c r="D342" s="31" t="s">
        <v>2464</v>
      </c>
      <c r="E342" s="31">
        <v>3</v>
      </c>
      <c r="F342" s="41">
        <v>900</v>
      </c>
      <c r="G342" s="40">
        <v>43001</v>
      </c>
      <c r="H342" s="31" t="s">
        <v>1993</v>
      </c>
      <c r="I342" s="47">
        <v>8</v>
      </c>
      <c r="J342" s="1">
        <v>342</v>
      </c>
      <c r="K342" s="72" t="s">
        <v>2244</v>
      </c>
    </row>
    <row r="343" spans="2:11" x14ac:dyDescent="0.25">
      <c r="B343" s="31" t="s">
        <v>2469</v>
      </c>
      <c r="C343" s="40">
        <v>43001.619592939816</v>
      </c>
      <c r="D343" s="31" t="s">
        <v>2465</v>
      </c>
      <c r="E343" s="31">
        <v>3</v>
      </c>
      <c r="F343" s="41">
        <v>600</v>
      </c>
      <c r="G343" s="40">
        <v>43001</v>
      </c>
      <c r="H343" s="31" t="s">
        <v>1993</v>
      </c>
      <c r="I343" s="47">
        <v>8</v>
      </c>
      <c r="J343" s="1">
        <v>343</v>
      </c>
      <c r="K343" s="72" t="s">
        <v>2244</v>
      </c>
    </row>
    <row r="344" spans="2:11" x14ac:dyDescent="0.25">
      <c r="B344" s="31" t="s">
        <v>2470</v>
      </c>
      <c r="C344" s="40">
        <v>43001.619593055555</v>
      </c>
      <c r="D344" s="31" t="s">
        <v>2468</v>
      </c>
      <c r="E344" s="31">
        <v>3</v>
      </c>
      <c r="F344" s="41">
        <v>300</v>
      </c>
      <c r="G344" s="40">
        <v>43001</v>
      </c>
      <c r="H344" s="31" t="s">
        <v>1993</v>
      </c>
      <c r="I344" s="47">
        <v>8</v>
      </c>
      <c r="J344" s="1">
        <v>344</v>
      </c>
      <c r="K344" s="72" t="s">
        <v>2244</v>
      </c>
    </row>
    <row r="345" spans="2:11" x14ac:dyDescent="0.25">
      <c r="B345" s="31" t="s">
        <v>2471</v>
      </c>
      <c r="C345" s="40">
        <v>43001.619593055555</v>
      </c>
      <c r="D345" s="31" t="s">
        <v>1912</v>
      </c>
      <c r="E345" s="31">
        <v>3</v>
      </c>
      <c r="F345" s="41">
        <v>1000</v>
      </c>
      <c r="G345" s="40">
        <v>43001</v>
      </c>
      <c r="H345" s="31" t="s">
        <v>1993</v>
      </c>
      <c r="I345" s="47">
        <v>8</v>
      </c>
      <c r="J345" s="1">
        <v>345</v>
      </c>
      <c r="K345" s="72" t="s">
        <v>2244</v>
      </c>
    </row>
    <row r="346" spans="2:11" x14ac:dyDescent="0.25">
      <c r="B346" s="31" t="s">
        <v>2472</v>
      </c>
      <c r="C346" s="40">
        <v>43001.61959328704</v>
      </c>
      <c r="D346" s="31" t="s">
        <v>2466</v>
      </c>
      <c r="E346" s="31">
        <v>3</v>
      </c>
      <c r="F346" s="41">
        <v>2500</v>
      </c>
      <c r="G346" s="40">
        <v>43001</v>
      </c>
      <c r="H346" s="31" t="s">
        <v>1993</v>
      </c>
      <c r="I346" s="47">
        <v>8</v>
      </c>
      <c r="J346" s="1">
        <v>346</v>
      </c>
      <c r="K346" s="72" t="s">
        <v>2244</v>
      </c>
    </row>
    <row r="347" spans="2:11" x14ac:dyDescent="0.25">
      <c r="B347" s="31" t="s">
        <v>2473</v>
      </c>
      <c r="C347" s="40">
        <v>43001.61959328704</v>
      </c>
      <c r="D347" s="31" t="s">
        <v>2467</v>
      </c>
      <c r="E347" s="31">
        <v>3</v>
      </c>
      <c r="F347" s="41">
        <v>1500</v>
      </c>
      <c r="G347" s="40">
        <v>43001</v>
      </c>
      <c r="H347" s="31" t="s">
        <v>1993</v>
      </c>
      <c r="I347" s="47">
        <v>8</v>
      </c>
      <c r="J347" s="1">
        <v>347</v>
      </c>
      <c r="K347" s="72" t="s">
        <v>2244</v>
      </c>
    </row>
    <row r="348" spans="2:11" x14ac:dyDescent="0.25">
      <c r="B348" s="31" t="s">
        <v>2474</v>
      </c>
      <c r="C348" s="40">
        <v>43003.394441203702</v>
      </c>
      <c r="D348" s="31" t="s">
        <v>2475</v>
      </c>
      <c r="E348" s="31">
        <v>20</v>
      </c>
      <c r="F348" s="41">
        <v>0</v>
      </c>
      <c r="G348" s="40">
        <v>43004</v>
      </c>
      <c r="H348" s="31" t="s">
        <v>1182</v>
      </c>
      <c r="I348" s="47">
        <v>6</v>
      </c>
      <c r="J348" s="1">
        <v>348</v>
      </c>
      <c r="K348" s="72" t="s">
        <v>2571</v>
      </c>
    </row>
    <row r="349" spans="2:11" x14ac:dyDescent="0.25">
      <c r="B349" s="31" t="s">
        <v>2481</v>
      </c>
      <c r="C349" s="40">
        <v>43003.394467939812</v>
      </c>
      <c r="D349" s="31" t="s">
        <v>2476</v>
      </c>
      <c r="E349" s="31">
        <v>20</v>
      </c>
      <c r="F349" s="41">
        <v>0</v>
      </c>
      <c r="G349" s="40">
        <v>43004</v>
      </c>
      <c r="H349" s="31" t="s">
        <v>1182</v>
      </c>
      <c r="I349" s="47">
        <v>6</v>
      </c>
      <c r="J349" s="1">
        <v>349</v>
      </c>
      <c r="K349" s="72" t="s">
        <v>2571</v>
      </c>
    </row>
    <row r="350" spans="2:11" x14ac:dyDescent="0.25">
      <c r="B350" s="31" t="s">
        <v>2482</v>
      </c>
      <c r="C350" s="40">
        <v>43003.394468055558</v>
      </c>
      <c r="D350" s="31" t="s">
        <v>2477</v>
      </c>
      <c r="E350" s="31">
        <v>20</v>
      </c>
      <c r="F350" s="41">
        <v>0</v>
      </c>
      <c r="G350" s="40">
        <v>43004</v>
      </c>
      <c r="H350" s="31" t="s">
        <v>1182</v>
      </c>
      <c r="I350" s="47">
        <v>6</v>
      </c>
      <c r="J350" s="1">
        <v>350</v>
      </c>
      <c r="K350" s="72" t="s">
        <v>2571</v>
      </c>
    </row>
    <row r="351" spans="2:11" x14ac:dyDescent="0.25">
      <c r="B351" s="31" t="s">
        <v>2483</v>
      </c>
      <c r="C351" s="40">
        <v>43003.394468055558</v>
      </c>
      <c r="D351" s="31" t="s">
        <v>2478</v>
      </c>
      <c r="E351" s="31">
        <v>20</v>
      </c>
      <c r="F351" s="41">
        <v>0</v>
      </c>
      <c r="G351" s="40">
        <v>43004</v>
      </c>
      <c r="H351" s="31" t="s">
        <v>1182</v>
      </c>
      <c r="I351" s="47">
        <v>6</v>
      </c>
      <c r="J351" s="1">
        <v>351</v>
      </c>
      <c r="K351" s="72" t="s">
        <v>2571</v>
      </c>
    </row>
    <row r="352" spans="2:11" x14ac:dyDescent="0.25">
      <c r="B352" s="31" t="s">
        <v>2484</v>
      </c>
      <c r="C352" s="40">
        <v>43003.394468055558</v>
      </c>
      <c r="D352" s="31" t="s">
        <v>2479</v>
      </c>
      <c r="E352" s="31">
        <v>20</v>
      </c>
      <c r="G352" s="40">
        <v>43004</v>
      </c>
      <c r="H352" s="31" t="s">
        <v>1182</v>
      </c>
      <c r="I352" s="47">
        <v>6</v>
      </c>
      <c r="J352" s="1">
        <v>352</v>
      </c>
      <c r="K352" s="72" t="s">
        <v>2571</v>
      </c>
    </row>
    <row r="353" spans="2:11" x14ac:dyDescent="0.25">
      <c r="B353" s="31" t="s">
        <v>2485</v>
      </c>
      <c r="C353" s="40">
        <v>43003.394468287035</v>
      </c>
      <c r="D353" s="31" t="s">
        <v>2480</v>
      </c>
      <c r="E353" s="31">
        <v>20</v>
      </c>
      <c r="F353" s="41">
        <v>0</v>
      </c>
      <c r="G353" s="40">
        <v>43004</v>
      </c>
      <c r="H353" s="31" t="s">
        <v>1182</v>
      </c>
      <c r="I353" s="47">
        <v>6</v>
      </c>
      <c r="J353" s="1">
        <v>353</v>
      </c>
      <c r="K353" s="72" t="s">
        <v>2571</v>
      </c>
    </row>
    <row r="354" spans="2:11" x14ac:dyDescent="0.25">
      <c r="B354" s="31" t="s">
        <v>2488</v>
      </c>
      <c r="C354" s="40">
        <v>43003.396419791665</v>
      </c>
      <c r="D354" s="31" t="s">
        <v>2270</v>
      </c>
      <c r="E354" s="31">
        <v>1</v>
      </c>
      <c r="F354" s="41">
        <v>1922.7</v>
      </c>
      <c r="G354" s="40">
        <v>43003</v>
      </c>
      <c r="H354" s="31" t="s">
        <v>1993</v>
      </c>
      <c r="I354" s="47">
        <v>15</v>
      </c>
      <c r="J354" s="1">
        <v>354</v>
      </c>
      <c r="K354" s="72" t="s">
        <v>2437</v>
      </c>
    </row>
    <row r="355" spans="2:11" x14ac:dyDescent="0.25">
      <c r="B355" s="31" t="s">
        <v>2489</v>
      </c>
      <c r="C355" s="40">
        <v>43003.396421064812</v>
      </c>
      <c r="D355" s="31" t="s">
        <v>2271</v>
      </c>
      <c r="E355" s="31">
        <v>1</v>
      </c>
      <c r="F355" s="41">
        <v>1922.7</v>
      </c>
      <c r="G355" s="40">
        <v>43003</v>
      </c>
      <c r="H355" s="31" t="s">
        <v>1993</v>
      </c>
      <c r="I355" s="47">
        <v>15</v>
      </c>
      <c r="J355" s="1">
        <v>355</v>
      </c>
      <c r="K355" s="72" t="s">
        <v>2437</v>
      </c>
    </row>
    <row r="356" spans="2:11" x14ac:dyDescent="0.25">
      <c r="B356" s="31" t="s">
        <v>2490</v>
      </c>
      <c r="C356" s="40">
        <v>43003.396422106482</v>
      </c>
      <c r="D356" s="31" t="s">
        <v>2486</v>
      </c>
      <c r="E356" s="31">
        <v>1</v>
      </c>
      <c r="F356" s="41">
        <v>495.3</v>
      </c>
      <c r="G356" s="40">
        <v>43003</v>
      </c>
      <c r="H356" s="31" t="s">
        <v>1993</v>
      </c>
      <c r="I356" s="47">
        <v>15</v>
      </c>
      <c r="J356" s="1">
        <v>356</v>
      </c>
      <c r="K356" s="72" t="s">
        <v>2437</v>
      </c>
    </row>
    <row r="357" spans="2:11" x14ac:dyDescent="0.25">
      <c r="B357" s="31" t="s">
        <v>2491</v>
      </c>
      <c r="C357" s="40">
        <v>43003.396423379629</v>
      </c>
      <c r="D357" s="31" t="s">
        <v>2487</v>
      </c>
      <c r="E357" s="31">
        <v>1</v>
      </c>
      <c r="F357" s="41">
        <v>510.9</v>
      </c>
      <c r="G357" s="40">
        <v>43003</v>
      </c>
      <c r="H357" s="31" t="s">
        <v>1993</v>
      </c>
      <c r="I357" s="47">
        <v>15</v>
      </c>
      <c r="J357" s="1">
        <v>357</v>
      </c>
      <c r="K357" s="72" t="s">
        <v>2437</v>
      </c>
    </row>
    <row r="358" spans="2:11" x14ac:dyDescent="0.25">
      <c r="B358" s="31" t="s">
        <v>2492</v>
      </c>
      <c r="C358" s="40">
        <v>43003.424637037038</v>
      </c>
      <c r="D358" s="31" t="s">
        <v>1174</v>
      </c>
      <c r="E358" s="31">
        <v>20</v>
      </c>
      <c r="F358" s="41">
        <v>0</v>
      </c>
      <c r="G358" s="40">
        <v>43004</v>
      </c>
      <c r="H358" s="31" t="s">
        <v>2570</v>
      </c>
      <c r="I358" s="47">
        <v>2</v>
      </c>
      <c r="J358" s="1">
        <v>358</v>
      </c>
      <c r="K358" s="72" t="s">
        <v>2044</v>
      </c>
    </row>
    <row r="359" spans="2:11" x14ac:dyDescent="0.25">
      <c r="B359" s="31" t="s">
        <v>2494</v>
      </c>
      <c r="C359" s="40">
        <v>43003.424669444445</v>
      </c>
      <c r="D359" s="31" t="s">
        <v>2493</v>
      </c>
      <c r="E359" s="31">
        <v>20</v>
      </c>
      <c r="F359" s="41">
        <v>0</v>
      </c>
      <c r="G359" s="40">
        <v>43004</v>
      </c>
      <c r="H359" s="31" t="s">
        <v>1182</v>
      </c>
      <c r="I359" s="47">
        <v>2</v>
      </c>
      <c r="J359" s="1">
        <v>359</v>
      </c>
      <c r="K359" s="72" t="s">
        <v>2569</v>
      </c>
    </row>
    <row r="360" spans="2:11" x14ac:dyDescent="0.25">
      <c r="B360" s="31" t="s">
        <v>2495</v>
      </c>
      <c r="C360" s="40">
        <v>43003.428570949072</v>
      </c>
      <c r="D360" s="31" t="s">
        <v>1999</v>
      </c>
      <c r="E360" s="31">
        <v>20</v>
      </c>
      <c r="F360" s="41">
        <v>0</v>
      </c>
      <c r="G360" s="40">
        <v>0</v>
      </c>
      <c r="H360" s="31">
        <v>0</v>
      </c>
      <c r="I360" s="47">
        <v>4</v>
      </c>
      <c r="J360" s="1">
        <v>360</v>
      </c>
      <c r="K360" s="72">
        <v>0</v>
      </c>
    </row>
    <row r="361" spans="2:11" x14ac:dyDescent="0.25">
      <c r="B361" s="31" t="s">
        <v>2496</v>
      </c>
      <c r="C361" s="40">
        <v>43003.438495949071</v>
      </c>
      <c r="D361" s="31" t="s">
        <v>1174</v>
      </c>
      <c r="E361" s="31">
        <v>20</v>
      </c>
      <c r="F361" s="41">
        <v>0</v>
      </c>
      <c r="I361" s="47">
        <v>1</v>
      </c>
      <c r="J361" s="1">
        <v>361</v>
      </c>
    </row>
    <row r="362" spans="2:11" x14ac:dyDescent="0.25">
      <c r="B362" s="31" t="s">
        <v>2497</v>
      </c>
      <c r="C362" s="40">
        <v>43003.463518287041</v>
      </c>
      <c r="D362" s="31" t="s">
        <v>2524</v>
      </c>
      <c r="G362" s="40">
        <v>0</v>
      </c>
      <c r="H362" s="31">
        <v>0</v>
      </c>
      <c r="I362" s="47">
        <v>4</v>
      </c>
      <c r="J362" s="1">
        <v>362</v>
      </c>
      <c r="K362" s="72">
        <v>0</v>
      </c>
    </row>
    <row r="363" spans="2:11" x14ac:dyDescent="0.25">
      <c r="B363" s="31" t="s">
        <v>2526</v>
      </c>
      <c r="C363" s="40">
        <v>43003.463602546297</v>
      </c>
      <c r="D363" s="31" t="s">
        <v>2498</v>
      </c>
      <c r="E363" s="31">
        <v>1</v>
      </c>
      <c r="G363" s="40">
        <v>43007</v>
      </c>
      <c r="H363" s="31" t="s">
        <v>1182</v>
      </c>
      <c r="I363" s="47">
        <v>4</v>
      </c>
      <c r="J363" s="1">
        <v>363</v>
      </c>
      <c r="K363" s="72" t="s">
        <v>2636</v>
      </c>
    </row>
    <row r="364" spans="2:11" x14ac:dyDescent="0.25">
      <c r="B364" s="31" t="s">
        <v>2527</v>
      </c>
      <c r="C364" s="40">
        <v>43003.463602546297</v>
      </c>
      <c r="D364" s="31" t="s">
        <v>2525</v>
      </c>
      <c r="G364" s="40">
        <v>0</v>
      </c>
      <c r="H364" s="31">
        <v>0</v>
      </c>
      <c r="I364" s="47">
        <v>4</v>
      </c>
      <c r="J364" s="1">
        <v>364</v>
      </c>
      <c r="K364" s="72">
        <v>0</v>
      </c>
    </row>
    <row r="365" spans="2:11" x14ac:dyDescent="0.25">
      <c r="B365" s="31" t="s">
        <v>2528</v>
      </c>
      <c r="C365" s="40">
        <v>43003.463602662036</v>
      </c>
      <c r="D365" s="31" t="s">
        <v>1945</v>
      </c>
      <c r="E365" s="31">
        <v>4</v>
      </c>
      <c r="G365" s="40">
        <v>0</v>
      </c>
      <c r="H365" s="31">
        <v>0</v>
      </c>
      <c r="I365" s="47">
        <v>4</v>
      </c>
      <c r="J365" s="1">
        <v>365</v>
      </c>
      <c r="K365" s="72">
        <v>0</v>
      </c>
    </row>
    <row r="366" spans="2:11" x14ac:dyDescent="0.25">
      <c r="B366" s="31" t="s">
        <v>2529</v>
      </c>
      <c r="C366" s="40">
        <v>43003.475246759263</v>
      </c>
      <c r="D366" s="31" t="s">
        <v>1174</v>
      </c>
      <c r="E366" s="31">
        <v>20</v>
      </c>
      <c r="F366" s="41">
        <v>0</v>
      </c>
      <c r="I366" s="47">
        <v>8</v>
      </c>
      <c r="J366" s="1">
        <v>366</v>
      </c>
    </row>
    <row r="367" spans="2:11" x14ac:dyDescent="0.25">
      <c r="B367" s="31" t="s">
        <v>2534</v>
      </c>
      <c r="C367" s="40">
        <v>43003.475284953704</v>
      </c>
      <c r="D367" s="31" t="s">
        <v>2530</v>
      </c>
      <c r="E367" s="31">
        <v>20</v>
      </c>
      <c r="F367" s="41">
        <v>0</v>
      </c>
      <c r="I367" s="47">
        <v>8</v>
      </c>
      <c r="J367" s="1">
        <v>367</v>
      </c>
    </row>
    <row r="368" spans="2:11" x14ac:dyDescent="0.25">
      <c r="B368" s="31" t="s">
        <v>2535</v>
      </c>
      <c r="C368" s="40">
        <v>43003.475284953704</v>
      </c>
      <c r="D368" s="31" t="s">
        <v>1989</v>
      </c>
      <c r="E368" s="31">
        <v>20</v>
      </c>
      <c r="F368" s="41">
        <v>0</v>
      </c>
      <c r="I368" s="47">
        <v>8</v>
      </c>
      <c r="J368" s="1">
        <v>368</v>
      </c>
    </row>
    <row r="369" spans="2:11" x14ac:dyDescent="0.25">
      <c r="B369" s="31" t="s">
        <v>2536</v>
      </c>
      <c r="C369" s="40">
        <v>43003.475285069442</v>
      </c>
      <c r="D369" s="31" t="s">
        <v>2531</v>
      </c>
      <c r="E369" s="31">
        <v>20</v>
      </c>
      <c r="F369" s="41">
        <v>0</v>
      </c>
      <c r="I369" s="47">
        <v>8</v>
      </c>
      <c r="J369" s="1">
        <v>369</v>
      </c>
    </row>
    <row r="370" spans="2:11" x14ac:dyDescent="0.25">
      <c r="B370" s="31" t="s">
        <v>2537</v>
      </c>
      <c r="C370" s="40">
        <v>43003.475285069442</v>
      </c>
      <c r="D370" s="31" t="s">
        <v>2532</v>
      </c>
      <c r="E370" s="31">
        <v>20</v>
      </c>
      <c r="F370" s="41">
        <v>0</v>
      </c>
      <c r="I370" s="47">
        <v>8</v>
      </c>
      <c r="J370" s="1">
        <v>370</v>
      </c>
    </row>
    <row r="371" spans="2:11" x14ac:dyDescent="0.25">
      <c r="B371" s="31" t="s">
        <v>2538</v>
      </c>
      <c r="C371" s="40">
        <v>43003.475285300927</v>
      </c>
      <c r="D371" s="31" t="s">
        <v>2533</v>
      </c>
      <c r="E371" s="31">
        <v>20</v>
      </c>
      <c r="F371" s="41">
        <v>0</v>
      </c>
      <c r="I371" s="47">
        <v>8</v>
      </c>
      <c r="J371" s="1">
        <v>371</v>
      </c>
    </row>
    <row r="372" spans="2:11" x14ac:dyDescent="0.25">
      <c r="B372" s="31" t="s">
        <v>2539</v>
      </c>
      <c r="C372" s="40">
        <v>43003.475285300927</v>
      </c>
      <c r="D372" s="31" t="s">
        <v>2055</v>
      </c>
      <c r="E372" s="31">
        <v>20</v>
      </c>
      <c r="F372" s="41">
        <v>0</v>
      </c>
      <c r="I372" s="47">
        <v>8</v>
      </c>
      <c r="J372" s="1">
        <v>372</v>
      </c>
    </row>
    <row r="373" spans="2:11" x14ac:dyDescent="0.25">
      <c r="B373" s="31" t="s">
        <v>2540</v>
      </c>
      <c r="C373" s="40">
        <v>43003.475285300927</v>
      </c>
      <c r="D373" s="31" t="s">
        <v>2004</v>
      </c>
      <c r="E373" s="31">
        <v>20</v>
      </c>
      <c r="I373" s="47">
        <v>8</v>
      </c>
      <c r="J373" s="1">
        <v>373</v>
      </c>
    </row>
    <row r="374" spans="2:11" x14ac:dyDescent="0.25">
      <c r="B374" s="31" t="s">
        <v>2541</v>
      </c>
      <c r="C374" s="40">
        <v>43003.486770717594</v>
      </c>
      <c r="D374" s="31" t="s">
        <v>2542</v>
      </c>
      <c r="E374" s="31">
        <v>20</v>
      </c>
      <c r="I374" s="47">
        <v>1</v>
      </c>
      <c r="J374" s="1">
        <v>374</v>
      </c>
    </row>
    <row r="375" spans="2:11" x14ac:dyDescent="0.25">
      <c r="B375" s="31" t="s">
        <v>2543</v>
      </c>
      <c r="C375" s="40">
        <v>43003.489975115743</v>
      </c>
      <c r="D375" s="31" t="s">
        <v>2544</v>
      </c>
      <c r="E375" s="31">
        <v>20</v>
      </c>
      <c r="F375" s="41">
        <v>0</v>
      </c>
      <c r="I375" s="47">
        <v>3</v>
      </c>
      <c r="J375" s="1">
        <v>375</v>
      </c>
    </row>
    <row r="376" spans="2:11" x14ac:dyDescent="0.25">
      <c r="B376" s="31" t="s">
        <v>2547</v>
      </c>
      <c r="C376" s="40">
        <v>43003.489998263889</v>
      </c>
      <c r="D376" s="31" t="s">
        <v>2545</v>
      </c>
      <c r="E376" s="31">
        <v>20</v>
      </c>
      <c r="F376" s="41">
        <v>0</v>
      </c>
      <c r="I376" s="47">
        <v>3</v>
      </c>
      <c r="J376" s="1">
        <v>376</v>
      </c>
    </row>
    <row r="377" spans="2:11" x14ac:dyDescent="0.25">
      <c r="B377" s="31" t="s">
        <v>2548</v>
      </c>
      <c r="C377" s="40">
        <v>43003.489998379628</v>
      </c>
      <c r="D377" s="31" t="s">
        <v>2546</v>
      </c>
      <c r="E377" s="31">
        <v>20</v>
      </c>
      <c r="F377" s="41">
        <v>0</v>
      </c>
      <c r="I377" s="47">
        <v>3</v>
      </c>
      <c r="J377" s="1">
        <v>377</v>
      </c>
    </row>
    <row r="378" spans="2:11" x14ac:dyDescent="0.25">
      <c r="B378" s="31" t="s">
        <v>2549</v>
      </c>
      <c r="C378" s="40">
        <v>43003.493331712962</v>
      </c>
      <c r="D378" s="31" t="s">
        <v>2550</v>
      </c>
      <c r="E378" s="31">
        <v>20</v>
      </c>
      <c r="F378" s="41">
        <v>0</v>
      </c>
      <c r="G378" s="40">
        <v>43011</v>
      </c>
      <c r="H378" s="31" t="s">
        <v>1188</v>
      </c>
      <c r="I378" s="47">
        <v>2</v>
      </c>
      <c r="J378" s="1">
        <v>378</v>
      </c>
      <c r="K378" s="72" t="s">
        <v>2571</v>
      </c>
    </row>
    <row r="379" spans="2:11" x14ac:dyDescent="0.25">
      <c r="B379" s="31" t="s">
        <v>2552</v>
      </c>
      <c r="C379" s="40">
        <v>43003.493368171294</v>
      </c>
      <c r="D379" s="31" t="s">
        <v>2551</v>
      </c>
      <c r="E379" s="31">
        <v>20</v>
      </c>
      <c r="F379" s="41">
        <v>0</v>
      </c>
      <c r="G379" s="40">
        <v>43011</v>
      </c>
      <c r="H379" s="31" t="s">
        <v>1188</v>
      </c>
      <c r="I379" s="47">
        <v>2</v>
      </c>
      <c r="J379" s="1">
        <v>379</v>
      </c>
      <c r="K379" s="72" t="s">
        <v>2571</v>
      </c>
    </row>
    <row r="380" spans="2:11" x14ac:dyDescent="0.25">
      <c r="B380" s="31" t="s">
        <v>2553</v>
      </c>
      <c r="C380" s="40">
        <v>43003.57983761574</v>
      </c>
      <c r="D380" s="31" t="s">
        <v>1174</v>
      </c>
      <c r="E380" s="31">
        <v>20</v>
      </c>
      <c r="G380" s="40">
        <v>43007</v>
      </c>
      <c r="H380" s="31" t="s">
        <v>1993</v>
      </c>
      <c r="I380" s="47">
        <v>3</v>
      </c>
      <c r="J380" s="1">
        <v>380</v>
      </c>
      <c r="K380" s="72" t="s">
        <v>1937</v>
      </c>
    </row>
    <row r="381" spans="2:11" x14ac:dyDescent="0.25">
      <c r="B381" s="31" t="s">
        <v>2556</v>
      </c>
      <c r="C381" s="40">
        <v>43003.57986377315</v>
      </c>
      <c r="D381" s="31" t="s">
        <v>2554</v>
      </c>
      <c r="E381" s="31">
        <v>20</v>
      </c>
      <c r="G381" s="40">
        <v>43007</v>
      </c>
      <c r="H381" s="31" t="s">
        <v>1993</v>
      </c>
      <c r="I381" s="47">
        <v>3</v>
      </c>
      <c r="J381" s="1">
        <v>381</v>
      </c>
      <c r="K381" s="72" t="s">
        <v>2062</v>
      </c>
    </row>
    <row r="382" spans="2:11" x14ac:dyDescent="0.25">
      <c r="B382" s="31" t="s">
        <v>2557</v>
      </c>
      <c r="C382" s="40">
        <v>43003.579864004627</v>
      </c>
      <c r="D382" s="31" t="s">
        <v>2555</v>
      </c>
      <c r="E382" s="31">
        <v>20</v>
      </c>
      <c r="G382" s="40">
        <v>43007</v>
      </c>
      <c r="H382" s="31" t="s">
        <v>1993</v>
      </c>
      <c r="I382" s="47">
        <v>3</v>
      </c>
      <c r="J382" s="1">
        <v>382</v>
      </c>
      <c r="K382" s="72" t="s">
        <v>2062</v>
      </c>
    </row>
    <row r="383" spans="2:11" x14ac:dyDescent="0.25">
      <c r="B383" s="31" t="s">
        <v>2499</v>
      </c>
      <c r="C383" s="40">
        <v>43003.605434490739</v>
      </c>
      <c r="D383" s="31" t="s">
        <v>2464</v>
      </c>
      <c r="E383" s="31">
        <v>1</v>
      </c>
      <c r="F383" s="41">
        <v>1620</v>
      </c>
      <c r="G383" s="40">
        <v>43001</v>
      </c>
      <c r="H383" s="31" t="s">
        <v>1993</v>
      </c>
      <c r="I383" s="47">
        <v>2</v>
      </c>
      <c r="J383" s="1">
        <v>383</v>
      </c>
      <c r="K383" s="72" t="s">
        <v>2034</v>
      </c>
    </row>
    <row r="384" spans="2:11" x14ac:dyDescent="0.25">
      <c r="B384" s="31" t="s">
        <v>2558</v>
      </c>
      <c r="C384" s="40">
        <v>43003.605465162036</v>
      </c>
      <c r="D384" s="31" t="s">
        <v>2208</v>
      </c>
      <c r="E384" s="31">
        <v>1</v>
      </c>
      <c r="F384" s="41">
        <v>1620</v>
      </c>
      <c r="G384" s="40">
        <v>43001</v>
      </c>
      <c r="H384" s="31" t="s">
        <v>1993</v>
      </c>
      <c r="I384" s="47">
        <v>2</v>
      </c>
      <c r="J384" s="1">
        <v>384</v>
      </c>
      <c r="K384" s="72" t="s">
        <v>2034</v>
      </c>
    </row>
    <row r="385" spans="2:11" x14ac:dyDescent="0.25">
      <c r="B385" s="31" t="s">
        <v>2562</v>
      </c>
      <c r="C385" s="40">
        <v>43003.62966608796</v>
      </c>
      <c r="D385" s="31" t="s">
        <v>2559</v>
      </c>
      <c r="E385" s="31">
        <v>1</v>
      </c>
      <c r="F385" s="41">
        <v>1287</v>
      </c>
      <c r="G385" s="40">
        <v>43003</v>
      </c>
      <c r="H385" s="31" t="s">
        <v>1993</v>
      </c>
      <c r="I385" s="47">
        <v>9</v>
      </c>
      <c r="J385" s="1">
        <v>385</v>
      </c>
      <c r="K385" s="72" t="s">
        <v>2115</v>
      </c>
    </row>
    <row r="386" spans="2:11" x14ac:dyDescent="0.25">
      <c r="B386" s="31" t="s">
        <v>2563</v>
      </c>
      <c r="C386" s="40">
        <v>43003.629666550929</v>
      </c>
      <c r="D386" s="31" t="s">
        <v>2560</v>
      </c>
      <c r="E386" s="31">
        <v>1</v>
      </c>
      <c r="F386" s="41">
        <v>1224</v>
      </c>
      <c r="G386" s="40">
        <v>43003</v>
      </c>
      <c r="H386" s="31" t="s">
        <v>1993</v>
      </c>
      <c r="I386" s="47">
        <v>9</v>
      </c>
      <c r="J386" s="1">
        <v>386</v>
      </c>
      <c r="K386" s="72" t="s">
        <v>2115</v>
      </c>
    </row>
    <row r="387" spans="2:11" x14ac:dyDescent="0.25">
      <c r="B387" s="31" t="s">
        <v>2564</v>
      </c>
      <c r="C387" s="40">
        <v>43003.629666898145</v>
      </c>
      <c r="D387" s="31" t="s">
        <v>2561</v>
      </c>
      <c r="E387" s="31">
        <v>1</v>
      </c>
      <c r="F387" s="41">
        <v>2700</v>
      </c>
      <c r="G387" s="40">
        <v>43003</v>
      </c>
      <c r="H387" s="31" t="s">
        <v>1993</v>
      </c>
      <c r="I387" s="47">
        <v>9</v>
      </c>
      <c r="J387" s="1">
        <v>387</v>
      </c>
      <c r="K387" s="72" t="s">
        <v>2115</v>
      </c>
    </row>
    <row r="388" spans="2:11" x14ac:dyDescent="0.25">
      <c r="B388" s="31" t="s">
        <v>2565</v>
      </c>
      <c r="C388" s="40">
        <v>43003.636785185183</v>
      </c>
      <c r="D388" s="31" t="s">
        <v>1171</v>
      </c>
      <c r="E388" s="31">
        <v>5</v>
      </c>
      <c r="F388" s="41">
        <v>1300</v>
      </c>
      <c r="G388" s="40">
        <v>43003</v>
      </c>
      <c r="H388" s="31" t="s">
        <v>2566</v>
      </c>
      <c r="I388" s="47">
        <v>3</v>
      </c>
      <c r="J388" s="1">
        <v>388</v>
      </c>
      <c r="K388" s="72" t="s">
        <v>2044</v>
      </c>
    </row>
    <row r="389" spans="2:11" x14ac:dyDescent="0.25">
      <c r="B389" s="31" t="s">
        <v>2567</v>
      </c>
      <c r="C389" s="40">
        <v>43003.637214930553</v>
      </c>
      <c r="D389" s="31" t="s">
        <v>1155</v>
      </c>
      <c r="E389" s="31">
        <v>5</v>
      </c>
      <c r="G389" s="40">
        <v>43003</v>
      </c>
      <c r="H389" s="31" t="s">
        <v>1189</v>
      </c>
      <c r="I389" s="47">
        <v>3</v>
      </c>
      <c r="J389" s="1">
        <v>389</v>
      </c>
      <c r="K389" s="72" t="s">
        <v>2154</v>
      </c>
    </row>
    <row r="390" spans="2:11" x14ac:dyDescent="0.25">
      <c r="B390" s="31" t="s">
        <v>2568</v>
      </c>
      <c r="C390" s="40">
        <v>43003.637215277777</v>
      </c>
      <c r="D390" s="31" t="s">
        <v>1170</v>
      </c>
      <c r="E390" s="31">
        <v>5</v>
      </c>
      <c r="G390" s="40">
        <v>43003</v>
      </c>
      <c r="H390" s="31" t="s">
        <v>1189</v>
      </c>
      <c r="I390" s="47">
        <v>3</v>
      </c>
      <c r="J390" s="1">
        <v>390</v>
      </c>
      <c r="K390" s="72" t="s">
        <v>2154</v>
      </c>
    </row>
    <row r="391" spans="2:11" x14ac:dyDescent="0.25">
      <c r="B391" s="31" t="s">
        <v>2575</v>
      </c>
      <c r="C391" s="40">
        <v>43005.360946527777</v>
      </c>
      <c r="D391" s="31" t="s">
        <v>2572</v>
      </c>
      <c r="E391" s="31">
        <v>1</v>
      </c>
      <c r="I391" s="47">
        <v>4</v>
      </c>
      <c r="J391" s="1">
        <v>391</v>
      </c>
    </row>
    <row r="392" spans="2:11" x14ac:dyDescent="0.25">
      <c r="B392" s="31" t="s">
        <v>2576</v>
      </c>
      <c r="C392" s="40">
        <v>43005.360946643515</v>
      </c>
      <c r="D392" s="31" t="s">
        <v>2573</v>
      </c>
      <c r="E392" s="31">
        <v>1</v>
      </c>
      <c r="F392" s="41">
        <v>234</v>
      </c>
      <c r="G392" s="40">
        <v>22185</v>
      </c>
      <c r="H392" s="31" t="s">
        <v>1993</v>
      </c>
      <c r="I392" s="47">
        <v>4</v>
      </c>
      <c r="J392" s="1">
        <v>392</v>
      </c>
      <c r="K392" s="72" t="s">
        <v>2062</v>
      </c>
    </row>
    <row r="393" spans="2:11" x14ac:dyDescent="0.25">
      <c r="B393" s="31" t="s">
        <v>2577</v>
      </c>
      <c r="C393" s="40">
        <v>43005.360946875</v>
      </c>
      <c r="D393" s="31" t="s">
        <v>2574</v>
      </c>
      <c r="E393" s="31">
        <v>1</v>
      </c>
      <c r="F393" s="41">
        <v>670.8</v>
      </c>
      <c r="G393" s="40">
        <v>43004</v>
      </c>
      <c r="H393" s="31" t="s">
        <v>1993</v>
      </c>
      <c r="I393" s="47">
        <v>4</v>
      </c>
      <c r="J393" s="1">
        <v>393</v>
      </c>
      <c r="K393" s="72" t="s">
        <v>1937</v>
      </c>
    </row>
    <row r="394" spans="2:11" x14ac:dyDescent="0.25">
      <c r="B394" s="31" t="s">
        <v>2578</v>
      </c>
      <c r="C394" s="40">
        <v>43005.364255902779</v>
      </c>
      <c r="D394" s="31" t="s">
        <v>2579</v>
      </c>
      <c r="E394" s="31">
        <v>1</v>
      </c>
      <c r="F394" s="41">
        <v>3000</v>
      </c>
      <c r="G394" s="40">
        <v>43004</v>
      </c>
      <c r="H394" s="31" t="s">
        <v>1993</v>
      </c>
      <c r="I394" s="47">
        <v>1</v>
      </c>
      <c r="J394" s="1">
        <v>394</v>
      </c>
      <c r="K394" s="72" t="s">
        <v>2405</v>
      </c>
    </row>
    <row r="395" spans="2:11" x14ac:dyDescent="0.25">
      <c r="B395" s="31" t="s">
        <v>2582</v>
      </c>
      <c r="C395" s="40">
        <v>43005.409679398152</v>
      </c>
      <c r="D395" s="31" t="s">
        <v>2580</v>
      </c>
      <c r="E395" s="31">
        <v>1</v>
      </c>
      <c r="F395" s="41">
        <v>240.24</v>
      </c>
      <c r="G395" s="40">
        <v>43003</v>
      </c>
      <c r="H395" s="31" t="s">
        <v>1993</v>
      </c>
      <c r="I395" s="47">
        <v>15</v>
      </c>
      <c r="J395" s="1">
        <v>395</v>
      </c>
      <c r="K395" s="72" t="s">
        <v>2062</v>
      </c>
    </row>
    <row r="396" spans="2:11" x14ac:dyDescent="0.25">
      <c r="B396" s="31" t="s">
        <v>2583</v>
      </c>
      <c r="C396" s="40">
        <v>43005.409681018522</v>
      </c>
      <c r="D396" s="31" t="s">
        <v>2581</v>
      </c>
      <c r="E396" s="31">
        <v>1</v>
      </c>
      <c r="F396" s="41">
        <v>510</v>
      </c>
      <c r="G396" s="40">
        <v>43003</v>
      </c>
      <c r="H396" s="31" t="s">
        <v>1993</v>
      </c>
      <c r="I396" s="47">
        <v>15</v>
      </c>
      <c r="J396" s="1">
        <v>396</v>
      </c>
      <c r="K396" s="72" t="s">
        <v>2115</v>
      </c>
    </row>
    <row r="397" spans="2:11" x14ac:dyDescent="0.25">
      <c r="B397" s="31" t="s">
        <v>2584</v>
      </c>
      <c r="C397" s="40">
        <v>43005.558794328703</v>
      </c>
      <c r="D397" s="31" t="s">
        <v>2585</v>
      </c>
      <c r="E397" s="31">
        <v>20</v>
      </c>
      <c r="F397" s="41">
        <v>0</v>
      </c>
      <c r="G397" s="40">
        <v>43005</v>
      </c>
      <c r="H397" s="31" t="s">
        <v>1189</v>
      </c>
      <c r="I397" s="47">
        <v>5</v>
      </c>
      <c r="J397" s="1">
        <v>397</v>
      </c>
      <c r="K397" s="72" t="s">
        <v>1937</v>
      </c>
    </row>
    <row r="398" spans="2:11" x14ac:dyDescent="0.25">
      <c r="B398" s="31" t="s">
        <v>2589</v>
      </c>
      <c r="C398" s="40">
        <v>43005.558814814816</v>
      </c>
      <c r="D398" s="31" t="s">
        <v>2586</v>
      </c>
      <c r="E398" s="31">
        <v>20</v>
      </c>
      <c r="F398" s="41">
        <v>0</v>
      </c>
      <c r="G398" s="40">
        <v>43005</v>
      </c>
      <c r="H398" s="31" t="s">
        <v>1189</v>
      </c>
      <c r="I398" s="47">
        <v>5</v>
      </c>
      <c r="J398" s="1">
        <v>398</v>
      </c>
      <c r="K398" s="72" t="s">
        <v>1998</v>
      </c>
    </row>
    <row r="399" spans="2:11" x14ac:dyDescent="0.25">
      <c r="B399" s="31" t="s">
        <v>2590</v>
      </c>
      <c r="C399" s="40">
        <v>43005.558814930555</v>
      </c>
      <c r="D399" s="31" t="s">
        <v>2587</v>
      </c>
      <c r="E399" s="31">
        <v>20</v>
      </c>
      <c r="F399" s="41">
        <v>0</v>
      </c>
      <c r="G399" s="40">
        <v>43005</v>
      </c>
      <c r="H399" s="31" t="s">
        <v>1189</v>
      </c>
      <c r="I399" s="47">
        <v>5</v>
      </c>
      <c r="J399" s="1">
        <v>399</v>
      </c>
      <c r="K399" s="72" t="s">
        <v>1998</v>
      </c>
    </row>
    <row r="400" spans="2:11" x14ac:dyDescent="0.25">
      <c r="B400" s="31" t="s">
        <v>2591</v>
      </c>
      <c r="C400" s="40">
        <v>43005.558814930555</v>
      </c>
      <c r="D400" s="31" t="s">
        <v>2588</v>
      </c>
      <c r="E400" s="31">
        <v>20</v>
      </c>
      <c r="F400" s="41">
        <v>0</v>
      </c>
      <c r="G400" s="40">
        <v>43005</v>
      </c>
      <c r="H400" s="31" t="s">
        <v>1189</v>
      </c>
      <c r="I400" s="47">
        <v>5</v>
      </c>
      <c r="J400" s="1">
        <v>400</v>
      </c>
      <c r="K400" s="72" t="s">
        <v>1998</v>
      </c>
    </row>
    <row r="401" spans="2:11" x14ac:dyDescent="0.25">
      <c r="B401" s="31" t="s">
        <v>2592</v>
      </c>
      <c r="C401" s="40">
        <v>43005.55881516204</v>
      </c>
      <c r="D401" s="31" t="s">
        <v>2555</v>
      </c>
      <c r="E401" s="31">
        <v>20</v>
      </c>
      <c r="F401" s="41">
        <v>0</v>
      </c>
      <c r="G401" s="40">
        <v>43005</v>
      </c>
      <c r="H401" s="31" t="s">
        <v>1189</v>
      </c>
      <c r="I401" s="47">
        <v>5</v>
      </c>
      <c r="J401" s="1">
        <v>401</v>
      </c>
      <c r="K401" s="72" t="s">
        <v>1998</v>
      </c>
    </row>
    <row r="402" spans="2:11" x14ac:dyDescent="0.25">
      <c r="B402" s="31" t="s">
        <v>2593</v>
      </c>
      <c r="C402" s="40">
        <v>43005.5952869213</v>
      </c>
      <c r="D402" s="31" t="s">
        <v>1170</v>
      </c>
      <c r="E402" s="31">
        <v>1</v>
      </c>
      <c r="F402" s="41">
        <v>2425.8000000000002</v>
      </c>
      <c r="G402" s="40">
        <v>43005</v>
      </c>
      <c r="H402" s="31" t="s">
        <v>1993</v>
      </c>
      <c r="I402" s="47">
        <v>7</v>
      </c>
      <c r="J402" s="1">
        <v>402</v>
      </c>
      <c r="K402" s="72" t="s">
        <v>1920</v>
      </c>
    </row>
    <row r="403" spans="2:11" x14ac:dyDescent="0.25">
      <c r="B403" s="31" t="s">
        <v>2594</v>
      </c>
      <c r="C403" s="40">
        <v>43005.601826736114</v>
      </c>
      <c r="D403" s="31" t="s">
        <v>1912</v>
      </c>
      <c r="E403" s="31">
        <v>13</v>
      </c>
      <c r="F403" s="41">
        <v>2500</v>
      </c>
      <c r="G403" s="40" t="s">
        <v>2602</v>
      </c>
      <c r="H403" s="31" t="s">
        <v>1182</v>
      </c>
      <c r="I403" s="47">
        <v>13</v>
      </c>
      <c r="J403" s="1">
        <v>403</v>
      </c>
      <c r="K403" s="72" t="s">
        <v>2115</v>
      </c>
    </row>
    <row r="404" spans="2:11" x14ac:dyDescent="0.25">
      <c r="B404" s="31" t="s">
        <v>2603</v>
      </c>
      <c r="C404" s="40">
        <v>43005.601874884262</v>
      </c>
      <c r="D404" s="31" t="s">
        <v>2595</v>
      </c>
      <c r="E404" s="31">
        <v>1</v>
      </c>
      <c r="F404" s="41">
        <v>664.56</v>
      </c>
      <c r="G404" s="40">
        <v>42965</v>
      </c>
      <c r="H404" s="31" t="s">
        <v>1182</v>
      </c>
      <c r="I404" s="47">
        <v>13</v>
      </c>
      <c r="J404" s="1">
        <v>404</v>
      </c>
      <c r="K404" s="72" t="s">
        <v>2115</v>
      </c>
    </row>
    <row r="405" spans="2:11" x14ac:dyDescent="0.25">
      <c r="B405" s="31" t="s">
        <v>2604</v>
      </c>
      <c r="C405" s="40">
        <v>43005.601875</v>
      </c>
      <c r="D405" s="31" t="s">
        <v>1246</v>
      </c>
      <c r="E405" s="31">
        <v>2</v>
      </c>
      <c r="F405" s="41">
        <v>1800</v>
      </c>
      <c r="G405" s="40">
        <v>42970</v>
      </c>
      <c r="H405" s="31" t="s">
        <v>1188</v>
      </c>
      <c r="I405" s="47">
        <v>13</v>
      </c>
      <c r="J405" s="1">
        <v>405</v>
      </c>
      <c r="K405" s="72" t="s">
        <v>2115</v>
      </c>
    </row>
    <row r="406" spans="2:11" x14ac:dyDescent="0.25">
      <c r="B406" s="31" t="s">
        <v>2605</v>
      </c>
      <c r="C406" s="40">
        <v>43005.601875</v>
      </c>
      <c r="D406" s="31" t="s">
        <v>2596</v>
      </c>
      <c r="E406" s="31">
        <v>1</v>
      </c>
      <c r="F406" s="41">
        <v>756.6</v>
      </c>
      <c r="G406" s="40">
        <v>42968</v>
      </c>
      <c r="H406" s="31" t="s">
        <v>1182</v>
      </c>
      <c r="I406" s="47">
        <v>13</v>
      </c>
      <c r="J406" s="1">
        <v>406</v>
      </c>
      <c r="K406" s="72" t="s">
        <v>2115</v>
      </c>
    </row>
    <row r="407" spans="2:11" x14ac:dyDescent="0.25">
      <c r="B407" s="31" t="s">
        <v>2606</v>
      </c>
      <c r="C407" s="40">
        <v>43005.601875231485</v>
      </c>
      <c r="D407" s="31" t="s">
        <v>2597</v>
      </c>
      <c r="E407" s="31">
        <v>1</v>
      </c>
      <c r="F407" s="41">
        <v>924.3</v>
      </c>
      <c r="G407" s="40">
        <v>42968</v>
      </c>
      <c r="H407" s="31" t="s">
        <v>1182</v>
      </c>
      <c r="I407" s="47">
        <v>13</v>
      </c>
      <c r="J407" s="1">
        <v>407</v>
      </c>
      <c r="K407" s="72" t="s">
        <v>2115</v>
      </c>
    </row>
    <row r="408" spans="2:11" x14ac:dyDescent="0.25">
      <c r="B408" s="31" t="s">
        <v>2607</v>
      </c>
      <c r="C408" s="40">
        <v>43005.601875231485</v>
      </c>
      <c r="D408" s="31" t="s">
        <v>2409</v>
      </c>
      <c r="E408" s="31">
        <v>1</v>
      </c>
      <c r="F408" s="41">
        <v>1372.8</v>
      </c>
      <c r="G408" s="40">
        <v>42965</v>
      </c>
      <c r="H408" s="31" t="s">
        <v>1182</v>
      </c>
      <c r="I408" s="47">
        <v>13</v>
      </c>
      <c r="J408" s="1">
        <v>408</v>
      </c>
      <c r="K408" s="72" t="s">
        <v>2115</v>
      </c>
    </row>
    <row r="409" spans="2:11" x14ac:dyDescent="0.25">
      <c r="B409" s="31" t="s">
        <v>2608</v>
      </c>
      <c r="C409" s="40">
        <v>43005.601875462962</v>
      </c>
      <c r="D409" s="31" t="s">
        <v>2598</v>
      </c>
      <c r="E409" s="31">
        <v>1</v>
      </c>
      <c r="F409" s="41">
        <v>596.70000000000005</v>
      </c>
      <c r="G409" s="40">
        <v>43005</v>
      </c>
      <c r="H409" s="31" t="s">
        <v>1993</v>
      </c>
      <c r="I409" s="47">
        <v>13</v>
      </c>
      <c r="J409" s="1">
        <v>409</v>
      </c>
      <c r="K409" s="72" t="s">
        <v>2115</v>
      </c>
    </row>
    <row r="410" spans="2:11" x14ac:dyDescent="0.25">
      <c r="B410" s="31" t="s">
        <v>2609</v>
      </c>
      <c r="C410" s="40">
        <v>43005.601875462962</v>
      </c>
      <c r="D410" s="31" t="s">
        <v>2599</v>
      </c>
      <c r="E410" s="31">
        <v>1</v>
      </c>
      <c r="F410" s="41">
        <v>436.8</v>
      </c>
      <c r="G410" s="40">
        <v>43005</v>
      </c>
      <c r="H410" s="31" t="s">
        <v>1993</v>
      </c>
      <c r="I410" s="47">
        <v>13</v>
      </c>
      <c r="J410" s="1">
        <v>410</v>
      </c>
      <c r="K410" s="72" t="s">
        <v>2115</v>
      </c>
    </row>
    <row r="411" spans="2:11" x14ac:dyDescent="0.25">
      <c r="B411" s="31" t="s">
        <v>2610</v>
      </c>
      <c r="C411" s="40">
        <v>43005.601875578701</v>
      </c>
      <c r="D411" s="31" t="s">
        <v>2600</v>
      </c>
      <c r="E411" s="31">
        <v>1</v>
      </c>
      <c r="F411" s="41">
        <v>741</v>
      </c>
      <c r="G411" s="40">
        <v>43005</v>
      </c>
      <c r="H411" s="31" t="s">
        <v>1993</v>
      </c>
      <c r="I411" s="47">
        <v>13</v>
      </c>
      <c r="J411" s="1">
        <v>411</v>
      </c>
      <c r="K411" s="72" t="s">
        <v>2115</v>
      </c>
    </row>
    <row r="412" spans="2:11" x14ac:dyDescent="0.25">
      <c r="B412" s="31" t="s">
        <v>2611</v>
      </c>
      <c r="C412" s="40">
        <v>43005.601875578701</v>
      </c>
      <c r="D412" s="31" t="s">
        <v>2601</v>
      </c>
      <c r="E412" s="31">
        <v>1</v>
      </c>
      <c r="F412" s="41">
        <v>624</v>
      </c>
      <c r="G412" s="40">
        <v>43005</v>
      </c>
      <c r="H412" s="31" t="s">
        <v>1993</v>
      </c>
      <c r="I412" s="47">
        <v>13</v>
      </c>
      <c r="J412" s="1">
        <v>412</v>
      </c>
      <c r="K412" s="72" t="s">
        <v>2115</v>
      </c>
    </row>
    <row r="413" spans="2:11" x14ac:dyDescent="0.25">
      <c r="B413" s="31" t="s">
        <v>2612</v>
      </c>
      <c r="C413" s="40">
        <v>43006.417086111112</v>
      </c>
      <c r="D413" s="31" t="s">
        <v>2417</v>
      </c>
      <c r="E413" s="31">
        <v>1</v>
      </c>
      <c r="F413" s="41">
        <v>124.2</v>
      </c>
      <c r="G413" s="40">
        <v>42999</v>
      </c>
      <c r="H413" s="31" t="s">
        <v>1993</v>
      </c>
      <c r="I413" s="47">
        <v>12</v>
      </c>
      <c r="J413" s="1">
        <v>413</v>
      </c>
      <c r="K413" s="72" t="s">
        <v>2627</v>
      </c>
    </row>
    <row r="414" spans="2:11" x14ac:dyDescent="0.25">
      <c r="B414" s="31" t="s">
        <v>2617</v>
      </c>
      <c r="C414" s="40">
        <v>43006.417204513891</v>
      </c>
      <c r="D414" s="31" t="s">
        <v>2418</v>
      </c>
      <c r="E414" s="31">
        <v>1</v>
      </c>
      <c r="F414" s="41">
        <v>124.2</v>
      </c>
      <c r="G414" s="40">
        <v>42999</v>
      </c>
      <c r="H414" s="31" t="s">
        <v>1993</v>
      </c>
      <c r="I414" s="47">
        <v>12</v>
      </c>
      <c r="J414" s="1">
        <v>414</v>
      </c>
      <c r="K414" s="72" t="s">
        <v>2627</v>
      </c>
    </row>
    <row r="415" spans="2:11" x14ac:dyDescent="0.25">
      <c r="B415" s="31" t="s">
        <v>2618</v>
      </c>
      <c r="C415" s="40">
        <v>43006.41720462963</v>
      </c>
      <c r="D415" s="31" t="s">
        <v>2271</v>
      </c>
      <c r="E415" s="31">
        <v>1</v>
      </c>
      <c r="F415" s="41">
        <v>2861.1</v>
      </c>
      <c r="G415" s="40">
        <v>42999</v>
      </c>
      <c r="H415" s="31" t="s">
        <v>1993</v>
      </c>
      <c r="I415" s="47">
        <v>12</v>
      </c>
      <c r="J415" s="1">
        <v>415</v>
      </c>
      <c r="K415" s="72" t="s">
        <v>2628</v>
      </c>
    </row>
    <row r="416" spans="2:11" x14ac:dyDescent="0.25">
      <c r="B416" s="31" t="s">
        <v>2619</v>
      </c>
      <c r="C416" s="40">
        <v>43006.41720462963</v>
      </c>
      <c r="D416" s="31" t="s">
        <v>2270</v>
      </c>
      <c r="E416" s="31">
        <v>1</v>
      </c>
      <c r="F416" s="41">
        <v>2861.1</v>
      </c>
      <c r="G416" s="40">
        <v>42999</v>
      </c>
      <c r="H416" s="31" t="s">
        <v>1993</v>
      </c>
      <c r="I416" s="47">
        <v>12</v>
      </c>
      <c r="J416" s="1">
        <v>416</v>
      </c>
      <c r="K416" s="72" t="s">
        <v>2628</v>
      </c>
    </row>
    <row r="417" spans="2:11" x14ac:dyDescent="0.25">
      <c r="B417" s="31" t="s">
        <v>2620</v>
      </c>
      <c r="C417" s="40">
        <v>43006.417204745369</v>
      </c>
      <c r="D417" s="31" t="s">
        <v>2613</v>
      </c>
      <c r="E417" s="31">
        <v>1</v>
      </c>
      <c r="F417" s="41">
        <v>257.39999999999998</v>
      </c>
      <c r="G417" s="40">
        <v>43000</v>
      </c>
      <c r="H417" s="31" t="s">
        <v>1182</v>
      </c>
      <c r="I417" s="47">
        <v>12</v>
      </c>
      <c r="J417" s="1">
        <v>417</v>
      </c>
      <c r="K417" s="72" t="s">
        <v>2571</v>
      </c>
    </row>
    <row r="418" spans="2:11" x14ac:dyDescent="0.25">
      <c r="B418" s="31" t="s">
        <v>2621</v>
      </c>
      <c r="C418" s="40">
        <v>43006.417204745369</v>
      </c>
      <c r="D418" s="31" t="s">
        <v>2614</v>
      </c>
      <c r="E418" s="31">
        <v>1</v>
      </c>
      <c r="F418" s="41">
        <v>774</v>
      </c>
      <c r="G418" s="40">
        <v>43000</v>
      </c>
      <c r="H418" s="31" t="s">
        <v>1182</v>
      </c>
      <c r="I418" s="47">
        <v>12</v>
      </c>
      <c r="J418" s="1">
        <v>418</v>
      </c>
      <c r="K418" s="72" t="s">
        <v>2571</v>
      </c>
    </row>
    <row r="419" spans="2:11" x14ac:dyDescent="0.25">
      <c r="B419" s="31" t="s">
        <v>2622</v>
      </c>
      <c r="C419" s="40">
        <v>43006.417204976853</v>
      </c>
      <c r="D419" s="31" t="s">
        <v>1174</v>
      </c>
      <c r="E419" s="31">
        <v>3</v>
      </c>
      <c r="F419" s="41">
        <v>1000</v>
      </c>
      <c r="G419" s="40">
        <v>42997</v>
      </c>
      <c r="H419" s="31" t="s">
        <v>1188</v>
      </c>
      <c r="I419" s="47">
        <v>12</v>
      </c>
      <c r="J419" s="1">
        <v>419</v>
      </c>
      <c r="K419" s="72" t="s">
        <v>2571</v>
      </c>
    </row>
    <row r="420" spans="2:11" x14ac:dyDescent="0.25">
      <c r="B420" s="31" t="s">
        <v>2623</v>
      </c>
      <c r="C420" s="40">
        <v>43006.417204976853</v>
      </c>
      <c r="D420" s="31" t="s">
        <v>2424</v>
      </c>
      <c r="E420" s="31">
        <v>3</v>
      </c>
      <c r="F420" s="41">
        <v>2000</v>
      </c>
      <c r="G420" s="40">
        <v>42997</v>
      </c>
      <c r="H420" s="31" t="s">
        <v>1188</v>
      </c>
      <c r="I420" s="47">
        <v>12</v>
      </c>
      <c r="J420" s="1">
        <v>420</v>
      </c>
      <c r="K420" s="72" t="s">
        <v>2571</v>
      </c>
    </row>
    <row r="421" spans="2:11" x14ac:dyDescent="0.25">
      <c r="B421" s="31" t="s">
        <v>2624</v>
      </c>
      <c r="C421" s="40">
        <v>43006.417205092592</v>
      </c>
      <c r="D421" s="31" t="s">
        <v>2615</v>
      </c>
      <c r="E421" s="31">
        <v>3</v>
      </c>
      <c r="F421" s="41">
        <v>800</v>
      </c>
      <c r="G421" s="40">
        <v>42997</v>
      </c>
      <c r="H421" s="31" t="s">
        <v>1188</v>
      </c>
      <c r="I421" s="47">
        <v>12</v>
      </c>
      <c r="J421" s="1">
        <v>421</v>
      </c>
      <c r="K421" s="72" t="s">
        <v>2571</v>
      </c>
    </row>
    <row r="422" spans="2:11" x14ac:dyDescent="0.25">
      <c r="B422" s="31" t="s">
        <v>2625</v>
      </c>
      <c r="C422" s="40">
        <v>43006.417205092592</v>
      </c>
      <c r="D422" s="31" t="s">
        <v>2616</v>
      </c>
      <c r="E422" s="31">
        <v>3</v>
      </c>
      <c r="F422" s="41">
        <v>700</v>
      </c>
      <c r="G422" s="40">
        <v>42997</v>
      </c>
      <c r="H422" s="31" t="s">
        <v>1188</v>
      </c>
      <c r="I422" s="47">
        <v>12</v>
      </c>
      <c r="J422" s="1">
        <v>422</v>
      </c>
      <c r="K422" s="72" t="s">
        <v>2571</v>
      </c>
    </row>
    <row r="423" spans="2:11" x14ac:dyDescent="0.25">
      <c r="B423" s="31" t="s">
        <v>2626</v>
      </c>
      <c r="C423" s="40">
        <v>43006.417205092592</v>
      </c>
      <c r="D423" s="31" t="s">
        <v>2425</v>
      </c>
      <c r="E423" s="31">
        <v>3</v>
      </c>
      <c r="F423" s="41">
        <v>1800</v>
      </c>
      <c r="G423" s="40">
        <v>42997</v>
      </c>
      <c r="H423" s="31" t="s">
        <v>1188</v>
      </c>
      <c r="I423" s="47">
        <v>12</v>
      </c>
      <c r="J423" s="1">
        <v>423</v>
      </c>
      <c r="K423" s="72" t="s">
        <v>2571</v>
      </c>
    </row>
    <row r="424" spans="2:11" x14ac:dyDescent="0.25">
      <c r="B424" s="31" t="s">
        <v>2630</v>
      </c>
      <c r="C424" s="40">
        <v>43006.609961458336</v>
      </c>
      <c r="D424" s="31" t="s">
        <v>2629</v>
      </c>
      <c r="E424" s="31">
        <v>3</v>
      </c>
      <c r="F424" s="41">
        <v>1000</v>
      </c>
      <c r="G424" s="40">
        <v>43006</v>
      </c>
      <c r="H424" s="31" t="s">
        <v>1188</v>
      </c>
      <c r="I424" s="47">
        <v>8</v>
      </c>
      <c r="J424" s="1">
        <v>424</v>
      </c>
      <c r="K424" s="72" t="s">
        <v>2244</v>
      </c>
    </row>
    <row r="425" spans="2:11" x14ac:dyDescent="0.25">
      <c r="B425" s="31" t="s">
        <v>2632</v>
      </c>
      <c r="C425" s="40">
        <v>43006.702868287037</v>
      </c>
      <c r="D425" s="31" t="s">
        <v>2631</v>
      </c>
      <c r="E425" s="31">
        <v>3</v>
      </c>
      <c r="F425" s="41">
        <v>2400</v>
      </c>
      <c r="G425" s="40">
        <v>43006</v>
      </c>
      <c r="H425" s="31" t="s">
        <v>1189</v>
      </c>
      <c r="I425" s="47">
        <v>8</v>
      </c>
      <c r="J425" s="1">
        <v>425</v>
      </c>
      <c r="K425" s="72" t="s">
        <v>2244</v>
      </c>
    </row>
    <row r="426" spans="2:11" x14ac:dyDescent="0.25">
      <c r="B426" s="31" t="s">
        <v>2634</v>
      </c>
      <c r="C426" s="40">
        <v>43007.473768055555</v>
      </c>
      <c r="D426" s="31" t="s">
        <v>2633</v>
      </c>
      <c r="E426" s="31">
        <v>10</v>
      </c>
      <c r="F426" s="41">
        <v>2500</v>
      </c>
      <c r="I426" s="47">
        <v>2</v>
      </c>
      <c r="J426" s="1">
        <v>426</v>
      </c>
    </row>
    <row r="427" spans="2:11" x14ac:dyDescent="0.25">
      <c r="B427" s="31" t="s">
        <v>2635</v>
      </c>
      <c r="C427" s="40">
        <v>43007.479631712966</v>
      </c>
      <c r="D427" s="31" t="s">
        <v>1238</v>
      </c>
      <c r="E427" s="31">
        <v>1</v>
      </c>
      <c r="F427" s="41">
        <v>2640</v>
      </c>
      <c r="G427" s="40">
        <v>43006</v>
      </c>
      <c r="H427" s="31" t="s">
        <v>1182</v>
      </c>
      <c r="I427" s="47">
        <v>19</v>
      </c>
      <c r="J427" s="1">
        <v>427</v>
      </c>
      <c r="K427" s="72" t="s">
        <v>2154</v>
      </c>
    </row>
    <row r="428" spans="2:11" x14ac:dyDescent="0.25">
      <c r="B428" s="31" t="s">
        <v>2637</v>
      </c>
      <c r="C428" s="40">
        <v>43008.403962037039</v>
      </c>
      <c r="D428" s="31" t="s">
        <v>2271</v>
      </c>
      <c r="E428" s="31">
        <v>20</v>
      </c>
      <c r="F428" s="41">
        <v>0</v>
      </c>
      <c r="G428" s="40">
        <v>43007</v>
      </c>
      <c r="H428" s="31" t="s">
        <v>1189</v>
      </c>
      <c r="I428" s="47">
        <v>1</v>
      </c>
      <c r="J428" s="1">
        <v>428</v>
      </c>
      <c r="K428" s="72" t="s">
        <v>2115</v>
      </c>
    </row>
    <row r="429" spans="2:11" x14ac:dyDescent="0.25">
      <c r="B429" s="31" t="s">
        <v>2640</v>
      </c>
      <c r="C429" s="40">
        <v>43008.406502430553</v>
      </c>
      <c r="D429" s="31" t="s">
        <v>2638</v>
      </c>
      <c r="E429" s="31">
        <v>1</v>
      </c>
      <c r="F429" s="41">
        <v>561</v>
      </c>
      <c r="G429" s="40">
        <v>43007</v>
      </c>
      <c r="H429" s="31" t="s">
        <v>1188</v>
      </c>
      <c r="I429" s="47">
        <v>13</v>
      </c>
      <c r="J429" s="1">
        <v>429</v>
      </c>
      <c r="K429" s="72" t="s">
        <v>2115</v>
      </c>
    </row>
    <row r="430" spans="2:11" x14ac:dyDescent="0.25">
      <c r="B430" s="31" t="s">
        <v>2641</v>
      </c>
      <c r="C430" s="40">
        <v>43008.406504398146</v>
      </c>
      <c r="D430" s="31" t="s">
        <v>2639</v>
      </c>
      <c r="E430" s="31">
        <v>1</v>
      </c>
      <c r="F430" s="41">
        <v>4264</v>
      </c>
      <c r="G430" s="40">
        <v>43007</v>
      </c>
      <c r="H430" s="31" t="s">
        <v>1188</v>
      </c>
      <c r="I430" s="47">
        <v>13</v>
      </c>
      <c r="J430" s="1">
        <v>430</v>
      </c>
      <c r="K430" s="72" t="s">
        <v>2115</v>
      </c>
    </row>
    <row r="431" spans="2:11" x14ac:dyDescent="0.25">
      <c r="B431" s="31" t="s">
        <v>2642</v>
      </c>
      <c r="C431" s="40">
        <v>43008.593256134256</v>
      </c>
      <c r="D431" s="31" t="s">
        <v>2277</v>
      </c>
      <c r="E431" s="31">
        <v>20</v>
      </c>
      <c r="F431" s="41">
        <v>0</v>
      </c>
      <c r="G431" s="40">
        <v>43008</v>
      </c>
      <c r="H431" s="31" t="s">
        <v>1993</v>
      </c>
      <c r="I431" s="47">
        <v>4</v>
      </c>
      <c r="J431" s="1">
        <v>431</v>
      </c>
      <c r="K431" s="72" t="s">
        <v>2034</v>
      </c>
    </row>
    <row r="432" spans="2:11" x14ac:dyDescent="0.25">
      <c r="B432" s="31" t="s">
        <v>2646</v>
      </c>
      <c r="C432" s="40">
        <v>43008.593337500002</v>
      </c>
      <c r="D432" s="31" t="s">
        <v>2643</v>
      </c>
      <c r="E432" s="31">
        <v>20</v>
      </c>
      <c r="F432" s="41">
        <v>0</v>
      </c>
      <c r="G432" s="40">
        <v>43008</v>
      </c>
      <c r="H432" s="31" t="s">
        <v>1993</v>
      </c>
      <c r="I432" s="47">
        <v>4</v>
      </c>
      <c r="J432" s="1">
        <v>432</v>
      </c>
      <c r="K432" s="72" t="s">
        <v>2034</v>
      </c>
    </row>
    <row r="433" spans="2:11" x14ac:dyDescent="0.25">
      <c r="B433" s="31" t="s">
        <v>2647</v>
      </c>
      <c r="C433" s="40">
        <v>43008.593337615741</v>
      </c>
      <c r="D433" s="31" t="s">
        <v>2644</v>
      </c>
      <c r="E433" s="31">
        <v>20</v>
      </c>
      <c r="F433" s="41">
        <v>0</v>
      </c>
      <c r="G433" s="40">
        <v>43008</v>
      </c>
      <c r="H433" s="31" t="s">
        <v>1993</v>
      </c>
      <c r="I433" s="47">
        <v>4</v>
      </c>
      <c r="J433" s="1">
        <v>433</v>
      </c>
      <c r="K433" s="72" t="s">
        <v>2062</v>
      </c>
    </row>
    <row r="434" spans="2:11" x14ac:dyDescent="0.25">
      <c r="B434" s="31" t="s">
        <v>2648</v>
      </c>
      <c r="C434" s="40">
        <v>43008.593337615741</v>
      </c>
      <c r="D434" s="31" t="s">
        <v>2645</v>
      </c>
      <c r="E434" s="31">
        <v>20</v>
      </c>
      <c r="F434" s="41">
        <v>0</v>
      </c>
      <c r="G434" s="40">
        <v>43008</v>
      </c>
      <c r="H434" s="31" t="s">
        <v>1993</v>
      </c>
      <c r="I434" s="47">
        <v>4</v>
      </c>
      <c r="J434" s="1">
        <v>434</v>
      </c>
      <c r="K434" s="72" t="s">
        <v>2062</v>
      </c>
    </row>
    <row r="435" spans="2:11" x14ac:dyDescent="0.25">
      <c r="B435" s="31" t="s">
        <v>2650</v>
      </c>
      <c r="C435" s="40">
        <v>43008.606879513885</v>
      </c>
      <c r="D435" s="31" t="s">
        <v>2649</v>
      </c>
      <c r="E435" s="31">
        <v>20</v>
      </c>
      <c r="F435" s="41">
        <v>0</v>
      </c>
      <c r="G435" s="40">
        <v>43008</v>
      </c>
      <c r="H435" s="31" t="s">
        <v>1492</v>
      </c>
      <c r="I435" s="47">
        <v>8</v>
      </c>
      <c r="J435" s="1">
        <v>435</v>
      </c>
      <c r="K435" s="72" t="s">
        <v>2240</v>
      </c>
    </row>
    <row r="436" spans="2:11" x14ac:dyDescent="0.25">
      <c r="B436" s="31" t="s">
        <v>2651</v>
      </c>
      <c r="C436" s="40">
        <v>43010.37250578704</v>
      </c>
      <c r="D436" s="31" t="s">
        <v>1174</v>
      </c>
      <c r="E436" s="31">
        <v>20</v>
      </c>
      <c r="F436" s="41">
        <v>0</v>
      </c>
      <c r="G436" s="40">
        <v>43011</v>
      </c>
      <c r="H436" s="31" t="s">
        <v>1188</v>
      </c>
      <c r="I436" s="47">
        <v>10</v>
      </c>
      <c r="J436" s="1">
        <v>436</v>
      </c>
      <c r="K436" s="72" t="s">
        <v>2571</v>
      </c>
    </row>
    <row r="437" spans="2:11" x14ac:dyDescent="0.25">
      <c r="B437" s="31" t="s">
        <v>2712</v>
      </c>
      <c r="C437" s="40">
        <v>43010.37265798611</v>
      </c>
      <c r="D437" s="31" t="s">
        <v>1966</v>
      </c>
      <c r="E437" s="31">
        <v>20</v>
      </c>
      <c r="F437" s="41">
        <v>0</v>
      </c>
      <c r="G437" s="40">
        <v>43011</v>
      </c>
      <c r="H437" s="31" t="s">
        <v>1188</v>
      </c>
      <c r="I437" s="47">
        <v>10</v>
      </c>
      <c r="J437" s="1">
        <v>437</v>
      </c>
      <c r="K437" s="72" t="s">
        <v>2571</v>
      </c>
    </row>
    <row r="438" spans="2:11" x14ac:dyDescent="0.25">
      <c r="B438" s="31" t="s">
        <v>2713</v>
      </c>
      <c r="C438" s="40">
        <v>43010.372658217595</v>
      </c>
      <c r="D438" s="31" t="s">
        <v>2704</v>
      </c>
      <c r="E438" s="31">
        <v>20</v>
      </c>
      <c r="F438" s="41">
        <v>0</v>
      </c>
      <c r="G438" s="40">
        <v>43011</v>
      </c>
      <c r="H438" s="31" t="s">
        <v>1188</v>
      </c>
      <c r="I438" s="47">
        <v>10</v>
      </c>
      <c r="J438" s="1">
        <v>438</v>
      </c>
      <c r="K438" s="72" t="s">
        <v>2571</v>
      </c>
    </row>
    <row r="439" spans="2:11" x14ac:dyDescent="0.25">
      <c r="B439" s="31" t="s">
        <v>2714</v>
      </c>
      <c r="C439" s="40">
        <v>43010.372658217595</v>
      </c>
      <c r="D439" s="31" t="s">
        <v>2705</v>
      </c>
      <c r="E439" s="31">
        <v>20</v>
      </c>
      <c r="F439" s="41">
        <v>0</v>
      </c>
      <c r="G439" s="40">
        <v>43011</v>
      </c>
      <c r="H439" s="31" t="s">
        <v>1188</v>
      </c>
      <c r="I439" s="47">
        <v>10</v>
      </c>
      <c r="J439" s="1">
        <v>439</v>
      </c>
      <c r="K439" s="72" t="s">
        <v>2571</v>
      </c>
    </row>
    <row r="440" spans="2:11" x14ac:dyDescent="0.25">
      <c r="B440" s="31" t="s">
        <v>2715</v>
      </c>
      <c r="C440" s="40">
        <v>43010.372658333334</v>
      </c>
      <c r="D440" s="31" t="s">
        <v>2706</v>
      </c>
      <c r="E440" s="31">
        <v>20</v>
      </c>
      <c r="F440" s="41">
        <v>0</v>
      </c>
      <c r="G440" s="40">
        <v>43011</v>
      </c>
      <c r="H440" s="31" t="s">
        <v>1188</v>
      </c>
      <c r="I440" s="47">
        <v>10</v>
      </c>
      <c r="J440" s="1">
        <v>440</v>
      </c>
      <c r="K440" s="72" t="s">
        <v>2571</v>
      </c>
    </row>
    <row r="441" spans="2:11" x14ac:dyDescent="0.25">
      <c r="B441" s="31" t="s">
        <v>2716</v>
      </c>
      <c r="C441" s="40">
        <v>43010.372658333334</v>
      </c>
      <c r="D441" s="31" t="s">
        <v>2707</v>
      </c>
      <c r="E441" s="31">
        <v>20</v>
      </c>
      <c r="F441" s="41">
        <v>0</v>
      </c>
      <c r="G441" s="40">
        <v>43011</v>
      </c>
      <c r="H441" s="31" t="s">
        <v>1188</v>
      </c>
      <c r="I441" s="47">
        <v>10</v>
      </c>
      <c r="J441" s="1">
        <v>441</v>
      </c>
      <c r="K441" s="72" t="s">
        <v>2571</v>
      </c>
    </row>
    <row r="442" spans="2:11" x14ac:dyDescent="0.25">
      <c r="B442" s="31" t="s">
        <v>2717</v>
      </c>
      <c r="C442" s="40">
        <v>43010.372658680557</v>
      </c>
      <c r="D442" s="31" t="s">
        <v>2708</v>
      </c>
      <c r="E442" s="31">
        <v>20</v>
      </c>
      <c r="F442" s="41">
        <v>0</v>
      </c>
      <c r="G442" s="40">
        <v>43011</v>
      </c>
      <c r="H442" s="31" t="s">
        <v>1188</v>
      </c>
      <c r="I442" s="47">
        <v>10</v>
      </c>
      <c r="J442" s="1">
        <v>442</v>
      </c>
      <c r="K442" s="72" t="s">
        <v>2571</v>
      </c>
    </row>
    <row r="443" spans="2:11" x14ac:dyDescent="0.25">
      <c r="B443" s="31" t="s">
        <v>2718</v>
      </c>
      <c r="C443" s="40">
        <v>43010.372658680557</v>
      </c>
      <c r="D443" s="31" t="s">
        <v>2709</v>
      </c>
      <c r="E443" s="31">
        <v>20</v>
      </c>
      <c r="F443" s="41">
        <v>0</v>
      </c>
      <c r="G443" s="40">
        <v>43011</v>
      </c>
      <c r="H443" s="31" t="s">
        <v>1188</v>
      </c>
      <c r="I443" s="47">
        <v>10</v>
      </c>
      <c r="J443" s="1">
        <v>443</v>
      </c>
      <c r="K443" s="72" t="s">
        <v>2571</v>
      </c>
    </row>
    <row r="444" spans="2:11" x14ac:dyDescent="0.25">
      <c r="B444" s="31" t="s">
        <v>2719</v>
      </c>
      <c r="C444" s="40">
        <v>43010.372658796296</v>
      </c>
      <c r="D444" s="31" t="s">
        <v>2710</v>
      </c>
      <c r="E444" s="31">
        <v>20</v>
      </c>
      <c r="F444" s="41">
        <v>0</v>
      </c>
      <c r="G444" s="40">
        <v>43011</v>
      </c>
      <c r="H444" s="31" t="s">
        <v>1188</v>
      </c>
      <c r="I444" s="47">
        <v>10</v>
      </c>
      <c r="J444" s="1">
        <v>444</v>
      </c>
      <c r="K444" s="72" t="s">
        <v>2571</v>
      </c>
    </row>
    <row r="445" spans="2:11" x14ac:dyDescent="0.25">
      <c r="B445" s="31" t="s">
        <v>2720</v>
      </c>
      <c r="C445" s="40">
        <v>43010.372658796296</v>
      </c>
      <c r="D445" s="31" t="s">
        <v>2711</v>
      </c>
      <c r="E445" s="31">
        <v>20</v>
      </c>
      <c r="F445" s="41">
        <v>0</v>
      </c>
      <c r="G445" s="40">
        <v>43011</v>
      </c>
      <c r="H445" s="31" t="s">
        <v>1188</v>
      </c>
      <c r="I445" s="47">
        <v>10</v>
      </c>
      <c r="J445" s="1">
        <v>445</v>
      </c>
      <c r="K445" s="72" t="s">
        <v>2571</v>
      </c>
    </row>
    <row r="446" spans="2:11" x14ac:dyDescent="0.25">
      <c r="B446" s="31" t="s">
        <v>2723</v>
      </c>
      <c r="C446" s="40">
        <v>43010.380823842592</v>
      </c>
      <c r="D446" s="31" t="s">
        <v>2721</v>
      </c>
      <c r="E446" s="31">
        <v>1</v>
      </c>
      <c r="F446" s="41">
        <v>729</v>
      </c>
      <c r="G446" s="40">
        <v>43008</v>
      </c>
      <c r="H446" s="31" t="s">
        <v>1993</v>
      </c>
      <c r="I446" s="47">
        <v>9</v>
      </c>
      <c r="J446" s="1">
        <v>446</v>
      </c>
      <c r="K446" s="72" t="s">
        <v>2722</v>
      </c>
    </row>
    <row r="447" spans="2:11" x14ac:dyDescent="0.25">
      <c r="B447" s="31" t="s">
        <v>2724</v>
      </c>
      <c r="C447" s="40">
        <v>43010.391632407409</v>
      </c>
      <c r="D447" s="31" t="s">
        <v>1912</v>
      </c>
      <c r="G447" s="40">
        <v>43012</v>
      </c>
      <c r="H447" s="31" t="s">
        <v>1182</v>
      </c>
      <c r="I447" s="47">
        <v>2</v>
      </c>
      <c r="J447" s="1">
        <v>447</v>
      </c>
      <c r="K447" s="72" t="s">
        <v>2084</v>
      </c>
    </row>
    <row r="448" spans="2:11" x14ac:dyDescent="0.25">
      <c r="B448" s="31" t="s">
        <v>2726</v>
      </c>
      <c r="C448" s="40">
        <v>43010.391664351853</v>
      </c>
      <c r="D448" s="31" t="s">
        <v>2725</v>
      </c>
      <c r="G448" s="40">
        <v>43012</v>
      </c>
      <c r="H448" s="31" t="s">
        <v>1189</v>
      </c>
      <c r="I448" s="47">
        <v>2</v>
      </c>
      <c r="J448" s="1">
        <v>448</v>
      </c>
      <c r="K448" s="72" t="s">
        <v>2758</v>
      </c>
    </row>
    <row r="449" spans="2:11" x14ac:dyDescent="0.25">
      <c r="B449" s="31" t="s">
        <v>2727</v>
      </c>
      <c r="C449" s="40">
        <v>43010.422614699077</v>
      </c>
      <c r="D449" s="31" t="s">
        <v>1174</v>
      </c>
      <c r="E449" s="31">
        <v>20</v>
      </c>
      <c r="F449" s="41">
        <v>0</v>
      </c>
      <c r="G449" s="40">
        <v>43012</v>
      </c>
      <c r="H449" s="31" t="s">
        <v>1188</v>
      </c>
      <c r="I449" s="47">
        <v>13</v>
      </c>
      <c r="J449" s="1">
        <v>449</v>
      </c>
      <c r="K449" s="72" t="s">
        <v>2115</v>
      </c>
    </row>
    <row r="450" spans="2:11" x14ac:dyDescent="0.25">
      <c r="B450" s="31" t="s">
        <v>2739</v>
      </c>
      <c r="C450" s="40">
        <v>43010.422650810186</v>
      </c>
      <c r="D450" s="31" t="s">
        <v>2728</v>
      </c>
      <c r="E450" s="31">
        <v>20</v>
      </c>
      <c r="F450" s="41">
        <v>0</v>
      </c>
      <c r="G450" s="40">
        <v>43012</v>
      </c>
      <c r="H450" s="31" t="s">
        <v>1188</v>
      </c>
      <c r="I450" s="47">
        <v>13</v>
      </c>
      <c r="J450" s="1">
        <v>450</v>
      </c>
      <c r="K450" s="72" t="s">
        <v>2115</v>
      </c>
    </row>
    <row r="451" spans="2:11" x14ac:dyDescent="0.25">
      <c r="B451" s="31" t="s">
        <v>2740</v>
      </c>
      <c r="C451" s="40">
        <v>43010.422650925924</v>
      </c>
      <c r="D451" s="31" t="s">
        <v>2729</v>
      </c>
      <c r="E451" s="31">
        <v>20</v>
      </c>
      <c r="F451" s="41">
        <v>0</v>
      </c>
      <c r="G451" s="40">
        <v>43012</v>
      </c>
      <c r="H451" s="31" t="s">
        <v>1188</v>
      </c>
      <c r="I451" s="47">
        <v>13</v>
      </c>
      <c r="J451" s="1">
        <v>451</v>
      </c>
      <c r="K451" s="72" t="s">
        <v>2115</v>
      </c>
    </row>
    <row r="452" spans="2:11" x14ac:dyDescent="0.25">
      <c r="B452" s="31" t="s">
        <v>2741</v>
      </c>
      <c r="C452" s="40">
        <v>43010.422650925924</v>
      </c>
      <c r="D452" s="31" t="s">
        <v>2730</v>
      </c>
      <c r="E452" s="31">
        <v>20</v>
      </c>
      <c r="F452" s="41">
        <v>0</v>
      </c>
      <c r="G452" s="40">
        <v>0</v>
      </c>
      <c r="H452" s="31">
        <v>0</v>
      </c>
      <c r="I452" s="47">
        <v>13</v>
      </c>
      <c r="J452" s="1">
        <v>452</v>
      </c>
      <c r="K452" s="72">
        <v>0</v>
      </c>
    </row>
    <row r="453" spans="2:11" x14ac:dyDescent="0.25">
      <c r="B453" s="31" t="s">
        <v>2742</v>
      </c>
      <c r="C453" s="40">
        <v>43010.422651157409</v>
      </c>
      <c r="D453" s="31" t="s">
        <v>2731</v>
      </c>
      <c r="E453" s="31">
        <v>20</v>
      </c>
      <c r="F453" s="41">
        <v>0</v>
      </c>
      <c r="G453" s="40">
        <v>43012</v>
      </c>
      <c r="H453" s="31" t="s">
        <v>1188</v>
      </c>
      <c r="I453" s="47">
        <v>13</v>
      </c>
      <c r="J453" s="1">
        <v>453</v>
      </c>
      <c r="K453" s="72" t="s">
        <v>2115</v>
      </c>
    </row>
    <row r="454" spans="2:11" x14ac:dyDescent="0.25">
      <c r="B454" s="31" t="s">
        <v>2743</v>
      </c>
      <c r="C454" s="40">
        <v>43010.422651157409</v>
      </c>
      <c r="D454" s="31" t="s">
        <v>2732</v>
      </c>
      <c r="E454" s="31">
        <v>20</v>
      </c>
      <c r="F454" s="41">
        <v>0</v>
      </c>
      <c r="G454" s="40">
        <v>0</v>
      </c>
      <c r="H454" s="31">
        <v>0</v>
      </c>
      <c r="I454" s="47">
        <v>13</v>
      </c>
      <c r="J454" s="1">
        <v>454</v>
      </c>
    </row>
    <row r="455" spans="2:11" x14ac:dyDescent="0.25">
      <c r="B455" s="31" t="s">
        <v>2744</v>
      </c>
      <c r="C455" s="40">
        <v>43010.422651273147</v>
      </c>
      <c r="D455" s="31" t="s">
        <v>2733</v>
      </c>
      <c r="E455" s="31">
        <v>20</v>
      </c>
      <c r="F455" s="41">
        <v>0</v>
      </c>
      <c r="G455" s="40">
        <v>43012</v>
      </c>
      <c r="H455" s="31" t="s">
        <v>1188</v>
      </c>
      <c r="I455" s="47">
        <v>13</v>
      </c>
      <c r="J455" s="1">
        <v>455</v>
      </c>
      <c r="K455" s="72" t="s">
        <v>2115</v>
      </c>
    </row>
    <row r="456" spans="2:11" x14ac:dyDescent="0.25">
      <c r="B456" s="31" t="s">
        <v>2745</v>
      </c>
      <c r="C456" s="40">
        <v>43010.422651273147</v>
      </c>
      <c r="D456" s="31" t="s">
        <v>2734</v>
      </c>
      <c r="E456" s="31">
        <v>20</v>
      </c>
      <c r="G456" s="40">
        <v>0</v>
      </c>
      <c r="H456" s="31">
        <v>0</v>
      </c>
      <c r="I456" s="47">
        <v>13</v>
      </c>
      <c r="J456" s="1">
        <v>456</v>
      </c>
      <c r="K456" s="72">
        <v>0</v>
      </c>
    </row>
    <row r="457" spans="2:11" x14ac:dyDescent="0.25">
      <c r="B457" s="31" t="s">
        <v>2746</v>
      </c>
      <c r="C457" s="40">
        <v>43010.422651504632</v>
      </c>
      <c r="D457" s="31" t="s">
        <v>2023</v>
      </c>
      <c r="E457" s="31">
        <v>20</v>
      </c>
      <c r="F457" s="41">
        <v>0</v>
      </c>
      <c r="G457" s="40">
        <v>43012</v>
      </c>
      <c r="H457" s="31" t="s">
        <v>1188</v>
      </c>
      <c r="I457" s="47">
        <v>13</v>
      </c>
      <c r="J457" s="1">
        <v>457</v>
      </c>
      <c r="K457" s="72" t="s">
        <v>2115</v>
      </c>
    </row>
    <row r="458" spans="2:11" x14ac:dyDescent="0.25">
      <c r="B458" s="31" t="s">
        <v>2747</v>
      </c>
      <c r="C458" s="40">
        <v>43010.422651504632</v>
      </c>
      <c r="D458" s="31" t="s">
        <v>2735</v>
      </c>
      <c r="E458" s="31">
        <v>20</v>
      </c>
      <c r="F458" s="41">
        <v>0</v>
      </c>
      <c r="G458" s="40">
        <v>0</v>
      </c>
      <c r="H458" s="31">
        <v>0</v>
      </c>
      <c r="I458" s="47">
        <v>13</v>
      </c>
      <c r="J458" s="1">
        <v>458</v>
      </c>
      <c r="K458" s="72">
        <v>0</v>
      </c>
    </row>
    <row r="459" spans="2:11" x14ac:dyDescent="0.25">
      <c r="B459" s="31" t="s">
        <v>2748</v>
      </c>
      <c r="C459" s="40">
        <v>43010.422651620371</v>
      </c>
      <c r="D459" s="31" t="s">
        <v>2736</v>
      </c>
      <c r="E459" s="31">
        <v>20</v>
      </c>
      <c r="F459" s="41">
        <v>0</v>
      </c>
      <c r="G459" s="40">
        <v>0</v>
      </c>
      <c r="H459" s="31">
        <v>0</v>
      </c>
      <c r="I459" s="47">
        <v>13</v>
      </c>
      <c r="J459" s="1">
        <v>459</v>
      </c>
      <c r="K459" s="72">
        <v>0</v>
      </c>
    </row>
    <row r="460" spans="2:11" x14ac:dyDescent="0.25">
      <c r="B460" s="31" t="s">
        <v>2749</v>
      </c>
      <c r="C460" s="40">
        <v>43010.422651851855</v>
      </c>
      <c r="D460" s="31" t="s">
        <v>2737</v>
      </c>
      <c r="E460" s="31">
        <v>20</v>
      </c>
      <c r="F460" s="41">
        <v>0</v>
      </c>
      <c r="G460" s="40">
        <v>43012</v>
      </c>
      <c r="H460" s="31" t="s">
        <v>1188</v>
      </c>
      <c r="I460" s="47">
        <v>13</v>
      </c>
      <c r="J460" s="1">
        <v>460</v>
      </c>
      <c r="K460" s="72" t="s">
        <v>2115</v>
      </c>
    </row>
    <row r="461" spans="2:11" x14ac:dyDescent="0.25">
      <c r="B461" s="31" t="s">
        <v>2750</v>
      </c>
      <c r="C461" s="40">
        <v>43010.422651851855</v>
      </c>
      <c r="D461" s="31" t="s">
        <v>2738</v>
      </c>
      <c r="E461" s="31">
        <v>20</v>
      </c>
      <c r="F461" s="41">
        <v>0</v>
      </c>
      <c r="G461" s="40">
        <v>43012</v>
      </c>
      <c r="H461" s="31" t="s">
        <v>1188</v>
      </c>
      <c r="I461" s="47">
        <v>13</v>
      </c>
      <c r="J461" s="1">
        <v>461</v>
      </c>
      <c r="K461" s="72" t="s">
        <v>2115</v>
      </c>
    </row>
    <row r="462" spans="2:11" x14ac:dyDescent="0.25">
      <c r="B462" s="31" t="s">
        <v>2751</v>
      </c>
      <c r="C462" s="40">
        <v>43010.426575231482</v>
      </c>
      <c r="D462" s="31" t="s">
        <v>1912</v>
      </c>
      <c r="E462" s="31">
        <v>20</v>
      </c>
      <c r="G462" s="40">
        <v>43011</v>
      </c>
      <c r="H462" s="31" t="s">
        <v>1188</v>
      </c>
      <c r="I462" s="47">
        <v>1</v>
      </c>
      <c r="J462" s="1">
        <v>462</v>
      </c>
      <c r="K462" s="72" t="s">
        <v>2571</v>
      </c>
    </row>
    <row r="463" spans="2:11" x14ac:dyDescent="0.25">
      <c r="B463" s="31" t="s">
        <v>2752</v>
      </c>
      <c r="C463" s="40">
        <v>43010.577054050926</v>
      </c>
      <c r="D463" s="31" t="s">
        <v>1174</v>
      </c>
      <c r="E463" s="31">
        <v>20</v>
      </c>
      <c r="F463" s="41">
        <v>0</v>
      </c>
      <c r="I463" s="47">
        <v>2</v>
      </c>
      <c r="J463" s="1">
        <v>463</v>
      </c>
    </row>
    <row r="464" spans="2:11" x14ac:dyDescent="0.25">
      <c r="B464" s="31" t="s">
        <v>2753</v>
      </c>
      <c r="C464" s="40">
        <v>43010.577056481481</v>
      </c>
      <c r="D464" s="31" t="s">
        <v>1170</v>
      </c>
      <c r="E464" s="31">
        <v>20</v>
      </c>
      <c r="F464" s="41">
        <v>0</v>
      </c>
      <c r="I464" s="47">
        <v>2</v>
      </c>
      <c r="J464" s="1">
        <v>464</v>
      </c>
    </row>
    <row r="465" spans="2:11" x14ac:dyDescent="0.25">
      <c r="B465" s="31" t="s">
        <v>2754</v>
      </c>
      <c r="C465" s="40">
        <v>43012.558627199076</v>
      </c>
      <c r="D465" s="31" t="s">
        <v>2755</v>
      </c>
      <c r="E465" s="31">
        <v>5</v>
      </c>
      <c r="F465" s="41">
        <v>2800</v>
      </c>
      <c r="G465" s="40">
        <v>22193</v>
      </c>
      <c r="H465" s="31" t="s">
        <v>1182</v>
      </c>
      <c r="I465" s="47">
        <v>4</v>
      </c>
      <c r="J465" s="1">
        <v>465</v>
      </c>
      <c r="K465" s="72" t="s">
        <v>2154</v>
      </c>
    </row>
    <row r="466" spans="2:11" x14ac:dyDescent="0.25">
      <c r="B466" s="31" t="s">
        <v>2757</v>
      </c>
      <c r="C466" s="40">
        <v>43012.568106712963</v>
      </c>
      <c r="D466" s="31" t="s">
        <v>2756</v>
      </c>
      <c r="E466" s="31">
        <v>20</v>
      </c>
      <c r="F466" s="41">
        <v>0</v>
      </c>
      <c r="G466" s="40">
        <v>43012</v>
      </c>
      <c r="H466" s="31" t="s">
        <v>1188</v>
      </c>
      <c r="I466" s="47">
        <v>2</v>
      </c>
      <c r="J466" s="1">
        <v>466</v>
      </c>
      <c r="K466" s="72" t="s">
        <v>2571</v>
      </c>
    </row>
    <row r="467" spans="2:11" x14ac:dyDescent="0.25">
      <c r="B467" s="31" t="s">
        <v>2762</v>
      </c>
      <c r="C467" s="40">
        <v>43012.665192592591</v>
      </c>
      <c r="D467" s="31" t="s">
        <v>2759</v>
      </c>
      <c r="E467" s="31">
        <v>1</v>
      </c>
      <c r="F467" s="41">
        <v>425.1</v>
      </c>
      <c r="G467" s="40">
        <v>43012</v>
      </c>
      <c r="H467" s="31" t="s">
        <v>1189</v>
      </c>
      <c r="I467" s="47">
        <v>4</v>
      </c>
      <c r="J467" s="1">
        <v>467</v>
      </c>
      <c r="K467" s="72" t="s">
        <v>2154</v>
      </c>
    </row>
    <row r="468" spans="2:11" x14ac:dyDescent="0.25">
      <c r="B468" s="31" t="s">
        <v>2763</v>
      </c>
      <c r="C468" s="40">
        <v>43012.665192708337</v>
      </c>
      <c r="D468" s="31" t="s">
        <v>2760</v>
      </c>
      <c r="E468" s="31">
        <v>1</v>
      </c>
      <c r="F468" s="41">
        <v>271.44</v>
      </c>
      <c r="G468" s="40">
        <v>43012</v>
      </c>
      <c r="H468" s="31" t="s">
        <v>1189</v>
      </c>
      <c r="I468" s="47">
        <v>4</v>
      </c>
      <c r="J468" s="1">
        <v>468</v>
      </c>
      <c r="K468" s="72" t="s">
        <v>2154</v>
      </c>
    </row>
    <row r="469" spans="2:11" x14ac:dyDescent="0.25">
      <c r="B469" s="31" t="s">
        <v>2764</v>
      </c>
      <c r="C469" s="40">
        <v>43012.665193171299</v>
      </c>
      <c r="D469" s="31" t="s">
        <v>2761</v>
      </c>
      <c r="E469" s="31">
        <v>1</v>
      </c>
      <c r="F469" s="41">
        <v>1860.3</v>
      </c>
      <c r="G469" s="40">
        <v>43012</v>
      </c>
      <c r="H469" s="31" t="s">
        <v>1189</v>
      </c>
      <c r="I469" s="47">
        <v>4</v>
      </c>
      <c r="J469" s="1">
        <v>469</v>
      </c>
      <c r="K469" s="72" t="s">
        <v>2154</v>
      </c>
    </row>
    <row r="470" spans="2:11" x14ac:dyDescent="0.25">
      <c r="B470" s="31" t="s">
        <v>2765</v>
      </c>
      <c r="C470" s="40">
        <v>43012.669056712963</v>
      </c>
      <c r="D470" s="31" t="s">
        <v>2766</v>
      </c>
      <c r="E470" s="31">
        <v>1</v>
      </c>
      <c r="I470" s="47">
        <v>3</v>
      </c>
      <c r="J470" s="1">
        <v>470</v>
      </c>
    </row>
    <row r="471" spans="2:11" x14ac:dyDescent="0.25">
      <c r="B471" s="31" t="s">
        <v>2769</v>
      </c>
      <c r="C471" s="40">
        <v>43012.66908240741</v>
      </c>
      <c r="D471" s="31" t="s">
        <v>2767</v>
      </c>
      <c r="E471" s="31">
        <v>1</v>
      </c>
      <c r="F471" s="41">
        <v>425.1</v>
      </c>
      <c r="G471" s="40">
        <v>43012</v>
      </c>
      <c r="H471" s="31" t="s">
        <v>1189</v>
      </c>
      <c r="I471" s="47">
        <v>3</v>
      </c>
      <c r="J471" s="1">
        <v>471</v>
      </c>
    </row>
    <row r="472" spans="2:11" x14ac:dyDescent="0.25">
      <c r="B472" s="31" t="s">
        <v>2770</v>
      </c>
      <c r="C472" s="40">
        <v>43012.66908240741</v>
      </c>
      <c r="D472" s="31" t="s">
        <v>2768</v>
      </c>
      <c r="E472" s="31">
        <v>1</v>
      </c>
      <c r="I472" s="47">
        <v>3</v>
      </c>
      <c r="J472" s="1">
        <v>472</v>
      </c>
    </row>
    <row r="473" spans="2:11" x14ac:dyDescent="0.25">
      <c r="B473" s="31" t="s">
        <v>2771</v>
      </c>
      <c r="C473" s="40">
        <v>43013.395577546296</v>
      </c>
      <c r="D473" s="31" t="s">
        <v>1174</v>
      </c>
      <c r="E473" s="31">
        <v>20</v>
      </c>
      <c r="F473" s="41">
        <v>0</v>
      </c>
      <c r="I473" s="47">
        <v>4</v>
      </c>
      <c r="J473" s="1">
        <v>473</v>
      </c>
    </row>
    <row r="474" spans="2:11" x14ac:dyDescent="0.25">
      <c r="B474" s="31" t="s">
        <v>2772</v>
      </c>
      <c r="C474" s="40">
        <v>43013.3955943287</v>
      </c>
      <c r="D474" s="31" t="s">
        <v>2052</v>
      </c>
      <c r="E474" s="31">
        <v>20</v>
      </c>
      <c r="F474" s="41">
        <v>0</v>
      </c>
      <c r="I474" s="47">
        <v>4</v>
      </c>
      <c r="J474" s="1">
        <v>474</v>
      </c>
    </row>
    <row r="475" spans="2:11" x14ac:dyDescent="0.25">
      <c r="B475" s="31" t="s">
        <v>2773</v>
      </c>
      <c r="C475" s="40">
        <v>43013.3955943287</v>
      </c>
      <c r="D475" s="31" t="s">
        <v>2252</v>
      </c>
      <c r="E475" s="31">
        <v>20</v>
      </c>
      <c r="F475" s="41">
        <v>0</v>
      </c>
      <c r="I475" s="47">
        <v>4</v>
      </c>
      <c r="J475" s="1">
        <v>475</v>
      </c>
    </row>
    <row r="476" spans="2:11" x14ac:dyDescent="0.25">
      <c r="B476" s="31" t="s">
        <v>2774</v>
      </c>
      <c r="C476" s="40">
        <v>43013.395594560185</v>
      </c>
      <c r="D476" s="31" t="s">
        <v>1955</v>
      </c>
      <c r="E476" s="31">
        <v>20</v>
      </c>
      <c r="F476" s="41">
        <v>0</v>
      </c>
      <c r="I476" s="47">
        <v>4</v>
      </c>
      <c r="J476" s="1">
        <v>476</v>
      </c>
    </row>
    <row r="477" spans="2:11" x14ac:dyDescent="0.25">
      <c r="B477" s="31" t="s">
        <v>2776</v>
      </c>
      <c r="C477" s="40">
        <v>43013.61709097222</v>
      </c>
      <c r="D477" s="31" t="s">
        <v>2775</v>
      </c>
      <c r="E477" s="31">
        <v>14</v>
      </c>
      <c r="F477" s="41">
        <v>1500</v>
      </c>
      <c r="G477" s="40">
        <v>43013</v>
      </c>
      <c r="H477" s="31" t="s">
        <v>1188</v>
      </c>
      <c r="I477" s="47">
        <v>13</v>
      </c>
      <c r="J477" s="1">
        <v>477</v>
      </c>
      <c r="K477" s="72" t="s">
        <v>2115</v>
      </c>
    </row>
    <row r="478" spans="2:11" x14ac:dyDescent="0.25">
      <c r="B478" s="31" t="s">
        <v>2779</v>
      </c>
      <c r="C478" s="40">
        <v>43013.635422916668</v>
      </c>
      <c r="D478" s="31" t="s">
        <v>2777</v>
      </c>
      <c r="E478" s="31">
        <v>20</v>
      </c>
      <c r="F478" s="41">
        <v>0</v>
      </c>
      <c r="G478" s="40">
        <v>43013</v>
      </c>
      <c r="H478" s="31" t="s">
        <v>1182</v>
      </c>
      <c r="I478" s="47">
        <v>3</v>
      </c>
      <c r="J478" s="1">
        <v>478</v>
      </c>
      <c r="K478" s="72" t="s">
        <v>2778</v>
      </c>
    </row>
    <row r="479" spans="2:11" x14ac:dyDescent="0.25">
      <c r="B479" s="31" t="s">
        <v>2780</v>
      </c>
      <c r="C479" s="40">
        <v>43013.650620138891</v>
      </c>
      <c r="D479" s="31" t="s">
        <v>2043</v>
      </c>
      <c r="E479" s="31">
        <v>20</v>
      </c>
      <c r="F479" s="41">
        <v>0</v>
      </c>
      <c r="G479" s="40">
        <v>43013</v>
      </c>
      <c r="H479" s="31" t="s">
        <v>1189</v>
      </c>
      <c r="I479" s="47">
        <v>6</v>
      </c>
      <c r="J479" s="1">
        <v>479</v>
      </c>
      <c r="K479" s="72" t="s">
        <v>2571</v>
      </c>
    </row>
    <row r="480" spans="2:11" x14ac:dyDescent="0.25">
      <c r="B480" s="31" t="s">
        <v>2785</v>
      </c>
      <c r="C480" s="40">
        <v>43013.653311226852</v>
      </c>
      <c r="D480" s="31" t="s">
        <v>2464</v>
      </c>
      <c r="E480" s="31">
        <v>20</v>
      </c>
      <c r="F480" s="41">
        <v>0</v>
      </c>
      <c r="G480" s="40">
        <v>43013</v>
      </c>
      <c r="H480" s="31" t="s">
        <v>1189</v>
      </c>
      <c r="I480" s="47">
        <v>6</v>
      </c>
      <c r="J480" s="1">
        <v>480</v>
      </c>
      <c r="K480" s="72" t="s">
        <v>2571</v>
      </c>
    </row>
    <row r="481" spans="2:11" x14ac:dyDescent="0.25">
      <c r="B481" s="31" t="s">
        <v>2786</v>
      </c>
      <c r="C481" s="40">
        <v>43013.653311574075</v>
      </c>
      <c r="D481" s="31" t="s">
        <v>2781</v>
      </c>
      <c r="E481" s="31">
        <v>20</v>
      </c>
      <c r="F481" s="41">
        <v>0</v>
      </c>
      <c r="G481" s="40">
        <v>43013</v>
      </c>
      <c r="H481" s="31" t="s">
        <v>1189</v>
      </c>
      <c r="I481" s="47">
        <v>6</v>
      </c>
      <c r="J481" s="1">
        <v>481</v>
      </c>
      <c r="K481" s="72" t="s">
        <v>2842</v>
      </c>
    </row>
    <row r="482" spans="2:11" x14ac:dyDescent="0.25">
      <c r="B482" s="31" t="s">
        <v>2787</v>
      </c>
      <c r="C482" s="40">
        <v>43013.653311921298</v>
      </c>
      <c r="D482" s="31" t="s">
        <v>2782</v>
      </c>
      <c r="E482" s="31">
        <v>20</v>
      </c>
      <c r="F482" s="41">
        <v>0</v>
      </c>
      <c r="G482" s="40">
        <v>43013</v>
      </c>
      <c r="H482" s="31" t="s">
        <v>1189</v>
      </c>
      <c r="I482" s="47">
        <v>6</v>
      </c>
      <c r="J482" s="1">
        <v>482</v>
      </c>
      <c r="K482" s="72" t="s">
        <v>2842</v>
      </c>
    </row>
    <row r="483" spans="2:11" x14ac:dyDescent="0.25">
      <c r="B483" s="31" t="s">
        <v>2788</v>
      </c>
      <c r="C483" s="40">
        <v>43013.653312152775</v>
      </c>
      <c r="D483" s="31" t="s">
        <v>2784</v>
      </c>
      <c r="E483" s="31">
        <v>20</v>
      </c>
      <c r="F483" s="41">
        <v>0</v>
      </c>
      <c r="G483" s="40">
        <v>43013</v>
      </c>
      <c r="H483" s="31" t="s">
        <v>1189</v>
      </c>
      <c r="I483" s="47">
        <v>6</v>
      </c>
      <c r="J483" s="1">
        <v>483</v>
      </c>
      <c r="K483" s="72" t="s">
        <v>2842</v>
      </c>
    </row>
    <row r="484" spans="2:11" x14ac:dyDescent="0.25">
      <c r="B484" s="31" t="s">
        <v>2789</v>
      </c>
      <c r="C484" s="40">
        <v>43013.653312499999</v>
      </c>
      <c r="D484" s="31" t="s">
        <v>2783</v>
      </c>
      <c r="E484" s="31">
        <v>20</v>
      </c>
      <c r="F484" s="41">
        <v>0</v>
      </c>
      <c r="G484" s="40">
        <v>43013</v>
      </c>
      <c r="H484" s="31" t="s">
        <v>1189</v>
      </c>
      <c r="I484" s="47">
        <v>6</v>
      </c>
      <c r="J484" s="1">
        <v>484</v>
      </c>
      <c r="K484" s="72" t="s">
        <v>2842</v>
      </c>
    </row>
    <row r="485" spans="2:11" x14ac:dyDescent="0.25">
      <c r="B485" s="31" t="s">
        <v>2790</v>
      </c>
      <c r="C485" s="40">
        <v>43014.585530787037</v>
      </c>
      <c r="D485" s="31" t="s">
        <v>1912</v>
      </c>
      <c r="E485" s="31">
        <v>5</v>
      </c>
      <c r="F485" s="41">
        <v>900</v>
      </c>
      <c r="G485" s="40">
        <v>43014</v>
      </c>
      <c r="H485" s="31" t="s">
        <v>1993</v>
      </c>
      <c r="I485" s="47">
        <v>12</v>
      </c>
      <c r="J485" s="1">
        <v>485</v>
      </c>
      <c r="K485" s="72" t="s">
        <v>1937</v>
      </c>
    </row>
    <row r="486" spans="2:11" x14ac:dyDescent="0.25">
      <c r="B486" s="31" t="s">
        <v>2791</v>
      </c>
      <c r="C486" s="40">
        <v>43015.380067939812</v>
      </c>
      <c r="D486" s="31" t="s">
        <v>2464</v>
      </c>
      <c r="E486" s="31">
        <v>1</v>
      </c>
      <c r="F486" s="41">
        <v>741</v>
      </c>
      <c r="G486" s="40">
        <v>43014</v>
      </c>
      <c r="H486" s="31" t="s">
        <v>1188</v>
      </c>
      <c r="I486" s="47">
        <v>2</v>
      </c>
      <c r="J486" s="1">
        <v>486</v>
      </c>
      <c r="K486" s="72" t="s">
        <v>2822</v>
      </c>
    </row>
    <row r="487" spans="2:11" x14ac:dyDescent="0.25">
      <c r="B487" s="31" t="s">
        <v>2823</v>
      </c>
      <c r="C487" s="40">
        <v>43015.380092708336</v>
      </c>
      <c r="D487" s="31" t="s">
        <v>1479</v>
      </c>
      <c r="E487" s="31">
        <v>1</v>
      </c>
      <c r="F487" s="41">
        <v>3915.6</v>
      </c>
      <c r="G487" s="40">
        <v>43014</v>
      </c>
      <c r="H487" s="31" t="s">
        <v>1188</v>
      </c>
      <c r="I487" s="47">
        <v>2</v>
      </c>
      <c r="J487" s="1">
        <v>487</v>
      </c>
      <c r="K487" s="72" t="s">
        <v>2112</v>
      </c>
    </row>
    <row r="488" spans="2:11" x14ac:dyDescent="0.25">
      <c r="B488" s="31" t="s">
        <v>2824</v>
      </c>
      <c r="C488" s="40">
        <v>43015.396195601854</v>
      </c>
      <c r="D488" s="31" t="s">
        <v>1174</v>
      </c>
      <c r="E488" s="31">
        <v>20</v>
      </c>
      <c r="F488" s="41">
        <v>0</v>
      </c>
      <c r="G488" s="40">
        <v>43014</v>
      </c>
      <c r="H488" s="31" t="s">
        <v>1188</v>
      </c>
      <c r="I488" s="47">
        <v>11</v>
      </c>
      <c r="J488" s="1">
        <v>488</v>
      </c>
      <c r="K488" s="72" t="s">
        <v>2115</v>
      </c>
    </row>
    <row r="489" spans="2:11" x14ac:dyDescent="0.25">
      <c r="B489" s="31" t="s">
        <v>2832</v>
      </c>
      <c r="C489" s="40">
        <v>43015.396198263887</v>
      </c>
      <c r="D489" s="31" t="s">
        <v>1332</v>
      </c>
      <c r="E489" s="31">
        <v>20</v>
      </c>
      <c r="F489" s="41">
        <v>0</v>
      </c>
      <c r="G489" s="40">
        <v>43014</v>
      </c>
      <c r="H489" s="31" t="s">
        <v>1188</v>
      </c>
      <c r="I489" s="47">
        <v>11</v>
      </c>
      <c r="J489" s="1">
        <v>489</v>
      </c>
      <c r="K489" s="72" t="s">
        <v>2115</v>
      </c>
    </row>
    <row r="490" spans="2:11" x14ac:dyDescent="0.25">
      <c r="B490" s="31" t="s">
        <v>2833</v>
      </c>
      <c r="C490" s="40">
        <v>43015.396198379633</v>
      </c>
      <c r="D490" s="31" t="s">
        <v>1171</v>
      </c>
      <c r="E490" s="31">
        <v>20</v>
      </c>
      <c r="F490" s="41">
        <v>0</v>
      </c>
      <c r="G490" s="40">
        <v>43014</v>
      </c>
      <c r="H490" s="31" t="s">
        <v>1188</v>
      </c>
      <c r="I490" s="47">
        <v>11</v>
      </c>
      <c r="J490" s="1">
        <v>490</v>
      </c>
      <c r="K490" s="72" t="s">
        <v>2112</v>
      </c>
    </row>
    <row r="491" spans="2:11" x14ac:dyDescent="0.25">
      <c r="B491" s="31" t="s">
        <v>2834</v>
      </c>
      <c r="C491" s="40">
        <v>43015.396198379633</v>
      </c>
      <c r="D491" s="31" t="s">
        <v>2825</v>
      </c>
      <c r="E491" s="31">
        <v>20</v>
      </c>
      <c r="F491" s="41">
        <v>0</v>
      </c>
      <c r="G491" s="40">
        <v>43014</v>
      </c>
      <c r="H491" s="31" t="s">
        <v>1188</v>
      </c>
      <c r="I491" s="47">
        <v>11</v>
      </c>
      <c r="J491" s="1">
        <v>491</v>
      </c>
      <c r="K491" s="72" t="s">
        <v>2115</v>
      </c>
    </row>
    <row r="492" spans="2:11" x14ac:dyDescent="0.25">
      <c r="B492" s="31" t="s">
        <v>2835</v>
      </c>
      <c r="C492" s="40">
        <v>43015.396198495371</v>
      </c>
      <c r="D492" s="31" t="s">
        <v>2826</v>
      </c>
      <c r="E492" s="31">
        <v>20</v>
      </c>
      <c r="F492" s="41">
        <v>0</v>
      </c>
      <c r="G492" s="40">
        <v>43014</v>
      </c>
      <c r="H492" s="31" t="s">
        <v>1188</v>
      </c>
      <c r="I492" s="47">
        <v>11</v>
      </c>
      <c r="J492" s="1">
        <v>492</v>
      </c>
      <c r="K492" s="72" t="s">
        <v>2115</v>
      </c>
    </row>
    <row r="493" spans="2:11" x14ac:dyDescent="0.25">
      <c r="B493" s="31" t="s">
        <v>2836</v>
      </c>
      <c r="C493" s="40">
        <v>43015.396198495371</v>
      </c>
      <c r="D493" s="31" t="s">
        <v>2827</v>
      </c>
      <c r="E493" s="31">
        <v>20</v>
      </c>
      <c r="F493" s="41">
        <v>0</v>
      </c>
      <c r="G493" s="40">
        <v>43014</v>
      </c>
      <c r="H493" s="31" t="s">
        <v>1188</v>
      </c>
      <c r="I493" s="47">
        <v>11</v>
      </c>
      <c r="J493" s="1">
        <v>493</v>
      </c>
      <c r="K493" s="72" t="s">
        <v>2115</v>
      </c>
    </row>
    <row r="494" spans="2:11" x14ac:dyDescent="0.25">
      <c r="B494" s="31" t="s">
        <v>2837</v>
      </c>
      <c r="C494" s="40">
        <v>43015.396198726849</v>
      </c>
      <c r="D494" s="31" t="s">
        <v>2268</v>
      </c>
      <c r="E494" s="31">
        <v>20</v>
      </c>
      <c r="F494" s="41">
        <v>0</v>
      </c>
      <c r="G494" s="40">
        <v>43014</v>
      </c>
      <c r="H494" s="31" t="s">
        <v>1188</v>
      </c>
      <c r="I494" s="47">
        <v>11</v>
      </c>
      <c r="J494" s="1">
        <v>494</v>
      </c>
      <c r="K494" s="72" t="s">
        <v>2115</v>
      </c>
    </row>
    <row r="495" spans="2:11" x14ac:dyDescent="0.25">
      <c r="B495" s="31" t="s">
        <v>2838</v>
      </c>
      <c r="C495" s="40">
        <v>43015.396198726849</v>
      </c>
      <c r="D495" s="31" t="s">
        <v>2828</v>
      </c>
      <c r="E495" s="31">
        <v>20</v>
      </c>
      <c r="F495" s="41">
        <v>0</v>
      </c>
      <c r="G495" s="40">
        <v>43014</v>
      </c>
      <c r="H495" s="31" t="s">
        <v>1188</v>
      </c>
      <c r="I495" s="47">
        <v>11</v>
      </c>
      <c r="J495" s="1">
        <v>495</v>
      </c>
      <c r="K495" s="72" t="s">
        <v>2115</v>
      </c>
    </row>
    <row r="496" spans="2:11" x14ac:dyDescent="0.25">
      <c r="B496" s="31" t="s">
        <v>2839</v>
      </c>
      <c r="C496" s="40">
        <v>43015.396199074072</v>
      </c>
      <c r="D496" s="31" t="s">
        <v>2829</v>
      </c>
      <c r="E496" s="31">
        <v>20</v>
      </c>
      <c r="F496" s="41">
        <v>0</v>
      </c>
      <c r="G496" s="40">
        <v>43014</v>
      </c>
      <c r="H496" s="31" t="s">
        <v>1188</v>
      </c>
      <c r="I496" s="47">
        <v>11</v>
      </c>
      <c r="J496" s="1">
        <v>496</v>
      </c>
      <c r="K496" s="72" t="s">
        <v>2115</v>
      </c>
    </row>
    <row r="497" spans="2:11" x14ac:dyDescent="0.25">
      <c r="B497" s="31" t="s">
        <v>2840</v>
      </c>
      <c r="C497" s="40">
        <v>43015.396199074072</v>
      </c>
      <c r="D497" s="31" t="s">
        <v>2830</v>
      </c>
      <c r="E497" s="31">
        <v>20</v>
      </c>
      <c r="F497" s="41">
        <v>0</v>
      </c>
      <c r="G497" s="40">
        <v>43014</v>
      </c>
      <c r="H497" s="31" t="s">
        <v>1188</v>
      </c>
      <c r="I497" s="47">
        <v>11</v>
      </c>
      <c r="J497" s="1">
        <v>497</v>
      </c>
      <c r="K497" s="72" t="s">
        <v>2115</v>
      </c>
    </row>
    <row r="498" spans="2:11" x14ac:dyDescent="0.25">
      <c r="B498" s="31" t="s">
        <v>2841</v>
      </c>
      <c r="C498" s="40">
        <v>43015.396199305556</v>
      </c>
      <c r="D498" s="31" t="s">
        <v>2831</v>
      </c>
      <c r="E498" s="31">
        <v>20</v>
      </c>
      <c r="F498" s="41">
        <v>0</v>
      </c>
      <c r="G498" s="40">
        <v>43014</v>
      </c>
      <c r="H498" s="31" t="s">
        <v>1188</v>
      </c>
      <c r="I498" s="47">
        <v>11</v>
      </c>
      <c r="J498" s="1">
        <v>498</v>
      </c>
      <c r="K498" s="72" t="s">
        <v>2115</v>
      </c>
    </row>
    <row r="499" spans="2:11" x14ac:dyDescent="0.25">
      <c r="B499" s="31" t="s">
        <v>2846</v>
      </c>
      <c r="C499" s="40">
        <v>43015.410057175926</v>
      </c>
      <c r="D499" s="31" t="s">
        <v>2843</v>
      </c>
      <c r="E499" s="31">
        <v>20</v>
      </c>
      <c r="F499" s="41">
        <v>0</v>
      </c>
      <c r="G499" s="40">
        <v>43013</v>
      </c>
      <c r="H499" s="31" t="s">
        <v>1182</v>
      </c>
      <c r="I499" s="47">
        <v>5</v>
      </c>
      <c r="J499" s="1">
        <v>499</v>
      </c>
      <c r="K499" s="72" t="s">
        <v>2778</v>
      </c>
    </row>
    <row r="500" spans="2:11" x14ac:dyDescent="0.25">
      <c r="B500" s="31" t="s">
        <v>2847</v>
      </c>
      <c r="C500" s="40">
        <v>43015.41005752315</v>
      </c>
      <c r="D500" s="31" t="s">
        <v>2844</v>
      </c>
      <c r="E500" s="31">
        <v>20</v>
      </c>
      <c r="F500" s="41">
        <v>0</v>
      </c>
      <c r="G500" s="40">
        <v>43013</v>
      </c>
      <c r="H500" s="31" t="s">
        <v>1182</v>
      </c>
      <c r="I500" s="47">
        <v>5</v>
      </c>
      <c r="J500" s="1">
        <v>500</v>
      </c>
      <c r="K500" s="72" t="s">
        <v>2778</v>
      </c>
    </row>
    <row r="501" spans="2:11" x14ac:dyDescent="0.25">
      <c r="B501" s="31" t="s">
        <v>2848</v>
      </c>
      <c r="C501" s="40">
        <v>43015.410057754627</v>
      </c>
      <c r="D501" s="31" t="s">
        <v>2845</v>
      </c>
      <c r="E501" s="31">
        <v>20</v>
      </c>
      <c r="F501" s="41">
        <v>0</v>
      </c>
      <c r="G501" s="40">
        <v>43013</v>
      </c>
      <c r="H501" s="31" t="s">
        <v>1182</v>
      </c>
      <c r="I501" s="47">
        <v>5</v>
      </c>
      <c r="J501" s="1">
        <v>501</v>
      </c>
      <c r="K501" s="72" t="s">
        <v>2778</v>
      </c>
    </row>
    <row r="502" spans="2:11" x14ac:dyDescent="0.25">
      <c r="B502" s="31" t="s">
        <v>2849</v>
      </c>
      <c r="C502" s="40">
        <v>43015.70405104167</v>
      </c>
      <c r="D502" s="31" t="s">
        <v>1174</v>
      </c>
      <c r="E502" s="31">
        <v>20</v>
      </c>
      <c r="F502" s="41">
        <v>0</v>
      </c>
      <c r="G502" s="40">
        <v>43015</v>
      </c>
      <c r="I502" s="47">
        <v>6</v>
      </c>
      <c r="J502" s="1">
        <v>502</v>
      </c>
      <c r="K502" s="72" t="s">
        <v>1937</v>
      </c>
    </row>
    <row r="503" spans="2:11" x14ac:dyDescent="0.25">
      <c r="B503" s="31" t="s">
        <v>2854</v>
      </c>
      <c r="C503" s="40">
        <v>43015.704053125002</v>
      </c>
      <c r="D503" s="31" t="s">
        <v>2850</v>
      </c>
      <c r="E503" s="31">
        <v>20</v>
      </c>
      <c r="F503" s="41">
        <v>0</v>
      </c>
      <c r="G503" s="40">
        <v>43015</v>
      </c>
      <c r="H503" s="31" t="s">
        <v>2853</v>
      </c>
      <c r="I503" s="47">
        <v>6</v>
      </c>
      <c r="J503" s="1">
        <v>503</v>
      </c>
      <c r="K503" s="72" t="s">
        <v>1998</v>
      </c>
    </row>
    <row r="504" spans="2:11" x14ac:dyDescent="0.25">
      <c r="B504" s="31" t="s">
        <v>2855</v>
      </c>
      <c r="C504" s="40">
        <v>43015.704053240741</v>
      </c>
      <c r="D504" s="31" t="s">
        <v>2851</v>
      </c>
      <c r="E504" s="31">
        <v>20</v>
      </c>
      <c r="F504" s="41">
        <v>0</v>
      </c>
      <c r="G504" s="40">
        <v>43015</v>
      </c>
      <c r="H504" s="31" t="s">
        <v>1189</v>
      </c>
      <c r="I504" s="47">
        <v>6</v>
      </c>
      <c r="J504" s="1">
        <v>504</v>
      </c>
      <c r="K504" s="72" t="s">
        <v>1998</v>
      </c>
    </row>
    <row r="505" spans="2:11" x14ac:dyDescent="0.25">
      <c r="B505" s="31" t="s">
        <v>2856</v>
      </c>
      <c r="C505" s="40">
        <v>43015.70405335648</v>
      </c>
      <c r="D505" s="31" t="s">
        <v>2428</v>
      </c>
      <c r="E505" s="31">
        <v>20</v>
      </c>
      <c r="F505" s="41">
        <v>0</v>
      </c>
      <c r="G505" s="40">
        <v>43015</v>
      </c>
      <c r="H505" s="31" t="s">
        <v>1189</v>
      </c>
      <c r="I505" s="47">
        <v>6</v>
      </c>
      <c r="J505" s="1">
        <v>505</v>
      </c>
      <c r="K505" s="72" t="s">
        <v>1998</v>
      </c>
    </row>
    <row r="506" spans="2:11" x14ac:dyDescent="0.25">
      <c r="B506" s="31" t="s">
        <v>2857</v>
      </c>
      <c r="C506" s="40">
        <v>43015.704053472225</v>
      </c>
      <c r="D506" s="31" t="s">
        <v>2852</v>
      </c>
      <c r="E506" s="31">
        <v>20</v>
      </c>
      <c r="F506" s="41">
        <v>0</v>
      </c>
      <c r="G506" s="40">
        <v>43015</v>
      </c>
      <c r="H506" s="31" t="s">
        <v>1189</v>
      </c>
      <c r="I506" s="47">
        <v>6</v>
      </c>
      <c r="J506" s="1">
        <v>506</v>
      </c>
      <c r="K506" s="72" t="s">
        <v>1998</v>
      </c>
    </row>
    <row r="507" spans="2:11" x14ac:dyDescent="0.25">
      <c r="B507" s="31" t="s">
        <v>2858</v>
      </c>
      <c r="C507" s="40">
        <v>43015.704053587964</v>
      </c>
      <c r="D507" s="31" t="s">
        <v>1332</v>
      </c>
      <c r="E507" s="31">
        <v>20</v>
      </c>
      <c r="F507" s="41">
        <v>0</v>
      </c>
      <c r="G507" s="40">
        <v>43015</v>
      </c>
      <c r="H507" s="31" t="s">
        <v>1189</v>
      </c>
      <c r="I507" s="47">
        <v>6</v>
      </c>
      <c r="J507" s="1">
        <v>507</v>
      </c>
      <c r="K507" s="72" t="s">
        <v>1998</v>
      </c>
    </row>
    <row r="508" spans="2:11" x14ac:dyDescent="0.25">
      <c r="B508" s="31" t="s">
        <v>2859</v>
      </c>
      <c r="C508" s="40">
        <v>43015.705758449076</v>
      </c>
      <c r="D508" s="31" t="s">
        <v>1174</v>
      </c>
      <c r="E508" s="31">
        <v>20</v>
      </c>
      <c r="F508" s="41">
        <v>0</v>
      </c>
      <c r="G508" s="40">
        <v>43015</v>
      </c>
      <c r="H508" s="31" t="s">
        <v>1993</v>
      </c>
      <c r="I508" s="47">
        <v>21</v>
      </c>
      <c r="J508" s="1">
        <v>508</v>
      </c>
      <c r="K508" s="72" t="s">
        <v>2862</v>
      </c>
    </row>
    <row r="509" spans="2:11" x14ac:dyDescent="0.25">
      <c r="B509" s="31" t="s">
        <v>2864</v>
      </c>
      <c r="C509" s="40">
        <v>43015.705775810187</v>
      </c>
      <c r="D509" s="31" t="s">
        <v>2860</v>
      </c>
      <c r="E509" s="31">
        <v>20</v>
      </c>
      <c r="F509" s="41">
        <v>0</v>
      </c>
      <c r="G509" s="40">
        <v>43015</v>
      </c>
      <c r="H509" s="31" t="s">
        <v>1993</v>
      </c>
      <c r="I509" s="47">
        <v>21</v>
      </c>
      <c r="J509" s="1">
        <v>509</v>
      </c>
      <c r="K509" s="72" t="s">
        <v>1920</v>
      </c>
    </row>
    <row r="510" spans="2:11" x14ac:dyDescent="0.25">
      <c r="B510" s="31" t="s">
        <v>2865</v>
      </c>
      <c r="C510" s="40">
        <v>43015.705775925926</v>
      </c>
      <c r="D510" s="31" t="s">
        <v>1171</v>
      </c>
      <c r="E510" s="31">
        <v>20</v>
      </c>
      <c r="F510" s="41">
        <v>0</v>
      </c>
      <c r="G510" s="40">
        <v>43015</v>
      </c>
      <c r="H510" s="31" t="s">
        <v>1993</v>
      </c>
      <c r="I510" s="47">
        <v>21</v>
      </c>
      <c r="J510" s="1">
        <v>510</v>
      </c>
      <c r="K510" s="72" t="s">
        <v>2863</v>
      </c>
    </row>
    <row r="511" spans="2:11" x14ac:dyDescent="0.25">
      <c r="B511" s="31" t="s">
        <v>2866</v>
      </c>
      <c r="C511" s="40">
        <v>43015.705776041665</v>
      </c>
      <c r="D511" s="31" t="s">
        <v>2861</v>
      </c>
      <c r="E511" s="31">
        <v>20</v>
      </c>
      <c r="F511" s="41">
        <v>0</v>
      </c>
      <c r="G511" s="40">
        <v>43015</v>
      </c>
      <c r="H511" s="31" t="s">
        <v>1993</v>
      </c>
      <c r="I511" s="47">
        <v>21</v>
      </c>
      <c r="J511" s="1">
        <v>511</v>
      </c>
      <c r="K511" s="72" t="s">
        <v>1920</v>
      </c>
    </row>
    <row r="512" spans="2:11" x14ac:dyDescent="0.25">
      <c r="B512" s="31" t="s">
        <v>2867</v>
      </c>
      <c r="C512" s="40">
        <v>43017.552582291668</v>
      </c>
      <c r="D512" s="31" t="s">
        <v>2868</v>
      </c>
      <c r="E512" s="31">
        <v>20</v>
      </c>
      <c r="F512" s="41">
        <v>0</v>
      </c>
      <c r="G512" s="40">
        <v>43017</v>
      </c>
      <c r="H512" s="31" t="s">
        <v>1993</v>
      </c>
      <c r="I512" s="47">
        <v>1</v>
      </c>
      <c r="J512" s="1">
        <v>512</v>
      </c>
      <c r="K512" s="72" t="s">
        <v>2154</v>
      </c>
    </row>
    <row r="513" spans="2:11" x14ac:dyDescent="0.25">
      <c r="B513" s="31" t="s">
        <v>2885</v>
      </c>
      <c r="C513" s="40">
        <v>43017.563071296296</v>
      </c>
      <c r="D513" s="31" t="s">
        <v>2870</v>
      </c>
      <c r="E513" s="31">
        <v>20</v>
      </c>
      <c r="F513" s="41">
        <v>0</v>
      </c>
      <c r="G513" s="40">
        <v>43017</v>
      </c>
      <c r="H513" s="31" t="s">
        <v>1993</v>
      </c>
      <c r="I513" s="47">
        <v>21</v>
      </c>
      <c r="J513" s="1">
        <v>513</v>
      </c>
      <c r="K513" s="72" t="s">
        <v>2115</v>
      </c>
    </row>
    <row r="514" spans="2:11" x14ac:dyDescent="0.25">
      <c r="B514" s="31" t="s">
        <v>2886</v>
      </c>
      <c r="C514" s="40">
        <v>43017.563072569443</v>
      </c>
      <c r="D514" s="31" t="s">
        <v>2871</v>
      </c>
      <c r="E514" s="31">
        <v>20</v>
      </c>
      <c r="F514" s="41">
        <v>0</v>
      </c>
      <c r="G514" s="40">
        <v>43017</v>
      </c>
      <c r="H514" s="31" t="s">
        <v>1993</v>
      </c>
      <c r="I514" s="47">
        <v>21</v>
      </c>
      <c r="J514" s="1">
        <v>514</v>
      </c>
      <c r="K514" s="72" t="s">
        <v>2115</v>
      </c>
    </row>
    <row r="515" spans="2:11" x14ac:dyDescent="0.25">
      <c r="B515" s="31" t="s">
        <v>2887</v>
      </c>
      <c r="C515" s="40">
        <v>43017.563073495374</v>
      </c>
      <c r="D515" s="31" t="s">
        <v>2872</v>
      </c>
      <c r="E515" s="31">
        <v>20</v>
      </c>
      <c r="F515" s="41">
        <v>0</v>
      </c>
      <c r="G515" s="40">
        <v>43017</v>
      </c>
      <c r="H515" s="31" t="s">
        <v>1993</v>
      </c>
      <c r="I515" s="47">
        <v>21</v>
      </c>
      <c r="J515" s="1">
        <v>515</v>
      </c>
      <c r="K515" s="72" t="s">
        <v>2115</v>
      </c>
    </row>
    <row r="516" spans="2:11" x14ac:dyDescent="0.25">
      <c r="B516" s="31" t="s">
        <v>2888</v>
      </c>
      <c r="C516" s="40">
        <v>43017.563074189813</v>
      </c>
      <c r="D516" s="31" t="s">
        <v>2873</v>
      </c>
      <c r="E516" s="31">
        <v>20</v>
      </c>
      <c r="F516" s="41">
        <v>0</v>
      </c>
      <c r="G516" s="40">
        <v>43017</v>
      </c>
      <c r="H516" s="31" t="s">
        <v>1993</v>
      </c>
      <c r="I516" s="47">
        <v>21</v>
      </c>
      <c r="J516" s="1">
        <v>516</v>
      </c>
      <c r="K516" s="72" t="s">
        <v>2115</v>
      </c>
    </row>
    <row r="517" spans="2:11" x14ac:dyDescent="0.25">
      <c r="B517" s="31" t="s">
        <v>2889</v>
      </c>
      <c r="C517" s="40">
        <v>43017.563075347221</v>
      </c>
      <c r="D517" s="31" t="s">
        <v>2874</v>
      </c>
      <c r="E517" s="31">
        <v>20</v>
      </c>
      <c r="F517" s="41">
        <v>0</v>
      </c>
      <c r="G517" s="40">
        <v>43017</v>
      </c>
      <c r="H517" s="31" t="s">
        <v>1993</v>
      </c>
      <c r="I517" s="47">
        <v>21</v>
      </c>
      <c r="J517" s="1">
        <v>517</v>
      </c>
      <c r="K517" s="72" t="s">
        <v>2115</v>
      </c>
    </row>
    <row r="518" spans="2:11" x14ac:dyDescent="0.25">
      <c r="B518" s="31" t="s">
        <v>2890</v>
      </c>
      <c r="C518" s="40">
        <v>43017.563076041668</v>
      </c>
      <c r="D518" s="31" t="s">
        <v>2875</v>
      </c>
      <c r="E518" s="31">
        <v>20</v>
      </c>
      <c r="F518" s="41">
        <v>0</v>
      </c>
      <c r="G518" s="40">
        <v>43017</v>
      </c>
      <c r="H518" s="31" t="s">
        <v>1993</v>
      </c>
      <c r="I518" s="47">
        <v>21</v>
      </c>
      <c r="J518" s="1">
        <v>518</v>
      </c>
      <c r="K518" s="72" t="s">
        <v>2115</v>
      </c>
    </row>
    <row r="519" spans="2:11" x14ac:dyDescent="0.25">
      <c r="B519" s="31" t="s">
        <v>2891</v>
      </c>
      <c r="C519" s="40">
        <v>43017.563076967592</v>
      </c>
      <c r="D519" s="31" t="s">
        <v>2876</v>
      </c>
      <c r="E519" s="31">
        <v>20</v>
      </c>
      <c r="F519" s="41">
        <v>0</v>
      </c>
      <c r="G519" s="40">
        <v>43017</v>
      </c>
      <c r="H519" s="31" t="s">
        <v>1993</v>
      </c>
      <c r="I519" s="47">
        <v>21</v>
      </c>
      <c r="J519" s="1">
        <v>519</v>
      </c>
      <c r="K519" s="72" t="s">
        <v>2115</v>
      </c>
    </row>
    <row r="520" spans="2:11" x14ac:dyDescent="0.25">
      <c r="B520" s="31" t="s">
        <v>2892</v>
      </c>
      <c r="C520" s="40">
        <v>43017.563077893516</v>
      </c>
      <c r="D520" s="31" t="s">
        <v>2877</v>
      </c>
      <c r="E520" s="31">
        <v>20</v>
      </c>
      <c r="F520" s="41">
        <v>0</v>
      </c>
      <c r="G520" s="40">
        <v>43017</v>
      </c>
      <c r="H520" s="31" t="s">
        <v>1993</v>
      </c>
      <c r="I520" s="47">
        <v>21</v>
      </c>
      <c r="J520" s="1">
        <v>520</v>
      </c>
      <c r="K520" s="72" t="s">
        <v>2115</v>
      </c>
    </row>
    <row r="521" spans="2:11" x14ac:dyDescent="0.25">
      <c r="B521" s="31" t="s">
        <v>2893</v>
      </c>
      <c r="C521" s="40">
        <v>43017.563078703701</v>
      </c>
      <c r="D521" s="31" t="s">
        <v>1170</v>
      </c>
      <c r="E521" s="31">
        <v>20</v>
      </c>
      <c r="F521" s="41">
        <v>0</v>
      </c>
      <c r="G521" s="40">
        <v>43017</v>
      </c>
      <c r="H521" s="31" t="s">
        <v>1993</v>
      </c>
      <c r="I521" s="47">
        <v>21</v>
      </c>
      <c r="J521" s="1">
        <v>521</v>
      </c>
      <c r="K521" s="72" t="s">
        <v>2115</v>
      </c>
    </row>
    <row r="522" spans="2:11" x14ac:dyDescent="0.25">
      <c r="B522" s="31" t="s">
        <v>2894</v>
      </c>
      <c r="C522" s="40">
        <v>43017.563079629632</v>
      </c>
      <c r="D522" s="31" t="s">
        <v>2878</v>
      </c>
      <c r="E522" s="31">
        <v>20</v>
      </c>
      <c r="F522" s="41">
        <v>0</v>
      </c>
      <c r="G522" s="40">
        <v>43017</v>
      </c>
      <c r="H522" s="31" t="s">
        <v>1993</v>
      </c>
      <c r="I522" s="47">
        <v>21</v>
      </c>
      <c r="J522" s="1">
        <v>522</v>
      </c>
      <c r="K522" s="72" t="s">
        <v>2115</v>
      </c>
    </row>
    <row r="523" spans="2:11" x14ac:dyDescent="0.25">
      <c r="B523" s="31" t="s">
        <v>2895</v>
      </c>
      <c r="C523" s="40">
        <v>43017.563080555556</v>
      </c>
      <c r="D523" s="31" t="s">
        <v>2882</v>
      </c>
      <c r="E523" s="31">
        <v>20</v>
      </c>
      <c r="F523" s="41">
        <v>0</v>
      </c>
      <c r="G523" s="40">
        <v>43017</v>
      </c>
      <c r="H523" s="31" t="s">
        <v>1993</v>
      </c>
      <c r="I523" s="47">
        <v>21</v>
      </c>
      <c r="J523" s="1">
        <v>523</v>
      </c>
      <c r="K523" s="72" t="s">
        <v>2115</v>
      </c>
    </row>
    <row r="524" spans="2:11" x14ac:dyDescent="0.25">
      <c r="B524" s="31" t="s">
        <v>2896</v>
      </c>
      <c r="C524" s="40">
        <v>43017.563081481479</v>
      </c>
      <c r="D524" s="31" t="s">
        <v>2879</v>
      </c>
      <c r="E524" s="31">
        <v>20</v>
      </c>
      <c r="F524" s="41">
        <v>0</v>
      </c>
      <c r="G524" s="40">
        <v>43017</v>
      </c>
      <c r="H524" s="31" t="s">
        <v>1993</v>
      </c>
      <c r="I524" s="47">
        <v>21</v>
      </c>
      <c r="J524" s="1">
        <v>524</v>
      </c>
      <c r="K524" s="72" t="s">
        <v>2115</v>
      </c>
    </row>
    <row r="525" spans="2:11" x14ac:dyDescent="0.25">
      <c r="B525" s="31" t="s">
        <v>2897</v>
      </c>
      <c r="C525" s="40">
        <v>43017.563082407411</v>
      </c>
      <c r="D525" s="31" t="s">
        <v>2883</v>
      </c>
      <c r="E525" s="31">
        <v>20</v>
      </c>
      <c r="F525" s="41">
        <v>0</v>
      </c>
      <c r="G525" s="40">
        <v>43017</v>
      </c>
      <c r="H525" s="31" t="s">
        <v>1993</v>
      </c>
      <c r="I525" s="47">
        <v>21</v>
      </c>
      <c r="J525" s="1">
        <v>525</v>
      </c>
      <c r="K525" s="72" t="s">
        <v>2115</v>
      </c>
    </row>
    <row r="526" spans="2:11" x14ac:dyDescent="0.25">
      <c r="B526" s="31" t="s">
        <v>2898</v>
      </c>
      <c r="C526" s="40">
        <v>43017.563083333334</v>
      </c>
      <c r="D526" s="31" t="s">
        <v>2881</v>
      </c>
      <c r="E526" s="31">
        <v>20</v>
      </c>
      <c r="F526" s="41">
        <v>0</v>
      </c>
      <c r="G526" s="40">
        <v>43017</v>
      </c>
      <c r="H526" s="31" t="s">
        <v>1993</v>
      </c>
      <c r="I526" s="47">
        <v>21</v>
      </c>
      <c r="J526" s="1">
        <v>526</v>
      </c>
      <c r="K526" s="72" t="s">
        <v>2115</v>
      </c>
    </row>
    <row r="527" spans="2:11" x14ac:dyDescent="0.25">
      <c r="B527" s="31" t="s">
        <v>2899</v>
      </c>
      <c r="C527" s="40">
        <v>43017.563084259258</v>
      </c>
      <c r="D527" s="31" t="s">
        <v>2880</v>
      </c>
      <c r="E527" s="31">
        <v>20</v>
      </c>
      <c r="F527" s="41">
        <v>0</v>
      </c>
      <c r="G527" s="40">
        <v>43017</v>
      </c>
      <c r="H527" s="31" t="s">
        <v>1993</v>
      </c>
      <c r="I527" s="47">
        <v>21</v>
      </c>
      <c r="J527" s="1">
        <v>527</v>
      </c>
      <c r="K527" s="72" t="s">
        <v>2115</v>
      </c>
    </row>
    <row r="528" spans="2:11" x14ac:dyDescent="0.25">
      <c r="B528" s="31" t="s">
        <v>2900</v>
      </c>
      <c r="C528" s="40">
        <v>43017.563085069443</v>
      </c>
      <c r="D528" s="31" t="s">
        <v>2884</v>
      </c>
      <c r="E528" s="31">
        <v>20</v>
      </c>
      <c r="F528" s="41">
        <v>0</v>
      </c>
      <c r="G528" s="40">
        <v>43017</v>
      </c>
      <c r="H528" s="31" t="s">
        <v>1993</v>
      </c>
      <c r="I528" s="47">
        <v>21</v>
      </c>
      <c r="J528" s="1">
        <v>528</v>
      </c>
      <c r="K528" s="72" t="s">
        <v>2115</v>
      </c>
    </row>
    <row r="529" spans="2:11" x14ac:dyDescent="0.25">
      <c r="B529" s="31" t="s">
        <v>2901</v>
      </c>
      <c r="C529" s="40">
        <v>43017.563085995367</v>
      </c>
      <c r="D529" s="31" t="s">
        <v>2869</v>
      </c>
      <c r="E529" s="31">
        <v>20</v>
      </c>
      <c r="G529" s="40">
        <v>43017</v>
      </c>
      <c r="H529" s="31" t="s">
        <v>1993</v>
      </c>
      <c r="I529" s="47">
        <v>21</v>
      </c>
      <c r="J529" s="1">
        <v>529</v>
      </c>
      <c r="K529" s="72" t="s">
        <v>2115</v>
      </c>
    </row>
    <row r="530" spans="2:11" x14ac:dyDescent="0.25">
      <c r="J530" s="1">
        <v>530</v>
      </c>
    </row>
    <row r="531" spans="2:11" x14ac:dyDescent="0.25">
      <c r="J531" s="1">
        <v>531</v>
      </c>
    </row>
    <row r="532" spans="2:11" x14ac:dyDescent="0.25">
      <c r="J532" s="1">
        <v>532</v>
      </c>
    </row>
    <row r="533" spans="2:11" x14ac:dyDescent="0.25">
      <c r="J533" s="1">
        <v>533</v>
      </c>
    </row>
    <row r="534" spans="2:11" x14ac:dyDescent="0.25">
      <c r="J534" s="1">
        <v>534</v>
      </c>
    </row>
    <row r="535" spans="2:11" x14ac:dyDescent="0.25">
      <c r="J535" s="1">
        <v>535</v>
      </c>
    </row>
    <row r="536" spans="2:11" x14ac:dyDescent="0.25">
      <c r="J536" s="1">
        <v>536</v>
      </c>
    </row>
    <row r="537" spans="2:11" x14ac:dyDescent="0.25">
      <c r="J537" s="1">
        <v>537</v>
      </c>
    </row>
    <row r="538" spans="2:11" x14ac:dyDescent="0.25">
      <c r="J538" s="1">
        <v>538</v>
      </c>
    </row>
    <row r="539" spans="2:11" x14ac:dyDescent="0.25">
      <c r="J539" s="1">
        <v>539</v>
      </c>
    </row>
    <row r="540" spans="2:11" x14ac:dyDescent="0.25">
      <c r="J540" s="1">
        <v>540</v>
      </c>
    </row>
    <row r="541" spans="2:11" x14ac:dyDescent="0.25">
      <c r="J541" s="1">
        <v>541</v>
      </c>
    </row>
    <row r="542" spans="2:11" x14ac:dyDescent="0.25">
      <c r="J542" s="1">
        <v>542</v>
      </c>
    </row>
    <row r="543" spans="2:11" x14ac:dyDescent="0.25">
      <c r="J543" s="1">
        <v>543</v>
      </c>
    </row>
    <row r="544" spans="2:11" x14ac:dyDescent="0.25">
      <c r="J544" s="1">
        <v>544</v>
      </c>
    </row>
    <row r="545" spans="10:10" x14ac:dyDescent="0.25">
      <c r="J545" s="1">
        <v>545</v>
      </c>
    </row>
    <row r="546" spans="10:10" x14ac:dyDescent="0.25">
      <c r="J546" s="1">
        <v>546</v>
      </c>
    </row>
    <row r="547" spans="10:10" x14ac:dyDescent="0.25">
      <c r="J547" s="1">
        <v>547</v>
      </c>
    </row>
    <row r="548" spans="10:10" x14ac:dyDescent="0.25">
      <c r="J548" s="1">
        <v>548</v>
      </c>
    </row>
    <row r="549" spans="10:10" x14ac:dyDescent="0.25">
      <c r="J549" s="1">
        <v>549</v>
      </c>
    </row>
    <row r="550" spans="10:10" x14ac:dyDescent="0.25">
      <c r="J550" s="1">
        <v>550</v>
      </c>
    </row>
    <row r="551" spans="10:10" x14ac:dyDescent="0.25">
      <c r="J551" s="1">
        <v>551</v>
      </c>
    </row>
    <row r="552" spans="10:10" x14ac:dyDescent="0.25">
      <c r="J552" s="1">
        <v>552</v>
      </c>
    </row>
    <row r="553" spans="10:10" x14ac:dyDescent="0.25">
      <c r="J553" s="1">
        <v>553</v>
      </c>
    </row>
    <row r="554" spans="10:10" x14ac:dyDescent="0.25">
      <c r="J554" s="1">
        <v>554</v>
      </c>
    </row>
    <row r="555" spans="10:10" x14ac:dyDescent="0.25">
      <c r="J555" s="1">
        <v>555</v>
      </c>
    </row>
    <row r="556" spans="10:10" x14ac:dyDescent="0.25">
      <c r="J556" s="1">
        <v>556</v>
      </c>
    </row>
    <row r="557" spans="10:10" x14ac:dyDescent="0.25">
      <c r="J557" s="1">
        <v>557</v>
      </c>
    </row>
    <row r="558" spans="10:10" x14ac:dyDescent="0.25">
      <c r="J558" s="1">
        <v>558</v>
      </c>
    </row>
    <row r="559" spans="10:10" x14ac:dyDescent="0.25">
      <c r="J559" s="1">
        <v>559</v>
      </c>
    </row>
    <row r="560" spans="10:10" x14ac:dyDescent="0.25">
      <c r="J560" s="1">
        <v>560</v>
      </c>
    </row>
    <row r="561" spans="10:10" x14ac:dyDescent="0.25">
      <c r="J561" s="1">
        <v>561</v>
      </c>
    </row>
    <row r="562" spans="10:10" x14ac:dyDescent="0.25">
      <c r="J562" s="1">
        <v>562</v>
      </c>
    </row>
    <row r="563" spans="10:10" x14ac:dyDescent="0.25">
      <c r="J563" s="1">
        <v>563</v>
      </c>
    </row>
    <row r="564" spans="10:10" x14ac:dyDescent="0.25">
      <c r="J564" s="1">
        <v>564</v>
      </c>
    </row>
    <row r="565" spans="10:10" x14ac:dyDescent="0.25">
      <c r="J565" s="1">
        <v>565</v>
      </c>
    </row>
    <row r="566" spans="10:10" x14ac:dyDescent="0.25">
      <c r="J566" s="1">
        <v>566</v>
      </c>
    </row>
    <row r="567" spans="10:10" x14ac:dyDescent="0.25">
      <c r="J567" s="1">
        <v>567</v>
      </c>
    </row>
    <row r="568" spans="10:10" x14ac:dyDescent="0.25">
      <c r="J568" s="1">
        <v>568</v>
      </c>
    </row>
    <row r="569" spans="10:10" x14ac:dyDescent="0.25">
      <c r="J569" s="1">
        <v>569</v>
      </c>
    </row>
    <row r="570" spans="10:10" x14ac:dyDescent="0.25">
      <c r="J570" s="1">
        <v>570</v>
      </c>
    </row>
    <row r="571" spans="10:10" x14ac:dyDescent="0.25">
      <c r="J571" s="1">
        <v>571</v>
      </c>
    </row>
    <row r="572" spans="10:10" x14ac:dyDescent="0.25">
      <c r="J572" s="1">
        <v>572</v>
      </c>
    </row>
    <row r="573" spans="10:10" x14ac:dyDescent="0.25">
      <c r="J573" s="1">
        <v>573</v>
      </c>
    </row>
    <row r="574" spans="10:10" x14ac:dyDescent="0.25">
      <c r="J574" s="1">
        <v>574</v>
      </c>
    </row>
    <row r="575" spans="10:10" x14ac:dyDescent="0.25">
      <c r="J575" s="1">
        <v>575</v>
      </c>
    </row>
    <row r="576" spans="10:10" x14ac:dyDescent="0.25">
      <c r="J576" s="1">
        <v>576</v>
      </c>
    </row>
    <row r="577" spans="10:10" x14ac:dyDescent="0.25">
      <c r="J577" s="1">
        <v>577</v>
      </c>
    </row>
    <row r="578" spans="10:10" x14ac:dyDescent="0.25">
      <c r="J578" s="1">
        <v>578</v>
      </c>
    </row>
    <row r="579" spans="10:10" x14ac:dyDescent="0.25">
      <c r="J579" s="1">
        <v>579</v>
      </c>
    </row>
    <row r="580" spans="10:10" x14ac:dyDescent="0.25">
      <c r="J580" s="1">
        <v>580</v>
      </c>
    </row>
    <row r="581" spans="10:10" x14ac:dyDescent="0.25">
      <c r="J581" s="1">
        <v>581</v>
      </c>
    </row>
    <row r="582" spans="10:10" x14ac:dyDescent="0.25">
      <c r="J582" s="1">
        <v>582</v>
      </c>
    </row>
    <row r="583" spans="10:10" x14ac:dyDescent="0.25">
      <c r="J583" s="1">
        <v>583</v>
      </c>
    </row>
    <row r="584" spans="10:10" x14ac:dyDescent="0.25">
      <c r="J584" s="1">
        <v>584</v>
      </c>
    </row>
    <row r="585" spans="10:10" x14ac:dyDescent="0.25">
      <c r="J585" s="1">
        <v>585</v>
      </c>
    </row>
    <row r="586" spans="10:10" x14ac:dyDescent="0.25">
      <c r="J586" s="1">
        <v>586</v>
      </c>
    </row>
    <row r="587" spans="10:10" x14ac:dyDescent="0.25">
      <c r="J587" s="1">
        <v>587</v>
      </c>
    </row>
    <row r="588" spans="10:10" x14ac:dyDescent="0.25">
      <c r="J588" s="1">
        <v>588</v>
      </c>
    </row>
    <row r="589" spans="10:10" x14ac:dyDescent="0.25">
      <c r="J589" s="1">
        <v>589</v>
      </c>
    </row>
    <row r="590" spans="10:10" x14ac:dyDescent="0.25">
      <c r="J590" s="1">
        <v>590</v>
      </c>
    </row>
    <row r="591" spans="10:10" x14ac:dyDescent="0.25">
      <c r="J591" s="1">
        <v>591</v>
      </c>
    </row>
    <row r="592" spans="10:10" x14ac:dyDescent="0.25">
      <c r="J592" s="1">
        <v>592</v>
      </c>
    </row>
    <row r="593" spans="10:10" x14ac:dyDescent="0.25">
      <c r="J593" s="1">
        <v>593</v>
      </c>
    </row>
    <row r="594" spans="10:10" x14ac:dyDescent="0.25">
      <c r="J594" s="1">
        <v>594</v>
      </c>
    </row>
    <row r="595" spans="10:10" x14ac:dyDescent="0.25">
      <c r="J595" s="1">
        <v>595</v>
      </c>
    </row>
    <row r="596" spans="10:10" x14ac:dyDescent="0.25">
      <c r="J596" s="1">
        <v>596</v>
      </c>
    </row>
    <row r="597" spans="10:10" x14ac:dyDescent="0.25">
      <c r="J597" s="1">
        <v>597</v>
      </c>
    </row>
    <row r="598" spans="10:10" x14ac:dyDescent="0.25">
      <c r="J598" s="1">
        <v>598</v>
      </c>
    </row>
    <row r="599" spans="10:10" x14ac:dyDescent="0.25">
      <c r="J599" s="1">
        <v>599</v>
      </c>
    </row>
    <row r="600" spans="10:10" x14ac:dyDescent="0.25">
      <c r="J600" s="1">
        <v>600</v>
      </c>
    </row>
    <row r="601" spans="10:10" x14ac:dyDescent="0.25">
      <c r="J601" s="1">
        <v>601</v>
      </c>
    </row>
    <row r="602" spans="10:10" x14ac:dyDescent="0.25">
      <c r="J602" s="1">
        <v>602</v>
      </c>
    </row>
    <row r="603" spans="10:10" x14ac:dyDescent="0.25">
      <c r="J603" s="1">
        <v>603</v>
      </c>
    </row>
    <row r="604" spans="10:10" x14ac:dyDescent="0.25">
      <c r="J604" s="1">
        <v>604</v>
      </c>
    </row>
    <row r="605" spans="10:10" x14ac:dyDescent="0.25">
      <c r="J605" s="1">
        <v>605</v>
      </c>
    </row>
    <row r="606" spans="10:10" x14ac:dyDescent="0.25">
      <c r="J606" s="1">
        <v>606</v>
      </c>
    </row>
    <row r="607" spans="10:10" x14ac:dyDescent="0.25">
      <c r="J607" s="1">
        <v>607</v>
      </c>
    </row>
    <row r="608" spans="10:10" x14ac:dyDescent="0.25">
      <c r="J608" s="1">
        <v>608</v>
      </c>
    </row>
    <row r="609" spans="10:10" x14ac:dyDescent="0.25">
      <c r="J609" s="1">
        <v>609</v>
      </c>
    </row>
    <row r="610" spans="10:10" x14ac:dyDescent="0.25">
      <c r="J610" s="1">
        <v>610</v>
      </c>
    </row>
    <row r="611" spans="10:10" x14ac:dyDescent="0.25">
      <c r="J611" s="1">
        <v>611</v>
      </c>
    </row>
    <row r="612" spans="10:10" x14ac:dyDescent="0.25">
      <c r="J612" s="1">
        <v>612</v>
      </c>
    </row>
    <row r="613" spans="10:10" x14ac:dyDescent="0.25">
      <c r="J613" s="1">
        <v>613</v>
      </c>
    </row>
    <row r="614" spans="10:10" x14ac:dyDescent="0.25">
      <c r="J614" s="1">
        <v>614</v>
      </c>
    </row>
    <row r="615" spans="10:10" x14ac:dyDescent="0.25">
      <c r="J615" s="1">
        <v>615</v>
      </c>
    </row>
    <row r="616" spans="10:10" x14ac:dyDescent="0.25">
      <c r="J616" s="1">
        <v>616</v>
      </c>
    </row>
    <row r="617" spans="10:10" x14ac:dyDescent="0.25">
      <c r="J617" s="1">
        <v>617</v>
      </c>
    </row>
    <row r="618" spans="10:10" x14ac:dyDescent="0.25">
      <c r="J618" s="1">
        <v>618</v>
      </c>
    </row>
    <row r="619" spans="10:10" x14ac:dyDescent="0.25">
      <c r="J619" s="1">
        <v>619</v>
      </c>
    </row>
    <row r="620" spans="10:10" x14ac:dyDescent="0.25">
      <c r="J620" s="1">
        <v>620</v>
      </c>
    </row>
    <row r="621" spans="10:10" x14ac:dyDescent="0.25">
      <c r="J621" s="1">
        <v>621</v>
      </c>
    </row>
    <row r="622" spans="10:10" x14ac:dyDescent="0.25">
      <c r="J622" s="1">
        <v>622</v>
      </c>
    </row>
    <row r="623" spans="10:10" x14ac:dyDescent="0.25">
      <c r="J623" s="1">
        <v>623</v>
      </c>
    </row>
    <row r="624" spans="10:10" x14ac:dyDescent="0.25">
      <c r="J624" s="1">
        <v>624</v>
      </c>
    </row>
    <row r="625" spans="10:10" x14ac:dyDescent="0.25">
      <c r="J625" s="1">
        <v>625</v>
      </c>
    </row>
    <row r="626" spans="10:10" x14ac:dyDescent="0.25">
      <c r="J626" s="1">
        <v>626</v>
      </c>
    </row>
    <row r="627" spans="10:10" x14ac:dyDescent="0.25">
      <c r="J627" s="1">
        <v>627</v>
      </c>
    </row>
    <row r="628" spans="10:10" x14ac:dyDescent="0.25">
      <c r="J628" s="1">
        <v>628</v>
      </c>
    </row>
    <row r="629" spans="10:10" x14ac:dyDescent="0.25">
      <c r="J629" s="1">
        <v>629</v>
      </c>
    </row>
    <row r="630" spans="10:10" x14ac:dyDescent="0.25">
      <c r="J630" s="1">
        <v>630</v>
      </c>
    </row>
    <row r="631" spans="10:10" x14ac:dyDescent="0.25">
      <c r="J631" s="1">
        <v>631</v>
      </c>
    </row>
    <row r="632" spans="10:10" x14ac:dyDescent="0.25">
      <c r="J632" s="1">
        <v>632</v>
      </c>
    </row>
    <row r="633" spans="10:10" x14ac:dyDescent="0.25">
      <c r="J633" s="1">
        <v>633</v>
      </c>
    </row>
    <row r="634" spans="10:10" x14ac:dyDescent="0.25">
      <c r="J634" s="1">
        <v>634</v>
      </c>
    </row>
    <row r="635" spans="10:10" x14ac:dyDescent="0.25">
      <c r="J635" s="1">
        <v>635</v>
      </c>
    </row>
    <row r="636" spans="10:10" x14ac:dyDescent="0.25">
      <c r="J636" s="1">
        <v>636</v>
      </c>
    </row>
    <row r="637" spans="10:10" x14ac:dyDescent="0.25">
      <c r="J637" s="1">
        <v>637</v>
      </c>
    </row>
    <row r="638" spans="10:10" x14ac:dyDescent="0.25">
      <c r="J638" s="1">
        <v>638</v>
      </c>
    </row>
    <row r="639" spans="10:10" x14ac:dyDescent="0.25">
      <c r="J639" s="1">
        <v>639</v>
      </c>
    </row>
    <row r="640" spans="10:10" x14ac:dyDescent="0.25">
      <c r="J640" s="1">
        <v>640</v>
      </c>
    </row>
    <row r="641" spans="10:10" x14ac:dyDescent="0.25">
      <c r="J641" s="1">
        <v>641</v>
      </c>
    </row>
    <row r="642" spans="10:10" x14ac:dyDescent="0.25">
      <c r="J642" s="1">
        <v>642</v>
      </c>
    </row>
    <row r="643" spans="10:10" x14ac:dyDescent="0.25">
      <c r="J643" s="1">
        <v>643</v>
      </c>
    </row>
    <row r="644" spans="10:10" x14ac:dyDescent="0.25">
      <c r="J644" s="1">
        <v>644</v>
      </c>
    </row>
    <row r="645" spans="10:10" x14ac:dyDescent="0.25">
      <c r="J645" s="1">
        <v>645</v>
      </c>
    </row>
    <row r="646" spans="10:10" x14ac:dyDescent="0.25">
      <c r="J646" s="1">
        <v>646</v>
      </c>
    </row>
    <row r="647" spans="10:10" x14ac:dyDescent="0.25">
      <c r="J647" s="1">
        <v>647</v>
      </c>
    </row>
    <row r="648" spans="10:10" x14ac:dyDescent="0.25">
      <c r="J648" s="1">
        <v>648</v>
      </c>
    </row>
    <row r="649" spans="10:10" x14ac:dyDescent="0.25">
      <c r="J649" s="1">
        <v>649</v>
      </c>
    </row>
    <row r="650" spans="10:10" x14ac:dyDescent="0.25">
      <c r="J650" s="1">
        <v>650</v>
      </c>
    </row>
    <row r="651" spans="10:10" x14ac:dyDescent="0.25">
      <c r="J651" s="1">
        <v>651</v>
      </c>
    </row>
    <row r="652" spans="10:10" x14ac:dyDescent="0.25">
      <c r="J652" s="1">
        <v>652</v>
      </c>
    </row>
    <row r="653" spans="10:10" x14ac:dyDescent="0.25">
      <c r="J653" s="1">
        <v>653</v>
      </c>
    </row>
    <row r="654" spans="10:10" x14ac:dyDescent="0.25">
      <c r="J654" s="1">
        <v>654</v>
      </c>
    </row>
    <row r="655" spans="10:10" x14ac:dyDescent="0.25">
      <c r="J655" s="1">
        <v>655</v>
      </c>
    </row>
    <row r="656" spans="10:10" x14ac:dyDescent="0.25">
      <c r="J656" s="1">
        <v>656</v>
      </c>
    </row>
    <row r="657" spans="10:10" x14ac:dyDescent="0.25">
      <c r="J657" s="1">
        <v>657</v>
      </c>
    </row>
    <row r="658" spans="10:10" x14ac:dyDescent="0.25">
      <c r="J658" s="1">
        <v>658</v>
      </c>
    </row>
    <row r="659" spans="10:10" x14ac:dyDescent="0.25">
      <c r="J659" s="1">
        <v>659</v>
      </c>
    </row>
    <row r="660" spans="10:10" x14ac:dyDescent="0.25">
      <c r="J660" s="1">
        <v>660</v>
      </c>
    </row>
    <row r="661" spans="10:10" x14ac:dyDescent="0.25">
      <c r="J661" s="1">
        <v>661</v>
      </c>
    </row>
    <row r="662" spans="10:10" x14ac:dyDescent="0.25">
      <c r="J662" s="1">
        <v>662</v>
      </c>
    </row>
    <row r="663" spans="10:10" x14ac:dyDescent="0.25">
      <c r="J663" s="1">
        <v>663</v>
      </c>
    </row>
    <row r="664" spans="10:10" x14ac:dyDescent="0.25">
      <c r="J664" s="1">
        <v>664</v>
      </c>
    </row>
    <row r="665" spans="10:10" x14ac:dyDescent="0.25">
      <c r="J665" s="1">
        <v>665</v>
      </c>
    </row>
    <row r="666" spans="10:10" x14ac:dyDescent="0.25">
      <c r="J666" s="1">
        <v>666</v>
      </c>
    </row>
    <row r="667" spans="10:10" x14ac:dyDescent="0.25">
      <c r="J667" s="1">
        <v>667</v>
      </c>
    </row>
    <row r="668" spans="10:10" x14ac:dyDescent="0.25">
      <c r="J668" s="1">
        <v>668</v>
      </c>
    </row>
    <row r="669" spans="10:10" x14ac:dyDescent="0.25">
      <c r="J669" s="1">
        <v>669</v>
      </c>
    </row>
    <row r="670" spans="10:10" x14ac:dyDescent="0.25">
      <c r="J670" s="1">
        <v>670</v>
      </c>
    </row>
    <row r="671" spans="10:10" x14ac:dyDescent="0.25">
      <c r="J671" s="1">
        <v>671</v>
      </c>
    </row>
    <row r="672" spans="10:10" x14ac:dyDescent="0.25">
      <c r="J672" s="1">
        <v>672</v>
      </c>
    </row>
    <row r="673" spans="10:10" x14ac:dyDescent="0.25">
      <c r="J673" s="1">
        <v>673</v>
      </c>
    </row>
    <row r="674" spans="10:10" x14ac:dyDescent="0.25">
      <c r="J674" s="1">
        <v>674</v>
      </c>
    </row>
    <row r="675" spans="10:10" x14ac:dyDescent="0.25">
      <c r="J675" s="1">
        <v>675</v>
      </c>
    </row>
    <row r="676" spans="10:10" x14ac:dyDescent="0.25">
      <c r="J676" s="1">
        <v>676</v>
      </c>
    </row>
    <row r="677" spans="10:10" x14ac:dyDescent="0.25">
      <c r="J677" s="1">
        <v>677</v>
      </c>
    </row>
    <row r="678" spans="10:10" x14ac:dyDescent="0.25">
      <c r="J678" s="1">
        <v>678</v>
      </c>
    </row>
    <row r="679" spans="10:10" x14ac:dyDescent="0.25">
      <c r="J679" s="1">
        <v>679</v>
      </c>
    </row>
    <row r="680" spans="10:10" x14ac:dyDescent="0.25">
      <c r="J680" s="1">
        <v>680</v>
      </c>
    </row>
    <row r="681" spans="10:10" x14ac:dyDescent="0.25">
      <c r="J681" s="1">
        <v>681</v>
      </c>
    </row>
    <row r="682" spans="10:10" x14ac:dyDescent="0.25">
      <c r="J682" s="1">
        <v>682</v>
      </c>
    </row>
    <row r="683" spans="10:10" x14ac:dyDescent="0.25">
      <c r="J683" s="1">
        <v>683</v>
      </c>
    </row>
    <row r="684" spans="10:10" x14ac:dyDescent="0.25">
      <c r="J684" s="1">
        <v>684</v>
      </c>
    </row>
    <row r="685" spans="10:10" x14ac:dyDescent="0.25">
      <c r="J685" s="1">
        <v>685</v>
      </c>
    </row>
    <row r="686" spans="10:10" x14ac:dyDescent="0.25">
      <c r="J686" s="1">
        <v>686</v>
      </c>
    </row>
    <row r="687" spans="10:10" x14ac:dyDescent="0.25">
      <c r="J687" s="1">
        <v>687</v>
      </c>
    </row>
    <row r="688" spans="10:10" x14ac:dyDescent="0.25">
      <c r="J688" s="1">
        <v>688</v>
      </c>
    </row>
    <row r="689" spans="10:10" x14ac:dyDescent="0.25">
      <c r="J689" s="1">
        <v>689</v>
      </c>
    </row>
    <row r="690" spans="10:10" x14ac:dyDescent="0.25">
      <c r="J690" s="1">
        <v>690</v>
      </c>
    </row>
    <row r="691" spans="10:10" x14ac:dyDescent="0.25">
      <c r="J691" s="1">
        <v>691</v>
      </c>
    </row>
    <row r="692" spans="10:10" x14ac:dyDescent="0.25">
      <c r="J692" s="1">
        <v>692</v>
      </c>
    </row>
    <row r="693" spans="10:10" x14ac:dyDescent="0.25">
      <c r="J693" s="1">
        <v>693</v>
      </c>
    </row>
    <row r="694" spans="10:10" x14ac:dyDescent="0.25">
      <c r="J694" s="1">
        <v>694</v>
      </c>
    </row>
    <row r="695" spans="10:10" x14ac:dyDescent="0.25">
      <c r="J695" s="1">
        <v>695</v>
      </c>
    </row>
    <row r="696" spans="10:10" x14ac:dyDescent="0.25">
      <c r="J696" s="1">
        <v>696</v>
      </c>
    </row>
    <row r="697" spans="10:10" x14ac:dyDescent="0.25">
      <c r="J697" s="1">
        <v>697</v>
      </c>
    </row>
    <row r="698" spans="10:10" x14ac:dyDescent="0.25">
      <c r="J698" s="1">
        <v>698</v>
      </c>
    </row>
    <row r="699" spans="10:10" x14ac:dyDescent="0.25">
      <c r="J699" s="1">
        <v>699</v>
      </c>
    </row>
    <row r="700" spans="10:10" x14ac:dyDescent="0.25">
      <c r="J700" s="1">
        <v>700</v>
      </c>
    </row>
    <row r="701" spans="10:10" x14ac:dyDescent="0.25">
      <c r="J701" s="1">
        <v>701</v>
      </c>
    </row>
    <row r="702" spans="10:10" x14ac:dyDescent="0.25">
      <c r="J702" s="1">
        <v>702</v>
      </c>
    </row>
    <row r="703" spans="10:10" x14ac:dyDescent="0.25">
      <c r="J703" s="1">
        <v>703</v>
      </c>
    </row>
    <row r="704" spans="10:10" x14ac:dyDescent="0.25">
      <c r="J704" s="1">
        <v>704</v>
      </c>
    </row>
    <row r="705" spans="10:10" x14ac:dyDescent="0.25">
      <c r="J705" s="1">
        <v>705</v>
      </c>
    </row>
    <row r="706" spans="10:10" x14ac:dyDescent="0.25">
      <c r="J706" s="1">
        <v>706</v>
      </c>
    </row>
    <row r="707" spans="10:10" x14ac:dyDescent="0.25">
      <c r="J707" s="1">
        <v>707</v>
      </c>
    </row>
    <row r="708" spans="10:10" x14ac:dyDescent="0.25">
      <c r="J708" s="1">
        <v>708</v>
      </c>
    </row>
    <row r="709" spans="10:10" x14ac:dyDescent="0.25">
      <c r="J709" s="1">
        <v>709</v>
      </c>
    </row>
    <row r="710" spans="10:10" x14ac:dyDescent="0.25">
      <c r="J710" s="1">
        <v>710</v>
      </c>
    </row>
    <row r="711" spans="10:10" x14ac:dyDescent="0.25">
      <c r="J711" s="1">
        <v>711</v>
      </c>
    </row>
    <row r="712" spans="10:10" x14ac:dyDescent="0.25">
      <c r="J712" s="1">
        <v>712</v>
      </c>
    </row>
    <row r="713" spans="10:10" x14ac:dyDescent="0.25">
      <c r="J713" s="1">
        <v>713</v>
      </c>
    </row>
    <row r="714" spans="10:10" x14ac:dyDescent="0.25">
      <c r="J714" s="1">
        <v>714</v>
      </c>
    </row>
    <row r="715" spans="10:10" x14ac:dyDescent="0.25">
      <c r="J715" s="1">
        <v>715</v>
      </c>
    </row>
    <row r="716" spans="10:10" x14ac:dyDescent="0.25">
      <c r="J716" s="1">
        <v>716</v>
      </c>
    </row>
    <row r="717" spans="10:10" x14ac:dyDescent="0.25">
      <c r="J717" s="1">
        <v>717</v>
      </c>
    </row>
    <row r="718" spans="10:10" x14ac:dyDescent="0.25">
      <c r="J718" s="1">
        <v>718</v>
      </c>
    </row>
    <row r="719" spans="10:10" x14ac:dyDescent="0.25">
      <c r="J719" s="1">
        <v>719</v>
      </c>
    </row>
    <row r="720" spans="10:10" x14ac:dyDescent="0.25">
      <c r="J720" s="1">
        <v>720</v>
      </c>
    </row>
    <row r="721" spans="10:10" x14ac:dyDescent="0.25">
      <c r="J721" s="1">
        <v>721</v>
      </c>
    </row>
    <row r="722" spans="10:10" x14ac:dyDescent="0.25">
      <c r="J722" s="1">
        <v>722</v>
      </c>
    </row>
    <row r="723" spans="10:10" x14ac:dyDescent="0.25">
      <c r="J723" s="1">
        <v>723</v>
      </c>
    </row>
    <row r="724" spans="10:10" x14ac:dyDescent="0.25">
      <c r="J724" s="1">
        <v>724</v>
      </c>
    </row>
    <row r="725" spans="10:10" x14ac:dyDescent="0.25">
      <c r="J725" s="1">
        <v>725</v>
      </c>
    </row>
    <row r="726" spans="10:10" x14ac:dyDescent="0.25">
      <c r="J726" s="1">
        <v>726</v>
      </c>
    </row>
    <row r="727" spans="10:10" x14ac:dyDescent="0.25">
      <c r="J727" s="1">
        <v>727</v>
      </c>
    </row>
    <row r="728" spans="10:10" x14ac:dyDescent="0.25">
      <c r="J728" s="1">
        <v>728</v>
      </c>
    </row>
    <row r="729" spans="10:10" x14ac:dyDescent="0.25">
      <c r="J729" s="1">
        <v>729</v>
      </c>
    </row>
    <row r="730" spans="10:10" x14ac:dyDescent="0.25">
      <c r="J730" s="1">
        <v>730</v>
      </c>
    </row>
    <row r="731" spans="10:10" x14ac:dyDescent="0.25">
      <c r="J731" s="1">
        <v>731</v>
      </c>
    </row>
    <row r="732" spans="10:10" x14ac:dyDescent="0.25">
      <c r="J732" s="1">
        <v>732</v>
      </c>
    </row>
    <row r="733" spans="10:10" x14ac:dyDescent="0.25">
      <c r="J733" s="1">
        <v>733</v>
      </c>
    </row>
    <row r="734" spans="10:10" x14ac:dyDescent="0.25">
      <c r="J734" s="1">
        <v>734</v>
      </c>
    </row>
    <row r="735" spans="10:10" x14ac:dyDescent="0.25">
      <c r="J735" s="1">
        <v>735</v>
      </c>
    </row>
    <row r="736" spans="10:10" x14ac:dyDescent="0.25">
      <c r="J736" s="1">
        <v>736</v>
      </c>
    </row>
    <row r="737" spans="10:10" x14ac:dyDescent="0.25">
      <c r="J737" s="1">
        <v>737</v>
      </c>
    </row>
    <row r="738" spans="10:10" x14ac:dyDescent="0.25">
      <c r="J738" s="1">
        <v>738</v>
      </c>
    </row>
    <row r="739" spans="10:10" x14ac:dyDescent="0.25">
      <c r="J739" s="1">
        <v>739</v>
      </c>
    </row>
    <row r="740" spans="10:10" x14ac:dyDescent="0.25">
      <c r="J740" s="1">
        <v>740</v>
      </c>
    </row>
    <row r="741" spans="10:10" x14ac:dyDescent="0.25">
      <c r="J741" s="1">
        <v>741</v>
      </c>
    </row>
    <row r="742" spans="10:10" x14ac:dyDescent="0.25">
      <c r="J742" s="1">
        <v>742</v>
      </c>
    </row>
    <row r="743" spans="10:10" x14ac:dyDescent="0.25">
      <c r="J743" s="1">
        <v>743</v>
      </c>
    </row>
    <row r="744" spans="10:10" x14ac:dyDescent="0.25">
      <c r="J744" s="1">
        <v>744</v>
      </c>
    </row>
    <row r="745" spans="10:10" x14ac:dyDescent="0.25">
      <c r="J745" s="1">
        <v>745</v>
      </c>
    </row>
    <row r="746" spans="10:10" x14ac:dyDescent="0.25">
      <c r="J746" s="1">
        <v>746</v>
      </c>
    </row>
    <row r="747" spans="10:10" x14ac:dyDescent="0.25">
      <c r="J747" s="1">
        <v>747</v>
      </c>
    </row>
    <row r="748" spans="10:10" x14ac:dyDescent="0.25">
      <c r="J748" s="1">
        <v>748</v>
      </c>
    </row>
    <row r="749" spans="10:10" x14ac:dyDescent="0.25">
      <c r="J749" s="1">
        <v>749</v>
      </c>
    </row>
    <row r="750" spans="10:10" x14ac:dyDescent="0.25">
      <c r="J750" s="1">
        <v>750</v>
      </c>
    </row>
    <row r="751" spans="10:10" x14ac:dyDescent="0.25">
      <c r="J751" s="1">
        <v>751</v>
      </c>
    </row>
    <row r="752" spans="10:10" x14ac:dyDescent="0.25">
      <c r="J752" s="1">
        <v>752</v>
      </c>
    </row>
    <row r="753" spans="10:10" x14ac:dyDescent="0.25">
      <c r="J753" s="1">
        <v>753</v>
      </c>
    </row>
    <row r="754" spans="10:10" x14ac:dyDescent="0.25">
      <c r="J754" s="1">
        <v>754</v>
      </c>
    </row>
    <row r="755" spans="10:10" x14ac:dyDescent="0.25">
      <c r="J755" s="1">
        <v>755</v>
      </c>
    </row>
    <row r="756" spans="10:10" x14ac:dyDescent="0.25">
      <c r="J756" s="1">
        <v>756</v>
      </c>
    </row>
    <row r="757" spans="10:10" x14ac:dyDescent="0.25">
      <c r="J757" s="1">
        <v>757</v>
      </c>
    </row>
    <row r="758" spans="10:10" x14ac:dyDescent="0.25">
      <c r="J758" s="1">
        <v>758</v>
      </c>
    </row>
    <row r="759" spans="10:10" x14ac:dyDescent="0.25">
      <c r="J759" s="1">
        <v>759</v>
      </c>
    </row>
    <row r="760" spans="10:10" x14ac:dyDescent="0.25">
      <c r="J760" s="1">
        <v>760</v>
      </c>
    </row>
    <row r="761" spans="10:10" x14ac:dyDescent="0.25">
      <c r="J761" s="1">
        <v>761</v>
      </c>
    </row>
    <row r="762" spans="10:10" x14ac:dyDescent="0.25">
      <c r="J762" s="1">
        <v>762</v>
      </c>
    </row>
    <row r="763" spans="10:10" x14ac:dyDescent="0.25">
      <c r="J763" s="1">
        <v>763</v>
      </c>
    </row>
    <row r="764" spans="10:10" x14ac:dyDescent="0.25">
      <c r="J764" s="1">
        <v>764</v>
      </c>
    </row>
    <row r="765" spans="10:10" x14ac:dyDescent="0.25">
      <c r="J765" s="1">
        <v>765</v>
      </c>
    </row>
    <row r="766" spans="10:10" x14ac:dyDescent="0.25">
      <c r="J766" s="1">
        <v>766</v>
      </c>
    </row>
    <row r="767" spans="10:10" x14ac:dyDescent="0.25">
      <c r="J767" s="1">
        <v>767</v>
      </c>
    </row>
    <row r="768" spans="10:10" x14ac:dyDescent="0.25">
      <c r="J768" s="1">
        <v>768</v>
      </c>
    </row>
    <row r="769" spans="10:10" x14ac:dyDescent="0.25">
      <c r="J769" s="1">
        <v>769</v>
      </c>
    </row>
    <row r="770" spans="10:10" x14ac:dyDescent="0.25">
      <c r="J770" s="1">
        <v>770</v>
      </c>
    </row>
    <row r="771" spans="10:10" x14ac:dyDescent="0.25">
      <c r="J771" s="1">
        <v>771</v>
      </c>
    </row>
    <row r="772" spans="10:10" x14ac:dyDescent="0.25">
      <c r="J772" s="1">
        <v>772</v>
      </c>
    </row>
    <row r="773" spans="10:10" x14ac:dyDescent="0.25">
      <c r="J773" s="1">
        <v>773</v>
      </c>
    </row>
    <row r="774" spans="10:10" x14ac:dyDescent="0.25">
      <c r="J774" s="1">
        <v>774</v>
      </c>
    </row>
    <row r="775" spans="10:10" x14ac:dyDescent="0.25">
      <c r="J775" s="1">
        <v>775</v>
      </c>
    </row>
    <row r="776" spans="10:10" x14ac:dyDescent="0.25">
      <c r="J776" s="1">
        <v>776</v>
      </c>
    </row>
    <row r="777" spans="10:10" x14ac:dyDescent="0.25">
      <c r="J777" s="1">
        <v>777</v>
      </c>
    </row>
    <row r="778" spans="10:10" x14ac:dyDescent="0.25">
      <c r="J778" s="1">
        <v>778</v>
      </c>
    </row>
    <row r="779" spans="10:10" x14ac:dyDescent="0.25">
      <c r="J779" s="1">
        <v>779</v>
      </c>
    </row>
    <row r="780" spans="10:10" x14ac:dyDescent="0.25">
      <c r="J780" s="1">
        <v>780</v>
      </c>
    </row>
    <row r="781" spans="10:10" x14ac:dyDescent="0.25">
      <c r="J781" s="1">
        <v>781</v>
      </c>
    </row>
    <row r="782" spans="10:10" x14ac:dyDescent="0.25">
      <c r="J782" s="1">
        <v>782</v>
      </c>
    </row>
    <row r="783" spans="10:10" x14ac:dyDescent="0.25">
      <c r="J783" s="1">
        <v>783</v>
      </c>
    </row>
    <row r="784" spans="10:10" x14ac:dyDescent="0.25">
      <c r="J784" s="1">
        <v>784</v>
      </c>
    </row>
    <row r="785" spans="10:10" x14ac:dyDescent="0.25">
      <c r="J785" s="1">
        <v>785</v>
      </c>
    </row>
    <row r="786" spans="10:10" x14ac:dyDescent="0.25">
      <c r="J786" s="1">
        <v>786</v>
      </c>
    </row>
    <row r="787" spans="10:10" x14ac:dyDescent="0.25">
      <c r="J787" s="1">
        <v>787</v>
      </c>
    </row>
    <row r="788" spans="10:10" x14ac:dyDescent="0.25">
      <c r="J788" s="1">
        <v>788</v>
      </c>
    </row>
    <row r="789" spans="10:10" x14ac:dyDescent="0.25">
      <c r="J789" s="1">
        <v>789</v>
      </c>
    </row>
    <row r="790" spans="10:10" x14ac:dyDescent="0.25">
      <c r="J790" s="1">
        <v>790</v>
      </c>
    </row>
    <row r="791" spans="10:10" x14ac:dyDescent="0.25">
      <c r="J791" s="1">
        <v>791</v>
      </c>
    </row>
    <row r="792" spans="10:10" x14ac:dyDescent="0.25">
      <c r="J792" s="1">
        <v>792</v>
      </c>
    </row>
    <row r="793" spans="10:10" x14ac:dyDescent="0.25">
      <c r="J793" s="1">
        <v>793</v>
      </c>
    </row>
    <row r="794" spans="10:10" x14ac:dyDescent="0.25">
      <c r="J794" s="1">
        <v>794</v>
      </c>
    </row>
    <row r="795" spans="10:10" x14ac:dyDescent="0.25">
      <c r="J795" s="1">
        <v>795</v>
      </c>
    </row>
    <row r="796" spans="10:10" x14ac:dyDescent="0.25">
      <c r="J796" s="1">
        <v>796</v>
      </c>
    </row>
    <row r="797" spans="10:10" x14ac:dyDescent="0.25">
      <c r="J797" s="1">
        <v>797</v>
      </c>
    </row>
    <row r="798" spans="10:10" x14ac:dyDescent="0.25">
      <c r="J798" s="1">
        <v>798</v>
      </c>
    </row>
    <row r="799" spans="10:10" x14ac:dyDescent="0.25">
      <c r="J799" s="1">
        <v>799</v>
      </c>
    </row>
    <row r="800" spans="10:10" x14ac:dyDescent="0.25">
      <c r="J800" s="1">
        <v>800</v>
      </c>
    </row>
    <row r="801" spans="10:10" x14ac:dyDescent="0.25">
      <c r="J801" s="1">
        <v>801</v>
      </c>
    </row>
    <row r="802" spans="10:10" x14ac:dyDescent="0.25">
      <c r="J802" s="1">
        <v>802</v>
      </c>
    </row>
    <row r="803" spans="10:10" x14ac:dyDescent="0.25">
      <c r="J803" s="1">
        <v>803</v>
      </c>
    </row>
    <row r="804" spans="10:10" x14ac:dyDescent="0.25">
      <c r="J804" s="1">
        <v>804</v>
      </c>
    </row>
    <row r="805" spans="10:10" x14ac:dyDescent="0.25">
      <c r="J805" s="1">
        <v>805</v>
      </c>
    </row>
    <row r="806" spans="10:10" x14ac:dyDescent="0.25">
      <c r="J806" s="1">
        <v>806</v>
      </c>
    </row>
    <row r="807" spans="10:10" x14ac:dyDescent="0.25">
      <c r="J807" s="1">
        <v>807</v>
      </c>
    </row>
    <row r="808" spans="10:10" x14ac:dyDescent="0.25">
      <c r="J808" s="1">
        <v>808</v>
      </c>
    </row>
    <row r="809" spans="10:10" x14ac:dyDescent="0.25">
      <c r="J809" s="1">
        <v>809</v>
      </c>
    </row>
    <row r="810" spans="10:10" x14ac:dyDescent="0.25">
      <c r="J810" s="1">
        <v>810</v>
      </c>
    </row>
    <row r="811" spans="10:10" x14ac:dyDescent="0.25">
      <c r="J811" s="1">
        <v>811</v>
      </c>
    </row>
    <row r="812" spans="10:10" x14ac:dyDescent="0.25">
      <c r="J812" s="1">
        <v>812</v>
      </c>
    </row>
    <row r="813" spans="10:10" x14ac:dyDescent="0.25">
      <c r="J813" s="1">
        <v>813</v>
      </c>
    </row>
    <row r="814" spans="10:10" x14ac:dyDescent="0.25">
      <c r="J814" s="1">
        <v>814</v>
      </c>
    </row>
    <row r="815" spans="10:10" x14ac:dyDescent="0.25">
      <c r="J815" s="1">
        <v>815</v>
      </c>
    </row>
    <row r="816" spans="10:10" x14ac:dyDescent="0.25">
      <c r="J816" s="1">
        <v>816</v>
      </c>
    </row>
    <row r="817" spans="10:10" x14ac:dyDescent="0.25">
      <c r="J817" s="1">
        <v>817</v>
      </c>
    </row>
    <row r="818" spans="10:10" x14ac:dyDescent="0.25">
      <c r="J818" s="1">
        <v>818</v>
      </c>
    </row>
    <row r="819" spans="10:10" x14ac:dyDescent="0.25">
      <c r="J819" s="1">
        <v>819</v>
      </c>
    </row>
    <row r="820" spans="10:10" x14ac:dyDescent="0.25">
      <c r="J820" s="1">
        <v>820</v>
      </c>
    </row>
    <row r="821" spans="10:10" x14ac:dyDescent="0.25">
      <c r="J821" s="1">
        <v>821</v>
      </c>
    </row>
    <row r="822" spans="10:10" x14ac:dyDescent="0.25">
      <c r="J822" s="1">
        <v>822</v>
      </c>
    </row>
    <row r="823" spans="10:10" x14ac:dyDescent="0.25">
      <c r="J823" s="1">
        <v>823</v>
      </c>
    </row>
    <row r="824" spans="10:10" x14ac:dyDescent="0.25">
      <c r="J824" s="1">
        <v>824</v>
      </c>
    </row>
    <row r="825" spans="10:10" x14ac:dyDescent="0.25">
      <c r="J825" s="1">
        <v>825</v>
      </c>
    </row>
    <row r="826" spans="10:10" x14ac:dyDescent="0.25">
      <c r="J826" s="1">
        <v>826</v>
      </c>
    </row>
    <row r="827" spans="10:10" x14ac:dyDescent="0.25">
      <c r="J827" s="1">
        <v>827</v>
      </c>
    </row>
    <row r="828" spans="10:10" x14ac:dyDescent="0.25">
      <c r="J828" s="1">
        <v>828</v>
      </c>
    </row>
    <row r="829" spans="10:10" x14ac:dyDescent="0.25">
      <c r="J829" s="1">
        <v>829</v>
      </c>
    </row>
    <row r="830" spans="10:10" x14ac:dyDescent="0.25">
      <c r="J830" s="1">
        <v>830</v>
      </c>
    </row>
    <row r="831" spans="10:10" x14ac:dyDescent="0.25">
      <c r="J831" s="1">
        <v>831</v>
      </c>
    </row>
    <row r="832" spans="10:10" x14ac:dyDescent="0.25">
      <c r="J832" s="1">
        <v>832</v>
      </c>
    </row>
    <row r="833" spans="10:10" x14ac:dyDescent="0.25">
      <c r="J833" s="1">
        <v>833</v>
      </c>
    </row>
    <row r="834" spans="10:10" x14ac:dyDescent="0.25">
      <c r="J834" s="1">
        <v>834</v>
      </c>
    </row>
    <row r="835" spans="10:10" x14ac:dyDescent="0.25">
      <c r="J835" s="1">
        <v>835</v>
      </c>
    </row>
    <row r="836" spans="10:10" x14ac:dyDescent="0.25">
      <c r="J836" s="1">
        <v>836</v>
      </c>
    </row>
    <row r="837" spans="10:10" x14ac:dyDescent="0.25">
      <c r="J837" s="1">
        <v>837</v>
      </c>
    </row>
    <row r="838" spans="10:10" x14ac:dyDescent="0.25">
      <c r="J838" s="1">
        <v>838</v>
      </c>
    </row>
    <row r="839" spans="10:10" x14ac:dyDescent="0.25">
      <c r="J839" s="1">
        <v>839</v>
      </c>
    </row>
    <row r="840" spans="10:10" x14ac:dyDescent="0.25">
      <c r="J840" s="1">
        <v>840</v>
      </c>
    </row>
    <row r="841" spans="10:10" x14ac:dyDescent="0.25">
      <c r="J841" s="1">
        <v>841</v>
      </c>
    </row>
    <row r="842" spans="10:10" x14ac:dyDescent="0.25">
      <c r="J842" s="1">
        <v>842</v>
      </c>
    </row>
    <row r="843" spans="10:10" x14ac:dyDescent="0.25">
      <c r="J843" s="1">
        <v>843</v>
      </c>
    </row>
    <row r="844" spans="10:10" x14ac:dyDescent="0.25">
      <c r="J844" s="1">
        <v>844</v>
      </c>
    </row>
    <row r="845" spans="10:10" x14ac:dyDescent="0.25">
      <c r="J845" s="1">
        <v>845</v>
      </c>
    </row>
    <row r="846" spans="10:10" x14ac:dyDescent="0.25">
      <c r="J846" s="1">
        <v>846</v>
      </c>
    </row>
    <row r="847" spans="10:10" x14ac:dyDescent="0.25">
      <c r="J847" s="1">
        <v>847</v>
      </c>
    </row>
    <row r="848" spans="10:10" x14ac:dyDescent="0.25">
      <c r="J848" s="1">
        <v>848</v>
      </c>
    </row>
    <row r="849" spans="10:10" x14ac:dyDescent="0.25">
      <c r="J849" s="1">
        <v>849</v>
      </c>
    </row>
    <row r="850" spans="10:10" x14ac:dyDescent="0.25">
      <c r="J850" s="1">
        <v>850</v>
      </c>
    </row>
    <row r="851" spans="10:10" x14ac:dyDescent="0.25">
      <c r="J851" s="1">
        <v>851</v>
      </c>
    </row>
    <row r="852" spans="10:10" x14ac:dyDescent="0.25">
      <c r="J852" s="1">
        <v>852</v>
      </c>
    </row>
    <row r="853" spans="10:10" x14ac:dyDescent="0.25">
      <c r="J853" s="1">
        <v>853</v>
      </c>
    </row>
    <row r="854" spans="10:10" x14ac:dyDescent="0.25">
      <c r="J854" s="1">
        <v>854</v>
      </c>
    </row>
    <row r="855" spans="10:10" x14ac:dyDescent="0.25">
      <c r="J855" s="1">
        <v>855</v>
      </c>
    </row>
    <row r="856" spans="10:10" x14ac:dyDescent="0.25">
      <c r="J856" s="1">
        <v>856</v>
      </c>
    </row>
    <row r="857" spans="10:10" x14ac:dyDescent="0.25">
      <c r="J857" s="1">
        <v>857</v>
      </c>
    </row>
    <row r="858" spans="10:10" x14ac:dyDescent="0.25">
      <c r="J858" s="1">
        <v>858</v>
      </c>
    </row>
    <row r="859" spans="10:10" x14ac:dyDescent="0.25">
      <c r="J859" s="1">
        <v>859</v>
      </c>
    </row>
    <row r="860" spans="10:10" x14ac:dyDescent="0.25">
      <c r="J860" s="1">
        <v>860</v>
      </c>
    </row>
    <row r="861" spans="10:10" x14ac:dyDescent="0.25">
      <c r="J861" s="1">
        <v>861</v>
      </c>
    </row>
    <row r="862" spans="10:10" x14ac:dyDescent="0.25">
      <c r="J862" s="1">
        <v>862</v>
      </c>
    </row>
    <row r="863" spans="10:10" x14ac:dyDescent="0.25">
      <c r="J863" s="1">
        <v>863</v>
      </c>
    </row>
    <row r="864" spans="10:10" x14ac:dyDescent="0.25">
      <c r="J864" s="1">
        <v>864</v>
      </c>
    </row>
    <row r="865" spans="10:10" x14ac:dyDescent="0.25">
      <c r="J865" s="1">
        <v>865</v>
      </c>
    </row>
    <row r="866" spans="10:10" x14ac:dyDescent="0.25">
      <c r="J866" s="1">
        <v>866</v>
      </c>
    </row>
    <row r="867" spans="10:10" x14ac:dyDescent="0.25">
      <c r="J867" s="1">
        <v>867</v>
      </c>
    </row>
    <row r="868" spans="10:10" x14ac:dyDescent="0.25">
      <c r="J868" s="1">
        <v>868</v>
      </c>
    </row>
    <row r="869" spans="10:10" x14ac:dyDescent="0.25">
      <c r="J869" s="1">
        <v>869</v>
      </c>
    </row>
    <row r="870" spans="10:10" x14ac:dyDescent="0.25">
      <c r="J870" s="1">
        <v>870</v>
      </c>
    </row>
    <row r="871" spans="10:10" x14ac:dyDescent="0.25">
      <c r="J871" s="1">
        <v>871</v>
      </c>
    </row>
    <row r="872" spans="10:10" x14ac:dyDescent="0.25">
      <c r="J872" s="1">
        <v>872</v>
      </c>
    </row>
    <row r="873" spans="10:10" x14ac:dyDescent="0.25">
      <c r="J873" s="1">
        <v>873</v>
      </c>
    </row>
    <row r="874" spans="10:10" x14ac:dyDescent="0.25">
      <c r="J874" s="1">
        <v>874</v>
      </c>
    </row>
    <row r="875" spans="10:10" x14ac:dyDescent="0.25">
      <c r="J875" s="1">
        <v>875</v>
      </c>
    </row>
    <row r="876" spans="10:10" x14ac:dyDescent="0.25">
      <c r="J876" s="1">
        <v>876</v>
      </c>
    </row>
    <row r="877" spans="10:10" x14ac:dyDescent="0.25">
      <c r="J877" s="1">
        <v>877</v>
      </c>
    </row>
    <row r="878" spans="10:10" x14ac:dyDescent="0.25">
      <c r="J878" s="1">
        <v>878</v>
      </c>
    </row>
    <row r="879" spans="10:10" x14ac:dyDescent="0.25">
      <c r="J879" s="1">
        <v>879</v>
      </c>
    </row>
    <row r="880" spans="10:10" x14ac:dyDescent="0.25">
      <c r="J880" s="1">
        <v>880</v>
      </c>
    </row>
    <row r="881" spans="10:10" x14ac:dyDescent="0.25">
      <c r="J881" s="1">
        <v>881</v>
      </c>
    </row>
    <row r="882" spans="10:10" x14ac:dyDescent="0.25">
      <c r="J882" s="1">
        <v>882</v>
      </c>
    </row>
    <row r="883" spans="10:10" x14ac:dyDescent="0.25">
      <c r="J883" s="1">
        <v>883</v>
      </c>
    </row>
    <row r="884" spans="10:10" x14ac:dyDescent="0.25">
      <c r="J884" s="1">
        <v>884</v>
      </c>
    </row>
    <row r="885" spans="10:10" x14ac:dyDescent="0.25">
      <c r="J885" s="1">
        <v>885</v>
      </c>
    </row>
    <row r="886" spans="10:10" x14ac:dyDescent="0.25">
      <c r="J886" s="1">
        <v>886</v>
      </c>
    </row>
    <row r="887" spans="10:10" x14ac:dyDescent="0.25">
      <c r="J887" s="1">
        <v>887</v>
      </c>
    </row>
    <row r="888" spans="10:10" x14ac:dyDescent="0.25">
      <c r="J888" s="1">
        <v>888</v>
      </c>
    </row>
    <row r="889" spans="10:10" x14ac:dyDescent="0.25">
      <c r="J889" s="1">
        <v>889</v>
      </c>
    </row>
    <row r="890" spans="10:10" x14ac:dyDescent="0.25">
      <c r="J890" s="1">
        <v>890</v>
      </c>
    </row>
    <row r="891" spans="10:10" x14ac:dyDescent="0.25">
      <c r="J891" s="1">
        <v>891</v>
      </c>
    </row>
    <row r="892" spans="10:10" x14ac:dyDescent="0.25">
      <c r="J892" s="1">
        <v>892</v>
      </c>
    </row>
    <row r="893" spans="10:10" x14ac:dyDescent="0.25">
      <c r="J893" s="1">
        <v>893</v>
      </c>
    </row>
    <row r="894" spans="10:10" x14ac:dyDescent="0.25">
      <c r="J894" s="1">
        <v>894</v>
      </c>
    </row>
    <row r="895" spans="10:10" x14ac:dyDescent="0.25">
      <c r="J895" s="1">
        <v>895</v>
      </c>
    </row>
    <row r="896" spans="10:10" x14ac:dyDescent="0.25">
      <c r="J896" s="1">
        <v>896</v>
      </c>
    </row>
    <row r="897" spans="10:10" x14ac:dyDescent="0.25">
      <c r="J897" s="1">
        <v>897</v>
      </c>
    </row>
    <row r="898" spans="10:10" x14ac:dyDescent="0.25">
      <c r="J898" s="1">
        <v>898</v>
      </c>
    </row>
    <row r="899" spans="10:10" x14ac:dyDescent="0.25">
      <c r="J899" s="1">
        <v>899</v>
      </c>
    </row>
    <row r="900" spans="10:10" x14ac:dyDescent="0.25">
      <c r="J900" s="1">
        <v>900</v>
      </c>
    </row>
    <row r="901" spans="10:10" x14ac:dyDescent="0.25">
      <c r="J901" s="1">
        <v>901</v>
      </c>
    </row>
    <row r="902" spans="10:10" x14ac:dyDescent="0.25">
      <c r="J902" s="1">
        <v>902</v>
      </c>
    </row>
    <row r="903" spans="10:10" x14ac:dyDescent="0.25">
      <c r="J903" s="1">
        <v>903</v>
      </c>
    </row>
    <row r="904" spans="10:10" x14ac:dyDescent="0.25">
      <c r="J904" s="1">
        <v>904</v>
      </c>
    </row>
    <row r="905" spans="10:10" x14ac:dyDescent="0.25">
      <c r="J905" s="1">
        <v>905</v>
      </c>
    </row>
    <row r="906" spans="10:10" x14ac:dyDescent="0.25">
      <c r="J906" s="1">
        <v>906</v>
      </c>
    </row>
    <row r="907" spans="10:10" x14ac:dyDescent="0.25">
      <c r="J907" s="1">
        <v>907</v>
      </c>
    </row>
    <row r="908" spans="10:10" x14ac:dyDescent="0.25">
      <c r="J908" s="1">
        <v>908</v>
      </c>
    </row>
    <row r="909" spans="10:10" x14ac:dyDescent="0.25">
      <c r="J909" s="1">
        <v>909</v>
      </c>
    </row>
    <row r="910" spans="10:10" x14ac:dyDescent="0.25">
      <c r="J910" s="1">
        <v>910</v>
      </c>
    </row>
    <row r="911" spans="10:10" x14ac:dyDescent="0.25">
      <c r="J911" s="1">
        <v>911</v>
      </c>
    </row>
    <row r="912" spans="10:10" x14ac:dyDescent="0.25">
      <c r="J912" s="1">
        <v>912</v>
      </c>
    </row>
    <row r="913" spans="10:10" x14ac:dyDescent="0.25">
      <c r="J913" s="1">
        <v>913</v>
      </c>
    </row>
    <row r="914" spans="10:10" x14ac:dyDescent="0.25">
      <c r="J914" s="1">
        <v>914</v>
      </c>
    </row>
    <row r="915" spans="10:10" x14ac:dyDescent="0.25">
      <c r="J915" s="1">
        <v>915</v>
      </c>
    </row>
    <row r="916" spans="10:10" x14ac:dyDescent="0.25">
      <c r="J916" s="1">
        <v>916</v>
      </c>
    </row>
    <row r="917" spans="10:10" x14ac:dyDescent="0.25">
      <c r="J917" s="1">
        <v>917</v>
      </c>
    </row>
    <row r="918" spans="10:10" x14ac:dyDescent="0.25">
      <c r="J918" s="1">
        <v>918</v>
      </c>
    </row>
    <row r="919" spans="10:10" x14ac:dyDescent="0.25">
      <c r="J919" s="1">
        <v>919</v>
      </c>
    </row>
    <row r="920" spans="10:10" x14ac:dyDescent="0.25">
      <c r="J920" s="1">
        <v>920</v>
      </c>
    </row>
    <row r="921" spans="10:10" x14ac:dyDescent="0.25">
      <c r="J921" s="1">
        <v>921</v>
      </c>
    </row>
    <row r="922" spans="10:10" x14ac:dyDescent="0.25">
      <c r="J922" s="1">
        <v>922</v>
      </c>
    </row>
    <row r="923" spans="10:10" x14ac:dyDescent="0.25">
      <c r="J923" s="1">
        <v>923</v>
      </c>
    </row>
    <row r="924" spans="10:10" x14ac:dyDescent="0.25">
      <c r="J924" s="1">
        <v>924</v>
      </c>
    </row>
    <row r="925" spans="10:10" x14ac:dyDescent="0.25">
      <c r="J925" s="1">
        <v>925</v>
      </c>
    </row>
    <row r="926" spans="10:10" x14ac:dyDescent="0.25">
      <c r="J926" s="1">
        <v>926</v>
      </c>
    </row>
    <row r="927" spans="10:10" x14ac:dyDescent="0.25">
      <c r="J927" s="1">
        <v>927</v>
      </c>
    </row>
    <row r="928" spans="10:10" x14ac:dyDescent="0.25">
      <c r="J928" s="1">
        <v>928</v>
      </c>
    </row>
    <row r="929" spans="10:10" x14ac:dyDescent="0.25">
      <c r="J929" s="1">
        <v>929</v>
      </c>
    </row>
    <row r="930" spans="10:10" x14ac:dyDescent="0.25">
      <c r="J930" s="1">
        <v>930</v>
      </c>
    </row>
    <row r="931" spans="10:10" x14ac:dyDescent="0.25">
      <c r="J931" s="1">
        <v>931</v>
      </c>
    </row>
    <row r="932" spans="10:10" x14ac:dyDescent="0.25">
      <c r="J932" s="1">
        <v>932</v>
      </c>
    </row>
    <row r="933" spans="10:10" x14ac:dyDescent="0.25">
      <c r="J933" s="1">
        <v>933</v>
      </c>
    </row>
    <row r="934" spans="10:10" x14ac:dyDescent="0.25">
      <c r="J934" s="1">
        <v>934</v>
      </c>
    </row>
    <row r="935" spans="10:10" x14ac:dyDescent="0.25">
      <c r="J935" s="1">
        <v>935</v>
      </c>
    </row>
    <row r="936" spans="10:10" x14ac:dyDescent="0.25">
      <c r="J936" s="1">
        <v>936</v>
      </c>
    </row>
    <row r="937" spans="10:10" x14ac:dyDescent="0.25">
      <c r="J937" s="1">
        <v>937</v>
      </c>
    </row>
    <row r="938" spans="10:10" x14ac:dyDescent="0.25">
      <c r="J938" s="1">
        <v>938</v>
      </c>
    </row>
    <row r="939" spans="10:10" x14ac:dyDescent="0.25">
      <c r="J939" s="1">
        <v>939</v>
      </c>
    </row>
    <row r="940" spans="10:10" x14ac:dyDescent="0.25">
      <c r="J940" s="1">
        <v>940</v>
      </c>
    </row>
    <row r="941" spans="10:10" x14ac:dyDescent="0.25">
      <c r="J941" s="1">
        <v>941</v>
      </c>
    </row>
    <row r="942" spans="10:10" x14ac:dyDescent="0.25">
      <c r="J942" s="1">
        <v>942</v>
      </c>
    </row>
    <row r="943" spans="10:10" x14ac:dyDescent="0.25">
      <c r="J943" s="1">
        <v>943</v>
      </c>
    </row>
    <row r="944" spans="10:10" x14ac:dyDescent="0.25">
      <c r="J944" s="1">
        <v>944</v>
      </c>
    </row>
    <row r="945" spans="10:10" x14ac:dyDescent="0.25">
      <c r="J945" s="1">
        <v>945</v>
      </c>
    </row>
    <row r="946" spans="10:10" x14ac:dyDescent="0.25">
      <c r="J946" s="1">
        <v>946</v>
      </c>
    </row>
    <row r="947" spans="10:10" x14ac:dyDescent="0.25">
      <c r="J947" s="1">
        <v>947</v>
      </c>
    </row>
    <row r="948" spans="10:10" x14ac:dyDescent="0.25">
      <c r="J948" s="1">
        <v>948</v>
      </c>
    </row>
    <row r="949" spans="10:10" x14ac:dyDescent="0.25">
      <c r="J949" s="1">
        <v>949</v>
      </c>
    </row>
    <row r="950" spans="10:10" x14ac:dyDescent="0.25">
      <c r="J950" s="1">
        <v>950</v>
      </c>
    </row>
    <row r="951" spans="10:10" x14ac:dyDescent="0.25">
      <c r="J951" s="1">
        <v>951</v>
      </c>
    </row>
    <row r="952" spans="10:10" x14ac:dyDescent="0.25">
      <c r="J952" s="1">
        <v>952</v>
      </c>
    </row>
    <row r="953" spans="10:10" x14ac:dyDescent="0.25">
      <c r="J953" s="1">
        <v>953</v>
      </c>
    </row>
    <row r="954" spans="10:10" x14ac:dyDescent="0.25">
      <c r="J954" s="1">
        <v>954</v>
      </c>
    </row>
    <row r="955" spans="10:10" x14ac:dyDescent="0.25">
      <c r="J955" s="1">
        <v>955</v>
      </c>
    </row>
    <row r="956" spans="10:10" x14ac:dyDescent="0.25">
      <c r="J956" s="1">
        <v>956</v>
      </c>
    </row>
    <row r="957" spans="10:10" x14ac:dyDescent="0.25">
      <c r="J957" s="1">
        <v>957</v>
      </c>
    </row>
    <row r="958" spans="10:10" x14ac:dyDescent="0.25">
      <c r="J958" s="1">
        <v>958</v>
      </c>
    </row>
    <row r="959" spans="10:10" x14ac:dyDescent="0.25">
      <c r="J959" s="1">
        <v>959</v>
      </c>
    </row>
    <row r="960" spans="10:10" x14ac:dyDescent="0.25">
      <c r="J960" s="1">
        <v>960</v>
      </c>
    </row>
    <row r="961" spans="10:10" x14ac:dyDescent="0.25">
      <c r="J961" s="1">
        <v>961</v>
      </c>
    </row>
    <row r="962" spans="10:10" x14ac:dyDescent="0.25">
      <c r="J962" s="1">
        <v>962</v>
      </c>
    </row>
    <row r="963" spans="10:10" x14ac:dyDescent="0.25">
      <c r="J963" s="1">
        <v>963</v>
      </c>
    </row>
    <row r="964" spans="10:10" x14ac:dyDescent="0.25">
      <c r="J964" s="1">
        <v>964</v>
      </c>
    </row>
    <row r="965" spans="10:10" x14ac:dyDescent="0.25">
      <c r="J965" s="1">
        <v>965</v>
      </c>
    </row>
    <row r="966" spans="10:10" x14ac:dyDescent="0.25">
      <c r="J966" s="1">
        <v>966</v>
      </c>
    </row>
    <row r="967" spans="10:10" x14ac:dyDescent="0.25">
      <c r="J967" s="1">
        <v>967</v>
      </c>
    </row>
    <row r="968" spans="10:10" x14ac:dyDescent="0.25">
      <c r="J968" s="1">
        <v>968</v>
      </c>
    </row>
    <row r="969" spans="10:10" x14ac:dyDescent="0.25">
      <c r="J969" s="1">
        <v>969</v>
      </c>
    </row>
    <row r="970" spans="10:10" x14ac:dyDescent="0.25">
      <c r="J970" s="1">
        <v>970</v>
      </c>
    </row>
    <row r="971" spans="10:10" x14ac:dyDescent="0.25">
      <c r="J971" s="1">
        <v>971</v>
      </c>
    </row>
    <row r="972" spans="10:10" x14ac:dyDescent="0.25">
      <c r="J972" s="1">
        <v>972</v>
      </c>
    </row>
    <row r="973" spans="10:10" x14ac:dyDescent="0.25">
      <c r="J973" s="1">
        <v>973</v>
      </c>
    </row>
    <row r="974" spans="10:10" x14ac:dyDescent="0.25">
      <c r="J974" s="1">
        <v>974</v>
      </c>
    </row>
    <row r="975" spans="10:10" x14ac:dyDescent="0.25">
      <c r="J975" s="1">
        <v>975</v>
      </c>
    </row>
    <row r="976" spans="10:10" x14ac:dyDescent="0.25">
      <c r="J976" s="1">
        <v>976</v>
      </c>
    </row>
    <row r="977" spans="10:10" x14ac:dyDescent="0.25">
      <c r="J977" s="1">
        <v>977</v>
      </c>
    </row>
    <row r="978" spans="10:10" x14ac:dyDescent="0.25">
      <c r="J978" s="1">
        <v>978</v>
      </c>
    </row>
    <row r="979" spans="10:10" x14ac:dyDescent="0.25">
      <c r="J979" s="1">
        <v>979</v>
      </c>
    </row>
    <row r="980" spans="10:10" x14ac:dyDescent="0.25">
      <c r="J980" s="1">
        <v>980</v>
      </c>
    </row>
    <row r="981" spans="10:10" x14ac:dyDescent="0.25">
      <c r="J981" s="1">
        <v>981</v>
      </c>
    </row>
    <row r="982" spans="10:10" x14ac:dyDescent="0.25">
      <c r="J982" s="1">
        <v>982</v>
      </c>
    </row>
    <row r="983" spans="10:10" x14ac:dyDescent="0.25">
      <c r="J983" s="1">
        <v>983</v>
      </c>
    </row>
    <row r="984" spans="10:10" x14ac:dyDescent="0.25">
      <c r="J984" s="1">
        <v>984</v>
      </c>
    </row>
    <row r="985" spans="10:10" x14ac:dyDescent="0.25">
      <c r="J985" s="1">
        <v>985</v>
      </c>
    </row>
    <row r="986" spans="10:10" x14ac:dyDescent="0.25">
      <c r="J986" s="1">
        <v>986</v>
      </c>
    </row>
    <row r="987" spans="10:10" x14ac:dyDescent="0.25">
      <c r="J987" s="1">
        <v>987</v>
      </c>
    </row>
    <row r="988" spans="10:10" x14ac:dyDescent="0.25">
      <c r="J988" s="1">
        <v>988</v>
      </c>
    </row>
    <row r="989" spans="10:10" x14ac:dyDescent="0.25">
      <c r="J989" s="1">
        <v>989</v>
      </c>
    </row>
    <row r="990" spans="10:10" x14ac:dyDescent="0.25">
      <c r="J990" s="1">
        <v>990</v>
      </c>
    </row>
    <row r="991" spans="10:10" x14ac:dyDescent="0.25">
      <c r="J991" s="1">
        <v>991</v>
      </c>
    </row>
    <row r="992" spans="10:10" x14ac:dyDescent="0.25">
      <c r="J992" s="1">
        <v>992</v>
      </c>
    </row>
    <row r="993" spans="10:10" x14ac:dyDescent="0.25">
      <c r="J993" s="1">
        <v>993</v>
      </c>
    </row>
    <row r="994" spans="10:10" x14ac:dyDescent="0.25">
      <c r="J994" s="1">
        <v>994</v>
      </c>
    </row>
    <row r="995" spans="10:10" x14ac:dyDescent="0.25">
      <c r="J995" s="1">
        <v>995</v>
      </c>
    </row>
    <row r="996" spans="10:10" x14ac:dyDescent="0.25">
      <c r="J996" s="1">
        <v>996</v>
      </c>
    </row>
    <row r="997" spans="10:10" x14ac:dyDescent="0.25">
      <c r="J997" s="1">
        <v>997</v>
      </c>
    </row>
    <row r="998" spans="10:10" x14ac:dyDescent="0.25">
      <c r="J998" s="1">
        <v>998</v>
      </c>
    </row>
    <row r="999" spans="10:10" x14ac:dyDescent="0.25">
      <c r="J999" s="1">
        <v>999</v>
      </c>
    </row>
    <row r="1000" spans="10:10" x14ac:dyDescent="0.25">
      <c r="J1000" s="1">
        <v>1000</v>
      </c>
    </row>
    <row r="1001" spans="10:10" x14ac:dyDescent="0.25">
      <c r="J1001" s="1">
        <v>1001</v>
      </c>
    </row>
    <row r="1002" spans="10:10" x14ac:dyDescent="0.25">
      <c r="J1002" s="1">
        <v>1002</v>
      </c>
    </row>
    <row r="1003" spans="10:10" x14ac:dyDescent="0.25">
      <c r="J1003" s="1">
        <v>1003</v>
      </c>
    </row>
    <row r="1004" spans="10:10" x14ac:dyDescent="0.25">
      <c r="J1004" s="1">
        <v>1004</v>
      </c>
    </row>
    <row r="1005" spans="10:10" x14ac:dyDescent="0.25">
      <c r="J1005" s="1">
        <v>1005</v>
      </c>
    </row>
    <row r="1006" spans="10:10" x14ac:dyDescent="0.25">
      <c r="J1006" s="1">
        <v>1006</v>
      </c>
    </row>
    <row r="1007" spans="10:10" x14ac:dyDescent="0.25">
      <c r="J1007" s="1">
        <v>1007</v>
      </c>
    </row>
    <row r="1008" spans="10:10" x14ac:dyDescent="0.25">
      <c r="J1008" s="1">
        <v>1008</v>
      </c>
    </row>
    <row r="1009" spans="10:10" x14ac:dyDescent="0.25">
      <c r="J1009" s="1">
        <v>1009</v>
      </c>
    </row>
    <row r="1010" spans="10:10" x14ac:dyDescent="0.25">
      <c r="J1010" s="1">
        <v>1010</v>
      </c>
    </row>
    <row r="1011" spans="10:10" x14ac:dyDescent="0.25">
      <c r="J1011" s="1">
        <v>1011</v>
      </c>
    </row>
    <row r="1012" spans="10:10" x14ac:dyDescent="0.25">
      <c r="J1012" s="1">
        <v>1012</v>
      </c>
    </row>
    <row r="1013" spans="10:10" x14ac:dyDescent="0.25">
      <c r="J1013" s="1">
        <v>1013</v>
      </c>
    </row>
    <row r="1014" spans="10:10" x14ac:dyDescent="0.25">
      <c r="J1014" s="1">
        <v>1014</v>
      </c>
    </row>
    <row r="1015" spans="10:10" x14ac:dyDescent="0.25">
      <c r="J1015" s="1">
        <v>1015</v>
      </c>
    </row>
    <row r="1016" spans="10:10" x14ac:dyDescent="0.25">
      <c r="J1016" s="1">
        <v>1016</v>
      </c>
    </row>
    <row r="1017" spans="10:10" x14ac:dyDescent="0.25">
      <c r="J1017" s="1">
        <v>1017</v>
      </c>
    </row>
    <row r="1018" spans="10:10" x14ac:dyDescent="0.25">
      <c r="J1018" s="1">
        <v>1018</v>
      </c>
    </row>
    <row r="1019" spans="10:10" x14ac:dyDescent="0.25">
      <c r="J1019" s="1">
        <v>1019</v>
      </c>
    </row>
    <row r="1020" spans="10:10" x14ac:dyDescent="0.25">
      <c r="J1020" s="1">
        <v>1020</v>
      </c>
    </row>
    <row r="1021" spans="10:10" x14ac:dyDescent="0.25">
      <c r="J1021" s="1">
        <v>1021</v>
      </c>
    </row>
    <row r="1022" spans="10:10" x14ac:dyDescent="0.25">
      <c r="J1022" s="1">
        <v>1022</v>
      </c>
    </row>
    <row r="1023" spans="10:10" x14ac:dyDescent="0.25">
      <c r="J1023" s="1">
        <v>1023</v>
      </c>
    </row>
    <row r="1024" spans="10:10" x14ac:dyDescent="0.25">
      <c r="J1024" s="1">
        <v>1024</v>
      </c>
    </row>
    <row r="1025" spans="10:10" x14ac:dyDescent="0.25">
      <c r="J1025" s="1">
        <v>1025</v>
      </c>
    </row>
    <row r="1026" spans="10:10" x14ac:dyDescent="0.25">
      <c r="J1026" s="1">
        <v>1026</v>
      </c>
    </row>
    <row r="1027" spans="10:10" x14ac:dyDescent="0.25">
      <c r="J1027" s="1">
        <v>1027</v>
      </c>
    </row>
    <row r="1028" spans="10:10" x14ac:dyDescent="0.25">
      <c r="J1028" s="1">
        <v>1028</v>
      </c>
    </row>
    <row r="1029" spans="10:10" x14ac:dyDescent="0.25">
      <c r="J1029" s="1">
        <v>1029</v>
      </c>
    </row>
    <row r="1030" spans="10:10" x14ac:dyDescent="0.25">
      <c r="J1030" s="1">
        <v>1030</v>
      </c>
    </row>
    <row r="1031" spans="10:10" x14ac:dyDescent="0.25">
      <c r="J1031" s="1">
        <v>1031</v>
      </c>
    </row>
    <row r="1032" spans="10:10" x14ac:dyDescent="0.25">
      <c r="J1032" s="1">
        <v>1032</v>
      </c>
    </row>
    <row r="1033" spans="10:10" x14ac:dyDescent="0.25">
      <c r="J1033" s="1">
        <v>1033</v>
      </c>
    </row>
    <row r="1034" spans="10:10" x14ac:dyDescent="0.25">
      <c r="J1034" s="1">
        <v>1034</v>
      </c>
    </row>
    <row r="1035" spans="10:10" x14ac:dyDescent="0.25">
      <c r="J1035" s="1">
        <v>1035</v>
      </c>
    </row>
    <row r="1036" spans="10:10" x14ac:dyDescent="0.25">
      <c r="J1036" s="1">
        <v>1036</v>
      </c>
    </row>
    <row r="1037" spans="10:10" x14ac:dyDescent="0.25">
      <c r="J1037" s="1">
        <v>1037</v>
      </c>
    </row>
    <row r="1038" spans="10:10" x14ac:dyDescent="0.25">
      <c r="J1038" s="1">
        <v>1038</v>
      </c>
    </row>
    <row r="1039" spans="10:10" x14ac:dyDescent="0.25">
      <c r="J1039" s="1">
        <v>1039</v>
      </c>
    </row>
    <row r="1040" spans="10:10" x14ac:dyDescent="0.25">
      <c r="J1040" s="1">
        <v>1040</v>
      </c>
    </row>
    <row r="1041" spans="10:10" x14ac:dyDescent="0.25">
      <c r="J1041" s="1">
        <v>1041</v>
      </c>
    </row>
    <row r="1042" spans="10:10" x14ac:dyDescent="0.25">
      <c r="J1042" s="1">
        <v>1042</v>
      </c>
    </row>
    <row r="1043" spans="10:10" x14ac:dyDescent="0.25">
      <c r="J1043" s="1">
        <v>1043</v>
      </c>
    </row>
    <row r="1044" spans="10:10" x14ac:dyDescent="0.25">
      <c r="J1044" s="1">
        <v>1044</v>
      </c>
    </row>
    <row r="1045" spans="10:10" x14ac:dyDescent="0.25">
      <c r="J1045" s="1">
        <v>1045</v>
      </c>
    </row>
    <row r="1046" spans="10:10" x14ac:dyDescent="0.25">
      <c r="J1046" s="1">
        <v>1046</v>
      </c>
    </row>
    <row r="1047" spans="10:10" x14ac:dyDescent="0.25">
      <c r="J1047" s="1">
        <v>1047</v>
      </c>
    </row>
    <row r="1048" spans="10:10" x14ac:dyDescent="0.25">
      <c r="J1048" s="1">
        <v>1048</v>
      </c>
    </row>
    <row r="1049" spans="10:10" x14ac:dyDescent="0.25">
      <c r="J1049" s="1">
        <v>1049</v>
      </c>
    </row>
    <row r="1050" spans="10:10" x14ac:dyDescent="0.25">
      <c r="J1050" s="1">
        <v>1050</v>
      </c>
    </row>
    <row r="1051" spans="10:10" x14ac:dyDescent="0.25">
      <c r="J1051" s="1">
        <v>1051</v>
      </c>
    </row>
    <row r="1052" spans="10:10" x14ac:dyDescent="0.25">
      <c r="J1052" s="1">
        <v>1052</v>
      </c>
    </row>
    <row r="1053" spans="10:10" x14ac:dyDescent="0.25">
      <c r="J1053" s="1">
        <v>1053</v>
      </c>
    </row>
    <row r="1054" spans="10:10" x14ac:dyDescent="0.25">
      <c r="J1054" s="1">
        <v>1054</v>
      </c>
    </row>
    <row r="1055" spans="10:10" x14ac:dyDescent="0.25">
      <c r="J1055" s="1">
        <v>1055</v>
      </c>
    </row>
    <row r="1056" spans="10:10" x14ac:dyDescent="0.25">
      <c r="J1056" s="1">
        <v>1056</v>
      </c>
    </row>
    <row r="1057" spans="10:10" x14ac:dyDescent="0.25">
      <c r="J1057" s="1">
        <v>1057</v>
      </c>
    </row>
    <row r="1058" spans="10:10" x14ac:dyDescent="0.25">
      <c r="J1058" s="1">
        <v>1058</v>
      </c>
    </row>
    <row r="1059" spans="10:10" x14ac:dyDescent="0.25">
      <c r="J1059" s="1">
        <v>1059</v>
      </c>
    </row>
    <row r="1060" spans="10:10" x14ac:dyDescent="0.25">
      <c r="J1060" s="1">
        <v>1060</v>
      </c>
    </row>
    <row r="1061" spans="10:10" x14ac:dyDescent="0.25">
      <c r="J1061" s="1">
        <v>1061</v>
      </c>
    </row>
    <row r="1062" spans="10:10" x14ac:dyDescent="0.25">
      <c r="J1062" s="1">
        <v>1062</v>
      </c>
    </row>
    <row r="1063" spans="10:10" x14ac:dyDescent="0.25">
      <c r="J1063" s="1">
        <v>1063</v>
      </c>
    </row>
    <row r="1064" spans="10:10" x14ac:dyDescent="0.25">
      <c r="J1064" s="1">
        <v>1064</v>
      </c>
    </row>
    <row r="1065" spans="10:10" x14ac:dyDescent="0.25">
      <c r="J1065" s="1">
        <v>1065</v>
      </c>
    </row>
    <row r="1066" spans="10:10" x14ac:dyDescent="0.25">
      <c r="J1066" s="1">
        <v>1066</v>
      </c>
    </row>
    <row r="1067" spans="10:10" x14ac:dyDescent="0.25">
      <c r="J1067" s="1">
        <v>1067</v>
      </c>
    </row>
    <row r="1068" spans="10:10" x14ac:dyDescent="0.25">
      <c r="J1068" s="1">
        <v>1068</v>
      </c>
    </row>
    <row r="1069" spans="10:10" x14ac:dyDescent="0.25">
      <c r="J1069" s="1">
        <v>1069</v>
      </c>
    </row>
    <row r="1070" spans="10:10" x14ac:dyDescent="0.25">
      <c r="J1070" s="1">
        <v>1070</v>
      </c>
    </row>
    <row r="1071" spans="10:10" x14ac:dyDescent="0.25">
      <c r="J1071" s="1">
        <v>1071</v>
      </c>
    </row>
    <row r="1072" spans="10:10" x14ac:dyDescent="0.25">
      <c r="J1072" s="1">
        <v>1072</v>
      </c>
    </row>
    <row r="1073" spans="10:10" x14ac:dyDescent="0.25">
      <c r="J1073" s="1">
        <v>1073</v>
      </c>
    </row>
    <row r="1074" spans="10:10" x14ac:dyDescent="0.25">
      <c r="J1074" s="1">
        <v>1074</v>
      </c>
    </row>
    <row r="1075" spans="10:10" x14ac:dyDescent="0.25">
      <c r="J1075" s="1">
        <v>1075</v>
      </c>
    </row>
    <row r="1076" spans="10:10" x14ac:dyDescent="0.25">
      <c r="J1076" s="1">
        <v>1076</v>
      </c>
    </row>
    <row r="1077" spans="10:10" x14ac:dyDescent="0.25">
      <c r="J1077" s="1">
        <v>1077</v>
      </c>
    </row>
    <row r="1078" spans="10:10" x14ac:dyDescent="0.25">
      <c r="J1078" s="1">
        <v>1078</v>
      </c>
    </row>
    <row r="1079" spans="10:10" x14ac:dyDescent="0.25">
      <c r="J1079" s="1">
        <v>1079</v>
      </c>
    </row>
    <row r="1080" spans="10:10" x14ac:dyDescent="0.25">
      <c r="J1080" s="1">
        <v>1080</v>
      </c>
    </row>
    <row r="1081" spans="10:10" x14ac:dyDescent="0.25">
      <c r="J1081" s="1">
        <v>1081</v>
      </c>
    </row>
    <row r="1082" spans="10:10" x14ac:dyDescent="0.25">
      <c r="J1082" s="1">
        <v>1082</v>
      </c>
    </row>
    <row r="1083" spans="10:10" x14ac:dyDescent="0.25">
      <c r="J1083" s="1">
        <v>1083</v>
      </c>
    </row>
    <row r="1084" spans="10:10" x14ac:dyDescent="0.25">
      <c r="J1084" s="1">
        <v>1084</v>
      </c>
    </row>
    <row r="1085" spans="10:10" x14ac:dyDescent="0.25">
      <c r="J1085" s="1">
        <v>1085</v>
      </c>
    </row>
    <row r="1086" spans="10:10" x14ac:dyDescent="0.25">
      <c r="J1086" s="1">
        <v>1086</v>
      </c>
    </row>
    <row r="1087" spans="10:10" x14ac:dyDescent="0.25">
      <c r="J1087" s="1">
        <v>1087</v>
      </c>
    </row>
    <row r="1088" spans="10:10" x14ac:dyDescent="0.25">
      <c r="J1088" s="1">
        <v>1088</v>
      </c>
    </row>
    <row r="1089" spans="10:10" x14ac:dyDescent="0.25">
      <c r="J1089" s="1">
        <v>1089</v>
      </c>
    </row>
    <row r="1090" spans="10:10" x14ac:dyDescent="0.25">
      <c r="J1090" s="1">
        <v>1090</v>
      </c>
    </row>
    <row r="1091" spans="10:10" x14ac:dyDescent="0.25">
      <c r="J1091" s="1">
        <v>1091</v>
      </c>
    </row>
    <row r="1092" spans="10:10" x14ac:dyDescent="0.25">
      <c r="J1092" s="1">
        <v>1092</v>
      </c>
    </row>
    <row r="1093" spans="10:10" x14ac:dyDescent="0.25">
      <c r="J1093" s="1">
        <v>1093</v>
      </c>
    </row>
    <row r="1094" spans="10:10" x14ac:dyDescent="0.25">
      <c r="J1094" s="1">
        <v>1094</v>
      </c>
    </row>
    <row r="1095" spans="10:10" x14ac:dyDescent="0.25">
      <c r="J1095" s="1">
        <v>1095</v>
      </c>
    </row>
    <row r="1096" spans="10:10" x14ac:dyDescent="0.25">
      <c r="J1096" s="1">
        <v>1096</v>
      </c>
    </row>
    <row r="1097" spans="10:10" x14ac:dyDescent="0.25">
      <c r="J1097" s="1">
        <v>1097</v>
      </c>
    </row>
    <row r="1098" spans="10:10" x14ac:dyDescent="0.25">
      <c r="J1098" s="1">
        <v>1098</v>
      </c>
    </row>
    <row r="1099" spans="10:10" x14ac:dyDescent="0.25">
      <c r="J1099" s="1">
        <v>1099</v>
      </c>
    </row>
    <row r="1100" spans="10:10" x14ac:dyDescent="0.25">
      <c r="J1100" s="1">
        <v>1100</v>
      </c>
    </row>
    <row r="1101" spans="10:10" x14ac:dyDescent="0.25">
      <c r="J1101" s="1">
        <v>1101</v>
      </c>
    </row>
    <row r="1102" spans="10:10" x14ac:dyDescent="0.25">
      <c r="J1102" s="1">
        <v>1102</v>
      </c>
    </row>
    <row r="1103" spans="10:10" x14ac:dyDescent="0.25">
      <c r="J1103" s="1">
        <v>1103</v>
      </c>
    </row>
    <row r="1104" spans="10:10" x14ac:dyDescent="0.25">
      <c r="J1104" s="1">
        <v>1104</v>
      </c>
    </row>
    <row r="1105" spans="10:10" x14ac:dyDescent="0.25">
      <c r="J1105" s="1">
        <v>1105</v>
      </c>
    </row>
    <row r="1106" spans="10:10" x14ac:dyDescent="0.25">
      <c r="J1106" s="1">
        <v>1106</v>
      </c>
    </row>
    <row r="1107" spans="10:10" x14ac:dyDescent="0.25">
      <c r="J1107" s="1">
        <v>1107</v>
      </c>
    </row>
    <row r="1108" spans="10:10" x14ac:dyDescent="0.25">
      <c r="J1108" s="1">
        <v>1108</v>
      </c>
    </row>
    <row r="1109" spans="10:10" x14ac:dyDescent="0.25">
      <c r="J1109" s="1">
        <v>1109</v>
      </c>
    </row>
    <row r="1110" spans="10:10" x14ac:dyDescent="0.25">
      <c r="J1110" s="1">
        <v>1110</v>
      </c>
    </row>
    <row r="1111" spans="10:10" x14ac:dyDescent="0.25">
      <c r="J1111" s="1">
        <v>1111</v>
      </c>
    </row>
    <row r="1112" spans="10:10" x14ac:dyDescent="0.25">
      <c r="J1112" s="1">
        <v>1112</v>
      </c>
    </row>
    <row r="1113" spans="10:10" x14ac:dyDescent="0.25">
      <c r="J1113" s="1">
        <v>1113</v>
      </c>
    </row>
    <row r="1114" spans="10:10" x14ac:dyDescent="0.25">
      <c r="J1114" s="1">
        <v>1114</v>
      </c>
    </row>
    <row r="1115" spans="10:10" x14ac:dyDescent="0.25">
      <c r="J1115" s="1">
        <v>1115</v>
      </c>
    </row>
    <row r="1116" spans="10:10" x14ac:dyDescent="0.25">
      <c r="J1116" s="1">
        <v>1116</v>
      </c>
    </row>
    <row r="1117" spans="10:10" x14ac:dyDescent="0.25">
      <c r="J1117" s="1">
        <v>1117</v>
      </c>
    </row>
    <row r="1118" spans="10:10" x14ac:dyDescent="0.25">
      <c r="J1118" s="1">
        <v>1118</v>
      </c>
    </row>
    <row r="1119" spans="10:10" x14ac:dyDescent="0.25">
      <c r="J1119" s="1">
        <v>1119</v>
      </c>
    </row>
    <row r="1120" spans="10:10" x14ac:dyDescent="0.25">
      <c r="J1120" s="1">
        <v>1120</v>
      </c>
    </row>
    <row r="1121" spans="10:10" x14ac:dyDescent="0.25">
      <c r="J1121" s="1">
        <v>1121</v>
      </c>
    </row>
    <row r="1122" spans="10:10" x14ac:dyDescent="0.25">
      <c r="J1122" s="1">
        <v>1122</v>
      </c>
    </row>
    <row r="1123" spans="10:10" x14ac:dyDescent="0.25">
      <c r="J1123" s="1">
        <v>1123</v>
      </c>
    </row>
    <row r="1124" spans="10:10" x14ac:dyDescent="0.25">
      <c r="J1124" s="1">
        <v>1124</v>
      </c>
    </row>
    <row r="1125" spans="10:10" x14ac:dyDescent="0.25">
      <c r="J1125" s="1">
        <v>1125</v>
      </c>
    </row>
    <row r="1126" spans="10:10" x14ac:dyDescent="0.25">
      <c r="J1126" s="1">
        <v>1126</v>
      </c>
    </row>
    <row r="1127" spans="10:10" x14ac:dyDescent="0.25">
      <c r="J1127" s="1">
        <v>1127</v>
      </c>
    </row>
    <row r="1128" spans="10:10" x14ac:dyDescent="0.25">
      <c r="J1128" s="1">
        <v>1128</v>
      </c>
    </row>
    <row r="1129" spans="10:10" x14ac:dyDescent="0.25">
      <c r="J1129" s="1">
        <v>1129</v>
      </c>
    </row>
    <row r="1130" spans="10:10" x14ac:dyDescent="0.25">
      <c r="J1130" s="1">
        <v>1130</v>
      </c>
    </row>
    <row r="1131" spans="10:10" x14ac:dyDescent="0.25">
      <c r="J1131" s="1">
        <v>1131</v>
      </c>
    </row>
    <row r="1132" spans="10:10" x14ac:dyDescent="0.25">
      <c r="J1132" s="1">
        <v>1132</v>
      </c>
    </row>
    <row r="1133" spans="10:10" x14ac:dyDescent="0.25">
      <c r="J1133" s="1">
        <v>1133</v>
      </c>
    </row>
    <row r="1134" spans="10:10" x14ac:dyDescent="0.25">
      <c r="J1134" s="1">
        <v>1134</v>
      </c>
    </row>
    <row r="1135" spans="10:10" x14ac:dyDescent="0.25">
      <c r="J1135" s="1">
        <v>1135</v>
      </c>
    </row>
    <row r="1136" spans="10:10" x14ac:dyDescent="0.25">
      <c r="J1136" s="1">
        <v>1136</v>
      </c>
    </row>
    <row r="1137" spans="10:10" x14ac:dyDescent="0.25">
      <c r="J1137" s="1">
        <v>1137</v>
      </c>
    </row>
    <row r="1138" spans="10:10" x14ac:dyDescent="0.25">
      <c r="J1138" s="1">
        <v>1138</v>
      </c>
    </row>
    <row r="1139" spans="10:10" x14ac:dyDescent="0.25">
      <c r="J1139" s="1">
        <v>1139</v>
      </c>
    </row>
    <row r="1140" spans="10:10" x14ac:dyDescent="0.25">
      <c r="J1140" s="1">
        <v>1140</v>
      </c>
    </row>
    <row r="1141" spans="10:10" x14ac:dyDescent="0.25">
      <c r="J1141" s="1">
        <v>1141</v>
      </c>
    </row>
    <row r="1142" spans="10:10" x14ac:dyDescent="0.25">
      <c r="J1142" s="1">
        <v>1142</v>
      </c>
    </row>
    <row r="1143" spans="10:10" x14ac:dyDescent="0.25">
      <c r="J1143" s="1">
        <v>1143</v>
      </c>
    </row>
    <row r="1144" spans="10:10" x14ac:dyDescent="0.25">
      <c r="J1144" s="1">
        <v>1144</v>
      </c>
    </row>
    <row r="1145" spans="10:10" x14ac:dyDescent="0.25">
      <c r="J1145" s="1">
        <v>1145</v>
      </c>
    </row>
    <row r="1146" spans="10:10" x14ac:dyDescent="0.25">
      <c r="J1146" s="1">
        <v>1146</v>
      </c>
    </row>
    <row r="1147" spans="10:10" x14ac:dyDescent="0.25">
      <c r="J1147" s="1">
        <v>1147</v>
      </c>
    </row>
    <row r="1148" spans="10:10" x14ac:dyDescent="0.25">
      <c r="J1148" s="1">
        <v>1148</v>
      </c>
    </row>
    <row r="1149" spans="10:10" x14ac:dyDescent="0.25">
      <c r="J1149" s="1">
        <v>1149</v>
      </c>
    </row>
    <row r="1150" spans="10:10" x14ac:dyDescent="0.25">
      <c r="J1150" s="1">
        <v>1150</v>
      </c>
    </row>
    <row r="1151" spans="10:10" x14ac:dyDescent="0.25">
      <c r="J1151" s="1">
        <v>1151</v>
      </c>
    </row>
    <row r="1152" spans="10:10" x14ac:dyDescent="0.25">
      <c r="J1152" s="1">
        <v>1152</v>
      </c>
    </row>
    <row r="1153" spans="10:10" x14ac:dyDescent="0.25">
      <c r="J1153" s="1">
        <v>1153</v>
      </c>
    </row>
    <row r="1154" spans="10:10" x14ac:dyDescent="0.25">
      <c r="J1154" s="1">
        <v>1154</v>
      </c>
    </row>
    <row r="1155" spans="10:10" x14ac:dyDescent="0.25">
      <c r="J1155" s="1">
        <v>1155</v>
      </c>
    </row>
    <row r="1156" spans="10:10" x14ac:dyDescent="0.25">
      <c r="J1156" s="1">
        <v>1156</v>
      </c>
    </row>
    <row r="1157" spans="10:10" x14ac:dyDescent="0.25">
      <c r="J1157" s="1">
        <v>1157</v>
      </c>
    </row>
    <row r="1158" spans="10:10" x14ac:dyDescent="0.25">
      <c r="J1158" s="1">
        <v>1158</v>
      </c>
    </row>
    <row r="1159" spans="10:10" x14ac:dyDescent="0.25">
      <c r="J1159" s="1">
        <v>1159</v>
      </c>
    </row>
    <row r="1160" spans="10:10" x14ac:dyDescent="0.25">
      <c r="J1160" s="1">
        <v>1160</v>
      </c>
    </row>
    <row r="1161" spans="10:10" x14ac:dyDescent="0.25">
      <c r="J1161" s="1">
        <v>1161</v>
      </c>
    </row>
    <row r="1162" spans="10:10" x14ac:dyDescent="0.25">
      <c r="J1162" s="1">
        <v>1162</v>
      </c>
    </row>
    <row r="1163" spans="10:10" x14ac:dyDescent="0.25">
      <c r="J1163" s="1">
        <v>1163</v>
      </c>
    </row>
    <row r="1164" spans="10:10" x14ac:dyDescent="0.25">
      <c r="J1164" s="1">
        <v>1164</v>
      </c>
    </row>
    <row r="1165" spans="10:10" x14ac:dyDescent="0.25">
      <c r="J1165" s="1">
        <v>1165</v>
      </c>
    </row>
    <row r="1166" spans="10:10" x14ac:dyDescent="0.25">
      <c r="J1166" s="1">
        <v>1166</v>
      </c>
    </row>
    <row r="1167" spans="10:10" x14ac:dyDescent="0.25">
      <c r="J1167" s="1">
        <v>1167</v>
      </c>
    </row>
    <row r="1168" spans="10:10" x14ac:dyDescent="0.25">
      <c r="J1168" s="1">
        <v>1168</v>
      </c>
    </row>
    <row r="1169" spans="10:10" x14ac:dyDescent="0.25">
      <c r="J1169" s="1">
        <v>1169</v>
      </c>
    </row>
    <row r="1170" spans="10:10" x14ac:dyDescent="0.25">
      <c r="J1170" s="1">
        <v>1170</v>
      </c>
    </row>
    <row r="1171" spans="10:10" x14ac:dyDescent="0.25">
      <c r="J1171" s="1">
        <v>1171</v>
      </c>
    </row>
    <row r="1172" spans="10:10" x14ac:dyDescent="0.25">
      <c r="J1172" s="1">
        <v>1172</v>
      </c>
    </row>
    <row r="1173" spans="10:10" x14ac:dyDescent="0.25">
      <c r="J1173" s="1">
        <v>1173</v>
      </c>
    </row>
    <row r="1174" spans="10:10" x14ac:dyDescent="0.25">
      <c r="J1174" s="1">
        <v>1174</v>
      </c>
    </row>
    <row r="1175" spans="10:10" x14ac:dyDescent="0.25">
      <c r="J1175" s="1">
        <v>1175</v>
      </c>
    </row>
    <row r="1176" spans="10:10" x14ac:dyDescent="0.25">
      <c r="J1176" s="1">
        <v>1176</v>
      </c>
    </row>
    <row r="1177" spans="10:10" x14ac:dyDescent="0.25">
      <c r="J1177" s="1">
        <v>1177</v>
      </c>
    </row>
    <row r="1178" spans="10:10" x14ac:dyDescent="0.25">
      <c r="J1178" s="1">
        <v>1178</v>
      </c>
    </row>
    <row r="1179" spans="10:10" x14ac:dyDescent="0.25">
      <c r="J1179" s="1">
        <v>1179</v>
      </c>
    </row>
    <row r="1180" spans="10:10" x14ac:dyDescent="0.25">
      <c r="J1180" s="1">
        <v>1180</v>
      </c>
    </row>
    <row r="1181" spans="10:10" x14ac:dyDescent="0.25">
      <c r="J1181" s="1">
        <v>1181</v>
      </c>
    </row>
    <row r="1182" spans="10:10" x14ac:dyDescent="0.25">
      <c r="J1182" s="1">
        <v>1182</v>
      </c>
    </row>
    <row r="1183" spans="10:10" x14ac:dyDescent="0.25">
      <c r="J1183" s="1">
        <v>1183</v>
      </c>
    </row>
    <row r="1184" spans="10:10" x14ac:dyDescent="0.25">
      <c r="J1184" s="1">
        <v>1184</v>
      </c>
    </row>
    <row r="1185" spans="10:10" x14ac:dyDescent="0.25">
      <c r="J1185" s="1">
        <v>1185</v>
      </c>
    </row>
    <row r="1186" spans="10:10" x14ac:dyDescent="0.25">
      <c r="J1186" s="1">
        <v>1186</v>
      </c>
    </row>
    <row r="1187" spans="10:10" x14ac:dyDescent="0.25">
      <c r="J1187" s="1">
        <v>1187</v>
      </c>
    </row>
    <row r="1188" spans="10:10" x14ac:dyDescent="0.25">
      <c r="J1188" s="1">
        <v>1188</v>
      </c>
    </row>
    <row r="1189" spans="10:10" x14ac:dyDescent="0.25">
      <c r="J1189" s="1">
        <v>1189</v>
      </c>
    </row>
    <row r="1190" spans="10:10" x14ac:dyDescent="0.25">
      <c r="J1190" s="1">
        <v>1190</v>
      </c>
    </row>
    <row r="1191" spans="10:10" x14ac:dyDescent="0.25">
      <c r="J1191" s="1">
        <v>1191</v>
      </c>
    </row>
    <row r="1192" spans="10:10" x14ac:dyDescent="0.25">
      <c r="J1192" s="1">
        <v>1192</v>
      </c>
    </row>
    <row r="1193" spans="10:10" x14ac:dyDescent="0.25">
      <c r="J1193" s="1">
        <v>1193</v>
      </c>
    </row>
    <row r="1194" spans="10:10" x14ac:dyDescent="0.25">
      <c r="J1194" s="1">
        <v>1194</v>
      </c>
    </row>
    <row r="1195" spans="10:10" x14ac:dyDescent="0.25">
      <c r="J1195" s="1">
        <v>1195</v>
      </c>
    </row>
    <row r="1196" spans="10:10" x14ac:dyDescent="0.25">
      <c r="J1196" s="1">
        <v>1196</v>
      </c>
    </row>
    <row r="1197" spans="10:10" x14ac:dyDescent="0.25">
      <c r="J1197" s="1">
        <v>1197</v>
      </c>
    </row>
    <row r="1198" spans="10:10" x14ac:dyDescent="0.25">
      <c r="J1198" s="1">
        <v>1198</v>
      </c>
    </row>
    <row r="1199" spans="10:10" x14ac:dyDescent="0.25">
      <c r="J1199" s="1">
        <v>1199</v>
      </c>
    </row>
    <row r="1200" spans="10:10" x14ac:dyDescent="0.25">
      <c r="J1200" s="1">
        <v>1200</v>
      </c>
    </row>
    <row r="1201" spans="10:10" x14ac:dyDescent="0.25">
      <c r="J1201" s="1">
        <v>1201</v>
      </c>
    </row>
    <row r="1202" spans="10:10" x14ac:dyDescent="0.25">
      <c r="J1202" s="1">
        <v>1202</v>
      </c>
    </row>
    <row r="1203" spans="10:10" x14ac:dyDescent="0.25">
      <c r="J1203" s="1">
        <v>1203</v>
      </c>
    </row>
    <row r="1204" spans="10:10" x14ac:dyDescent="0.25">
      <c r="J1204" s="1">
        <v>1204</v>
      </c>
    </row>
    <row r="1205" spans="10:10" x14ac:dyDescent="0.25">
      <c r="J1205" s="1">
        <v>1205</v>
      </c>
    </row>
    <row r="1206" spans="10:10" x14ac:dyDescent="0.25">
      <c r="J1206" s="1">
        <v>1206</v>
      </c>
    </row>
    <row r="1207" spans="10:10" x14ac:dyDescent="0.25">
      <c r="J1207" s="1">
        <v>1207</v>
      </c>
    </row>
    <row r="1208" spans="10:10" x14ac:dyDescent="0.25">
      <c r="J1208" s="1">
        <v>1208</v>
      </c>
    </row>
    <row r="1209" spans="10:10" x14ac:dyDescent="0.25">
      <c r="J1209" s="1">
        <v>1209</v>
      </c>
    </row>
    <row r="1210" spans="10:10" x14ac:dyDescent="0.25">
      <c r="J1210" s="1">
        <v>1210</v>
      </c>
    </row>
    <row r="1211" spans="10:10" x14ac:dyDescent="0.25">
      <c r="J1211" s="1">
        <v>1211</v>
      </c>
    </row>
    <row r="1212" spans="10:10" x14ac:dyDescent="0.25">
      <c r="J1212" s="1">
        <v>1212</v>
      </c>
    </row>
    <row r="1213" spans="10:10" x14ac:dyDescent="0.25">
      <c r="J1213" s="1">
        <v>1213</v>
      </c>
    </row>
    <row r="1214" spans="10:10" x14ac:dyDescent="0.25">
      <c r="J1214" s="1">
        <v>1214</v>
      </c>
    </row>
    <row r="1215" spans="10:10" x14ac:dyDescent="0.25">
      <c r="J1215" s="1">
        <v>1215</v>
      </c>
    </row>
    <row r="1216" spans="10:10" x14ac:dyDescent="0.25">
      <c r="J1216" s="1">
        <v>1216</v>
      </c>
    </row>
    <row r="1217" spans="10:10" x14ac:dyDescent="0.25">
      <c r="J1217" s="1">
        <v>1217</v>
      </c>
    </row>
    <row r="1218" spans="10:10" x14ac:dyDescent="0.25">
      <c r="J1218" s="1">
        <v>1218</v>
      </c>
    </row>
    <row r="1219" spans="10:10" x14ac:dyDescent="0.25">
      <c r="J1219" s="1">
        <v>1219</v>
      </c>
    </row>
    <row r="1220" spans="10:10" x14ac:dyDescent="0.25">
      <c r="J1220" s="1">
        <v>1220</v>
      </c>
    </row>
    <row r="1221" spans="10:10" x14ac:dyDescent="0.25">
      <c r="J1221" s="1">
        <v>1221</v>
      </c>
    </row>
    <row r="1222" spans="10:10" x14ac:dyDescent="0.25">
      <c r="J1222" s="1">
        <v>1222</v>
      </c>
    </row>
    <row r="1223" spans="10:10" x14ac:dyDescent="0.25">
      <c r="J1223" s="1">
        <v>1223</v>
      </c>
    </row>
    <row r="1224" spans="10:10" x14ac:dyDescent="0.25">
      <c r="J1224" s="1">
        <v>1224</v>
      </c>
    </row>
    <row r="1225" spans="10:10" x14ac:dyDescent="0.25">
      <c r="J1225" s="1">
        <v>1225</v>
      </c>
    </row>
    <row r="1226" spans="10:10" x14ac:dyDescent="0.25">
      <c r="J1226" s="1">
        <v>1226</v>
      </c>
    </row>
    <row r="1227" spans="10:10" x14ac:dyDescent="0.25">
      <c r="J1227" s="1">
        <v>1227</v>
      </c>
    </row>
    <row r="1228" spans="10:10" x14ac:dyDescent="0.25">
      <c r="J1228" s="1">
        <v>1228</v>
      </c>
    </row>
    <row r="1229" spans="10:10" x14ac:dyDescent="0.25">
      <c r="J1229" s="1">
        <v>1229</v>
      </c>
    </row>
    <row r="1230" spans="10:10" x14ac:dyDescent="0.25">
      <c r="J1230" s="1">
        <v>1230</v>
      </c>
    </row>
    <row r="1231" spans="10:10" x14ac:dyDescent="0.25">
      <c r="J1231" s="1">
        <v>1231</v>
      </c>
    </row>
    <row r="1232" spans="10:10" x14ac:dyDescent="0.25">
      <c r="J1232" s="1">
        <v>1232</v>
      </c>
    </row>
    <row r="1233" spans="10:10" x14ac:dyDescent="0.25">
      <c r="J1233" s="1">
        <v>1233</v>
      </c>
    </row>
    <row r="1234" spans="10:10" x14ac:dyDescent="0.25">
      <c r="J1234" s="1">
        <v>1234</v>
      </c>
    </row>
    <row r="1235" spans="10:10" x14ac:dyDescent="0.25">
      <c r="J1235" s="1">
        <v>1235</v>
      </c>
    </row>
    <row r="1236" spans="10:10" x14ac:dyDescent="0.25">
      <c r="J1236" s="1">
        <v>1236</v>
      </c>
    </row>
    <row r="1237" spans="10:10" x14ac:dyDescent="0.25">
      <c r="J1237" s="1">
        <v>1237</v>
      </c>
    </row>
    <row r="1238" spans="10:10" x14ac:dyDescent="0.25">
      <c r="J1238" s="1">
        <v>1238</v>
      </c>
    </row>
    <row r="1239" spans="10:10" x14ac:dyDescent="0.25">
      <c r="J1239" s="1">
        <v>1239</v>
      </c>
    </row>
    <row r="1240" spans="10:10" x14ac:dyDescent="0.25">
      <c r="J1240" s="1">
        <v>1240</v>
      </c>
    </row>
    <row r="1241" spans="10:10" x14ac:dyDescent="0.25">
      <c r="J1241" s="1">
        <v>1241</v>
      </c>
    </row>
    <row r="1242" spans="10:10" x14ac:dyDescent="0.25">
      <c r="J1242" s="1">
        <v>1242</v>
      </c>
    </row>
    <row r="1243" spans="10:10" x14ac:dyDescent="0.25">
      <c r="J1243" s="1">
        <v>1243</v>
      </c>
    </row>
    <row r="1244" spans="10:10" x14ac:dyDescent="0.25">
      <c r="J1244" s="1">
        <v>1244</v>
      </c>
    </row>
    <row r="1245" spans="10:10" x14ac:dyDescent="0.25">
      <c r="J1245" s="1">
        <v>1245</v>
      </c>
    </row>
    <row r="1246" spans="10:10" x14ac:dyDescent="0.25">
      <c r="J1246" s="1">
        <v>1246</v>
      </c>
    </row>
    <row r="1247" spans="10:10" x14ac:dyDescent="0.25">
      <c r="J1247" s="1">
        <v>1247</v>
      </c>
    </row>
    <row r="1248" spans="10:10" x14ac:dyDescent="0.25">
      <c r="J1248" s="1">
        <v>1248</v>
      </c>
    </row>
    <row r="1249" spans="10:10" x14ac:dyDescent="0.25">
      <c r="J1249" s="1">
        <v>1249</v>
      </c>
    </row>
    <row r="1250" spans="10:10" x14ac:dyDescent="0.25">
      <c r="J1250" s="1">
        <v>1250</v>
      </c>
    </row>
    <row r="1251" spans="10:10" x14ac:dyDescent="0.25">
      <c r="J1251" s="1">
        <v>1251</v>
      </c>
    </row>
    <row r="1252" spans="10:10" x14ac:dyDescent="0.25">
      <c r="J1252" s="1">
        <v>1252</v>
      </c>
    </row>
    <row r="1253" spans="10:10" x14ac:dyDescent="0.25">
      <c r="J1253" s="1">
        <v>1253</v>
      </c>
    </row>
    <row r="1254" spans="10:10" x14ac:dyDescent="0.25">
      <c r="J1254" s="1">
        <v>1254</v>
      </c>
    </row>
    <row r="1255" spans="10:10" x14ac:dyDescent="0.25">
      <c r="J1255" s="1">
        <v>1255</v>
      </c>
    </row>
    <row r="1256" spans="10:10" x14ac:dyDescent="0.25">
      <c r="J1256" s="1">
        <v>1256</v>
      </c>
    </row>
    <row r="1257" spans="10:10" x14ac:dyDescent="0.25">
      <c r="J1257" s="1">
        <v>1257</v>
      </c>
    </row>
    <row r="1258" spans="10:10" x14ac:dyDescent="0.25">
      <c r="J1258" s="1">
        <v>1258</v>
      </c>
    </row>
    <row r="1259" spans="10:10" x14ac:dyDescent="0.25">
      <c r="J1259" s="1">
        <v>1259</v>
      </c>
    </row>
    <row r="1260" spans="10:10" x14ac:dyDescent="0.25">
      <c r="J1260" s="1">
        <v>1260</v>
      </c>
    </row>
    <row r="1261" spans="10:10" x14ac:dyDescent="0.25">
      <c r="J1261" s="1">
        <v>1261</v>
      </c>
    </row>
    <row r="1262" spans="10:10" x14ac:dyDescent="0.25">
      <c r="J1262" s="1">
        <v>1262</v>
      </c>
    </row>
    <row r="1263" spans="10:10" x14ac:dyDescent="0.25">
      <c r="J1263" s="1">
        <v>1263</v>
      </c>
    </row>
    <row r="1264" spans="10:10" x14ac:dyDescent="0.25">
      <c r="J1264" s="1">
        <v>1264</v>
      </c>
    </row>
    <row r="1265" spans="10:10" x14ac:dyDescent="0.25">
      <c r="J1265" s="1">
        <v>1265</v>
      </c>
    </row>
    <row r="1266" spans="10:10" x14ac:dyDescent="0.25">
      <c r="J1266" s="1">
        <v>1266</v>
      </c>
    </row>
    <row r="1267" spans="10:10" x14ac:dyDescent="0.25">
      <c r="J1267" s="1">
        <v>1267</v>
      </c>
    </row>
    <row r="1268" spans="10:10" x14ac:dyDescent="0.25">
      <c r="J1268" s="1">
        <v>1268</v>
      </c>
    </row>
    <row r="1269" spans="10:10" x14ac:dyDescent="0.25">
      <c r="J1269" s="1">
        <v>1269</v>
      </c>
    </row>
    <row r="1270" spans="10:10" x14ac:dyDescent="0.25">
      <c r="J1270" s="1">
        <v>1270</v>
      </c>
    </row>
    <row r="1271" spans="10:10" x14ac:dyDescent="0.25">
      <c r="J1271" s="1">
        <v>1271</v>
      </c>
    </row>
    <row r="1272" spans="10:10" x14ac:dyDescent="0.25">
      <c r="J1272" s="1">
        <v>1272</v>
      </c>
    </row>
    <row r="1273" spans="10:10" x14ac:dyDescent="0.25">
      <c r="J1273" s="1">
        <v>1273</v>
      </c>
    </row>
    <row r="1274" spans="10:10" x14ac:dyDescent="0.25">
      <c r="J1274" s="1">
        <v>1274</v>
      </c>
    </row>
    <row r="1275" spans="10:10" x14ac:dyDescent="0.25">
      <c r="J1275" s="1">
        <v>1275</v>
      </c>
    </row>
    <row r="1276" spans="10:10" x14ac:dyDescent="0.25">
      <c r="J1276" s="1">
        <v>1276</v>
      </c>
    </row>
    <row r="1277" spans="10:10" x14ac:dyDescent="0.25">
      <c r="J1277" s="1">
        <v>1277</v>
      </c>
    </row>
    <row r="1278" spans="10:10" x14ac:dyDescent="0.25">
      <c r="J1278" s="1">
        <v>1278</v>
      </c>
    </row>
    <row r="1279" spans="10:10" x14ac:dyDescent="0.25">
      <c r="J1279" s="1">
        <v>1279</v>
      </c>
    </row>
    <row r="1280" spans="10:10" x14ac:dyDescent="0.25">
      <c r="J1280" s="1">
        <v>1280</v>
      </c>
    </row>
    <row r="1281" spans="10:10" x14ac:dyDescent="0.25">
      <c r="J1281" s="1">
        <v>1281</v>
      </c>
    </row>
    <row r="1282" spans="10:10" x14ac:dyDescent="0.25">
      <c r="J1282" s="1">
        <v>1282</v>
      </c>
    </row>
    <row r="1283" spans="10:10" x14ac:dyDescent="0.25">
      <c r="J1283" s="1">
        <v>1283</v>
      </c>
    </row>
    <row r="1284" spans="10:10" x14ac:dyDescent="0.25">
      <c r="J1284" s="1">
        <v>1284</v>
      </c>
    </row>
    <row r="1285" spans="10:10" x14ac:dyDescent="0.25">
      <c r="J1285" s="1">
        <v>1285</v>
      </c>
    </row>
    <row r="1286" spans="10:10" x14ac:dyDescent="0.25">
      <c r="J1286" s="1">
        <v>1286</v>
      </c>
    </row>
    <row r="1287" spans="10:10" x14ac:dyDescent="0.25">
      <c r="J1287" s="1">
        <v>1287</v>
      </c>
    </row>
    <row r="1288" spans="10:10" x14ac:dyDescent="0.25">
      <c r="J1288" s="1">
        <v>1288</v>
      </c>
    </row>
    <row r="1289" spans="10:10" x14ac:dyDescent="0.25">
      <c r="J1289" s="1">
        <v>1289</v>
      </c>
    </row>
    <row r="1290" spans="10:10" x14ac:dyDescent="0.25">
      <c r="J1290" s="1">
        <v>1290</v>
      </c>
    </row>
    <row r="1291" spans="10:10" x14ac:dyDescent="0.25">
      <c r="J1291" s="1">
        <v>1291</v>
      </c>
    </row>
    <row r="1292" spans="10:10" x14ac:dyDescent="0.25">
      <c r="J1292" s="1">
        <v>1292</v>
      </c>
    </row>
    <row r="1293" spans="10:10" x14ac:dyDescent="0.25">
      <c r="J1293" s="1">
        <v>1293</v>
      </c>
    </row>
    <row r="1294" spans="10:10" x14ac:dyDescent="0.25">
      <c r="J1294" s="1">
        <v>1294</v>
      </c>
    </row>
    <row r="1295" spans="10:10" x14ac:dyDescent="0.25">
      <c r="J1295" s="1">
        <v>1295</v>
      </c>
    </row>
    <row r="1296" spans="10:10" x14ac:dyDescent="0.25">
      <c r="J1296" s="1">
        <v>1296</v>
      </c>
    </row>
    <row r="1297" spans="10:10" x14ac:dyDescent="0.25">
      <c r="J1297" s="1">
        <v>1297</v>
      </c>
    </row>
    <row r="1298" spans="10:10" x14ac:dyDescent="0.25">
      <c r="J1298" s="1">
        <v>1298</v>
      </c>
    </row>
    <row r="1299" spans="10:10" x14ac:dyDescent="0.25">
      <c r="J1299" s="1">
        <v>1299</v>
      </c>
    </row>
    <row r="1300" spans="10:10" x14ac:dyDescent="0.25">
      <c r="J1300" s="1">
        <v>1300</v>
      </c>
    </row>
    <row r="1301" spans="10:10" x14ac:dyDescent="0.25">
      <c r="J1301" s="1">
        <v>1301</v>
      </c>
    </row>
    <row r="1302" spans="10:10" x14ac:dyDescent="0.25">
      <c r="J1302" s="1">
        <v>1302</v>
      </c>
    </row>
    <row r="1303" spans="10:10" x14ac:dyDescent="0.25">
      <c r="J1303" s="1">
        <v>1303</v>
      </c>
    </row>
    <row r="1304" spans="10:10" x14ac:dyDescent="0.25">
      <c r="J1304" s="1">
        <v>1304</v>
      </c>
    </row>
    <row r="1305" spans="10:10" x14ac:dyDescent="0.25">
      <c r="J1305" s="1">
        <v>1305</v>
      </c>
    </row>
    <row r="1306" spans="10:10" x14ac:dyDescent="0.25">
      <c r="J1306" s="1">
        <v>1306</v>
      </c>
    </row>
    <row r="1307" spans="10:10" x14ac:dyDescent="0.25">
      <c r="J1307" s="1">
        <v>1307</v>
      </c>
    </row>
    <row r="1308" spans="10:10" x14ac:dyDescent="0.25">
      <c r="J1308" s="1">
        <v>1308</v>
      </c>
    </row>
    <row r="1309" spans="10:10" x14ac:dyDescent="0.25">
      <c r="J1309" s="1">
        <v>1309</v>
      </c>
    </row>
    <row r="1310" spans="10:10" x14ac:dyDescent="0.25">
      <c r="J1310" s="1">
        <v>1310</v>
      </c>
    </row>
    <row r="1311" spans="10:10" x14ac:dyDescent="0.25">
      <c r="J1311" s="1">
        <v>1311</v>
      </c>
    </row>
    <row r="1312" spans="10:10" x14ac:dyDescent="0.25">
      <c r="J1312" s="1">
        <v>1312</v>
      </c>
    </row>
    <row r="1313" spans="10:10" x14ac:dyDescent="0.25">
      <c r="J1313" s="1">
        <v>1313</v>
      </c>
    </row>
    <row r="1314" spans="10:10" x14ac:dyDescent="0.25">
      <c r="J1314" s="1">
        <v>1314</v>
      </c>
    </row>
    <row r="1315" spans="10:10" x14ac:dyDescent="0.25">
      <c r="J1315" s="1">
        <v>1315</v>
      </c>
    </row>
    <row r="1316" spans="10:10" x14ac:dyDescent="0.25">
      <c r="J1316" s="1">
        <v>1316</v>
      </c>
    </row>
    <row r="1317" spans="10:10" x14ac:dyDescent="0.25">
      <c r="J1317" s="1">
        <v>1317</v>
      </c>
    </row>
    <row r="1318" spans="10:10" x14ac:dyDescent="0.25">
      <c r="J1318" s="1">
        <v>1318</v>
      </c>
    </row>
    <row r="1319" spans="10:10" x14ac:dyDescent="0.25">
      <c r="J1319" s="1">
        <v>1319</v>
      </c>
    </row>
    <row r="1320" spans="10:10" x14ac:dyDescent="0.25">
      <c r="J1320" s="1">
        <v>1320</v>
      </c>
    </row>
    <row r="1321" spans="10:10" x14ac:dyDescent="0.25">
      <c r="J1321" s="1">
        <v>1321</v>
      </c>
    </row>
    <row r="1322" spans="10:10" x14ac:dyDescent="0.25">
      <c r="J1322" s="1">
        <v>1322</v>
      </c>
    </row>
    <row r="1323" spans="10:10" x14ac:dyDescent="0.25">
      <c r="J1323" s="1">
        <v>1323</v>
      </c>
    </row>
    <row r="1324" spans="10:10" x14ac:dyDescent="0.25">
      <c r="J1324" s="1">
        <v>1324</v>
      </c>
    </row>
    <row r="1325" spans="10:10" x14ac:dyDescent="0.25">
      <c r="J1325" s="1">
        <v>1325</v>
      </c>
    </row>
    <row r="1326" spans="10:10" x14ac:dyDescent="0.25">
      <c r="J1326" s="1">
        <v>1326</v>
      </c>
    </row>
    <row r="1327" spans="10:10" x14ac:dyDescent="0.25">
      <c r="J1327" s="1">
        <v>1327</v>
      </c>
    </row>
    <row r="1328" spans="10:10" x14ac:dyDescent="0.25">
      <c r="J1328" s="1">
        <v>1328</v>
      </c>
    </row>
    <row r="1329" spans="10:10" x14ac:dyDescent="0.25">
      <c r="J1329" s="1">
        <v>1329</v>
      </c>
    </row>
    <row r="1330" spans="10:10" x14ac:dyDescent="0.25">
      <c r="J1330" s="1">
        <v>1330</v>
      </c>
    </row>
    <row r="1331" spans="10:10" x14ac:dyDescent="0.25">
      <c r="J1331" s="1">
        <v>1331</v>
      </c>
    </row>
    <row r="1332" spans="10:10" x14ac:dyDescent="0.25">
      <c r="J1332" s="1">
        <v>1332</v>
      </c>
    </row>
    <row r="1333" spans="10:10" x14ac:dyDescent="0.25">
      <c r="J1333" s="1">
        <v>1333</v>
      </c>
    </row>
    <row r="1334" spans="10:10" x14ac:dyDescent="0.25">
      <c r="J1334" s="1">
        <v>1334</v>
      </c>
    </row>
    <row r="1335" spans="10:10" x14ac:dyDescent="0.25">
      <c r="J1335" s="1">
        <v>1335</v>
      </c>
    </row>
    <row r="1336" spans="10:10" x14ac:dyDescent="0.25">
      <c r="J1336" s="1">
        <v>1336</v>
      </c>
    </row>
    <row r="1337" spans="10:10" x14ac:dyDescent="0.25">
      <c r="J1337" s="1">
        <v>1337</v>
      </c>
    </row>
    <row r="1338" spans="10:10" x14ac:dyDescent="0.25">
      <c r="J1338" s="1">
        <v>1338</v>
      </c>
    </row>
    <row r="1339" spans="10:10" x14ac:dyDescent="0.25">
      <c r="J1339" s="1">
        <v>1339</v>
      </c>
    </row>
    <row r="1340" spans="10:10" x14ac:dyDescent="0.25">
      <c r="J1340" s="1">
        <v>1340</v>
      </c>
    </row>
    <row r="1341" spans="10:10" x14ac:dyDescent="0.25">
      <c r="J1341" s="1">
        <v>1341</v>
      </c>
    </row>
    <row r="1342" spans="10:10" x14ac:dyDescent="0.25">
      <c r="J1342" s="1">
        <v>1342</v>
      </c>
    </row>
    <row r="1343" spans="10:10" x14ac:dyDescent="0.25">
      <c r="J1343" s="1">
        <v>1343</v>
      </c>
    </row>
    <row r="1344" spans="10:10" x14ac:dyDescent="0.25">
      <c r="J1344" s="1">
        <v>1344</v>
      </c>
    </row>
    <row r="1345" spans="10:10" x14ac:dyDescent="0.25">
      <c r="J1345" s="1">
        <v>1345</v>
      </c>
    </row>
    <row r="1346" spans="10:10" x14ac:dyDescent="0.25">
      <c r="J1346" s="1">
        <v>1346</v>
      </c>
    </row>
    <row r="1347" spans="10:10" x14ac:dyDescent="0.25">
      <c r="J1347" s="1">
        <v>1347</v>
      </c>
    </row>
    <row r="1348" spans="10:10" x14ac:dyDescent="0.25">
      <c r="J1348" s="1">
        <v>1348</v>
      </c>
    </row>
    <row r="1349" spans="10:10" x14ac:dyDescent="0.25">
      <c r="J1349" s="1">
        <v>1349</v>
      </c>
    </row>
    <row r="1350" spans="10:10" x14ac:dyDescent="0.25">
      <c r="J1350" s="1">
        <v>1350</v>
      </c>
    </row>
    <row r="1351" spans="10:10" x14ac:dyDescent="0.25">
      <c r="J1351" s="1">
        <v>1351</v>
      </c>
    </row>
    <row r="1352" spans="10:10" x14ac:dyDescent="0.25">
      <c r="J1352" s="1">
        <v>1352</v>
      </c>
    </row>
    <row r="1353" spans="10:10" x14ac:dyDescent="0.25">
      <c r="J1353" s="1">
        <v>1353</v>
      </c>
    </row>
    <row r="1354" spans="10:10" x14ac:dyDescent="0.25">
      <c r="J1354" s="1">
        <v>1354</v>
      </c>
    </row>
    <row r="1355" spans="10:10" x14ac:dyDescent="0.25">
      <c r="J1355" s="1">
        <v>1355</v>
      </c>
    </row>
    <row r="1356" spans="10:10" x14ac:dyDescent="0.25">
      <c r="J1356" s="1">
        <v>1356</v>
      </c>
    </row>
    <row r="1357" spans="10:10" x14ac:dyDescent="0.25">
      <c r="J1357" s="1">
        <v>1357</v>
      </c>
    </row>
    <row r="1358" spans="10:10" x14ac:dyDescent="0.25">
      <c r="J1358" s="1">
        <v>1358</v>
      </c>
    </row>
    <row r="1359" spans="10:10" x14ac:dyDescent="0.25">
      <c r="J1359" s="1">
        <v>1359</v>
      </c>
    </row>
    <row r="1360" spans="10:10" x14ac:dyDescent="0.25">
      <c r="J1360" s="1">
        <v>1360</v>
      </c>
    </row>
    <row r="1361" spans="10:10" x14ac:dyDescent="0.25">
      <c r="J1361" s="1">
        <v>1361</v>
      </c>
    </row>
    <row r="1362" spans="10:10" x14ac:dyDescent="0.25">
      <c r="J1362" s="1">
        <v>1362</v>
      </c>
    </row>
    <row r="1363" spans="10:10" x14ac:dyDescent="0.25">
      <c r="J1363" s="1">
        <v>1363</v>
      </c>
    </row>
    <row r="1364" spans="10:10" x14ac:dyDescent="0.25">
      <c r="J1364" s="1">
        <v>1364</v>
      </c>
    </row>
    <row r="1365" spans="10:10" x14ac:dyDescent="0.25">
      <c r="J1365" s="1">
        <v>1365</v>
      </c>
    </row>
    <row r="1366" spans="10:10" x14ac:dyDescent="0.25">
      <c r="J1366" s="1">
        <v>1366</v>
      </c>
    </row>
    <row r="1367" spans="10:10" x14ac:dyDescent="0.25">
      <c r="J1367" s="1">
        <v>1367</v>
      </c>
    </row>
    <row r="1368" spans="10:10" x14ac:dyDescent="0.25">
      <c r="J1368" s="1">
        <v>1368</v>
      </c>
    </row>
    <row r="1369" spans="10:10" x14ac:dyDescent="0.25">
      <c r="J1369" s="1">
        <v>1369</v>
      </c>
    </row>
    <row r="1370" spans="10:10" x14ac:dyDescent="0.25">
      <c r="J1370" s="1">
        <v>1370</v>
      </c>
    </row>
    <row r="1371" spans="10:10" x14ac:dyDescent="0.25">
      <c r="J1371" s="1">
        <v>1371</v>
      </c>
    </row>
    <row r="1372" spans="10:10" x14ac:dyDescent="0.25">
      <c r="J1372" s="1">
        <v>1372</v>
      </c>
    </row>
    <row r="1373" spans="10:10" x14ac:dyDescent="0.25">
      <c r="J1373" s="1">
        <v>1373</v>
      </c>
    </row>
    <row r="1374" spans="10:10" x14ac:dyDescent="0.25">
      <c r="J1374" s="1">
        <v>1374</v>
      </c>
    </row>
    <row r="1375" spans="10:10" x14ac:dyDescent="0.25">
      <c r="J1375" s="1">
        <v>1375</v>
      </c>
    </row>
    <row r="1376" spans="10:10" x14ac:dyDescent="0.25">
      <c r="J1376" s="1">
        <v>1376</v>
      </c>
    </row>
    <row r="1377" spans="10:10" x14ac:dyDescent="0.25">
      <c r="J1377" s="1">
        <v>1377</v>
      </c>
    </row>
    <row r="1378" spans="10:10" x14ac:dyDescent="0.25">
      <c r="J1378" s="1">
        <v>1378</v>
      </c>
    </row>
    <row r="1379" spans="10:10" x14ac:dyDescent="0.25">
      <c r="J1379" s="1">
        <v>1379</v>
      </c>
    </row>
    <row r="1380" spans="10:10" x14ac:dyDescent="0.25">
      <c r="J1380" s="1">
        <v>1380</v>
      </c>
    </row>
    <row r="1381" spans="10:10" x14ac:dyDescent="0.25">
      <c r="J1381" s="1">
        <v>1381</v>
      </c>
    </row>
    <row r="1382" spans="10:10" x14ac:dyDescent="0.25">
      <c r="J1382" s="1">
        <v>1382</v>
      </c>
    </row>
    <row r="1383" spans="10:10" x14ac:dyDescent="0.25">
      <c r="J1383" s="1">
        <v>1383</v>
      </c>
    </row>
    <row r="1384" spans="10:10" x14ac:dyDescent="0.25">
      <c r="J1384" s="1">
        <v>1384</v>
      </c>
    </row>
    <row r="1385" spans="10:10" x14ac:dyDescent="0.25">
      <c r="J1385" s="1">
        <v>1385</v>
      </c>
    </row>
    <row r="1386" spans="10:10" x14ac:dyDescent="0.25">
      <c r="J1386" s="1">
        <v>1386</v>
      </c>
    </row>
    <row r="1387" spans="10:10" x14ac:dyDescent="0.25">
      <c r="J1387" s="1">
        <v>1387</v>
      </c>
    </row>
    <row r="1388" spans="10:10" x14ac:dyDescent="0.25">
      <c r="J1388" s="1">
        <v>1388</v>
      </c>
    </row>
    <row r="1389" spans="10:10" x14ac:dyDescent="0.25">
      <c r="J1389" s="1">
        <v>1389</v>
      </c>
    </row>
    <row r="1390" spans="10:10" x14ac:dyDescent="0.25">
      <c r="J1390" s="1">
        <v>1390</v>
      </c>
    </row>
    <row r="1391" spans="10:10" x14ac:dyDescent="0.25">
      <c r="J1391" s="1">
        <v>1391</v>
      </c>
    </row>
    <row r="1392" spans="10:10" x14ac:dyDescent="0.25">
      <c r="J1392" s="1">
        <v>1392</v>
      </c>
    </row>
    <row r="1393" spans="10:10" x14ac:dyDescent="0.25">
      <c r="J1393" s="1">
        <v>1393</v>
      </c>
    </row>
    <row r="1394" spans="10:10" x14ac:dyDescent="0.25">
      <c r="J1394" s="1">
        <v>1394</v>
      </c>
    </row>
    <row r="1395" spans="10:10" x14ac:dyDescent="0.25">
      <c r="J1395" s="1">
        <v>1395</v>
      </c>
    </row>
    <row r="1396" spans="10:10" x14ac:dyDescent="0.25">
      <c r="J1396" s="1">
        <v>1396</v>
      </c>
    </row>
    <row r="1397" spans="10:10" x14ac:dyDescent="0.25">
      <c r="J1397" s="1">
        <v>1397</v>
      </c>
    </row>
    <row r="1398" spans="10:10" x14ac:dyDescent="0.25">
      <c r="J1398" s="1">
        <v>1398</v>
      </c>
    </row>
    <row r="1399" spans="10:10" x14ac:dyDescent="0.25">
      <c r="J1399" s="1">
        <v>1399</v>
      </c>
    </row>
    <row r="1400" spans="10:10" x14ac:dyDescent="0.25">
      <c r="J1400" s="1">
        <v>1400</v>
      </c>
    </row>
    <row r="1401" spans="10:10" x14ac:dyDescent="0.25">
      <c r="J1401" s="1">
        <v>1401</v>
      </c>
    </row>
    <row r="1402" spans="10:10" x14ac:dyDescent="0.25">
      <c r="J1402" s="1">
        <v>1402</v>
      </c>
    </row>
    <row r="1403" spans="10:10" x14ac:dyDescent="0.25">
      <c r="J1403" s="1">
        <v>1403</v>
      </c>
    </row>
    <row r="1404" spans="10:10" x14ac:dyDescent="0.25">
      <c r="J1404" s="1">
        <v>1404</v>
      </c>
    </row>
    <row r="1405" spans="10:10" x14ac:dyDescent="0.25">
      <c r="J1405" s="1">
        <v>1405</v>
      </c>
    </row>
    <row r="1406" spans="10:10" x14ac:dyDescent="0.25">
      <c r="J1406" s="1">
        <v>1406</v>
      </c>
    </row>
    <row r="1407" spans="10:10" x14ac:dyDescent="0.25">
      <c r="J1407" s="1">
        <v>1407</v>
      </c>
    </row>
    <row r="1408" spans="10:10" x14ac:dyDescent="0.25">
      <c r="J1408" s="1">
        <v>1408</v>
      </c>
    </row>
    <row r="1409" spans="10:10" x14ac:dyDescent="0.25">
      <c r="J1409" s="1">
        <v>1409</v>
      </c>
    </row>
    <row r="1410" spans="10:10" x14ac:dyDescent="0.25">
      <c r="J1410" s="1">
        <v>1410</v>
      </c>
    </row>
    <row r="1411" spans="10:10" x14ac:dyDescent="0.25">
      <c r="J1411" s="1">
        <v>1411</v>
      </c>
    </row>
    <row r="1412" spans="10:10" x14ac:dyDescent="0.25">
      <c r="J1412" s="1">
        <v>1412</v>
      </c>
    </row>
    <row r="1413" spans="10:10" x14ac:dyDescent="0.25">
      <c r="J1413" s="1">
        <v>1413</v>
      </c>
    </row>
    <row r="1414" spans="10:10" x14ac:dyDescent="0.25">
      <c r="J1414" s="1">
        <v>1414</v>
      </c>
    </row>
    <row r="1415" spans="10:10" x14ac:dyDescent="0.25">
      <c r="J1415" s="1">
        <v>1415</v>
      </c>
    </row>
    <row r="1416" spans="10:10" x14ac:dyDescent="0.25">
      <c r="J1416" s="1">
        <v>1416</v>
      </c>
    </row>
    <row r="1417" spans="10:10" x14ac:dyDescent="0.25">
      <c r="J1417" s="1">
        <v>1417</v>
      </c>
    </row>
    <row r="1418" spans="10:10" x14ac:dyDescent="0.25">
      <c r="J1418" s="1">
        <v>1418</v>
      </c>
    </row>
    <row r="1419" spans="10:10" x14ac:dyDescent="0.25">
      <c r="J1419" s="1">
        <v>1419</v>
      </c>
    </row>
    <row r="1420" spans="10:10" x14ac:dyDescent="0.25">
      <c r="J1420" s="1">
        <v>1420</v>
      </c>
    </row>
    <row r="1421" spans="10:10" x14ac:dyDescent="0.25">
      <c r="J1421" s="1">
        <v>1421</v>
      </c>
    </row>
    <row r="1422" spans="10:10" x14ac:dyDescent="0.25">
      <c r="J1422" s="1">
        <v>1422</v>
      </c>
    </row>
    <row r="1423" spans="10:10" x14ac:dyDescent="0.25">
      <c r="J1423" s="1">
        <v>1423</v>
      </c>
    </row>
    <row r="1424" spans="10:10" x14ac:dyDescent="0.25">
      <c r="J1424" s="1">
        <v>1424</v>
      </c>
    </row>
    <row r="1425" spans="10:10" x14ac:dyDescent="0.25">
      <c r="J1425" s="1">
        <v>1425</v>
      </c>
    </row>
    <row r="1426" spans="10:10" x14ac:dyDescent="0.25">
      <c r="J1426" s="1">
        <v>1426</v>
      </c>
    </row>
    <row r="1427" spans="10:10" x14ac:dyDescent="0.25">
      <c r="J1427" s="1">
        <v>1427</v>
      </c>
    </row>
    <row r="1428" spans="10:10" x14ac:dyDescent="0.25">
      <c r="J1428" s="1">
        <v>1428</v>
      </c>
    </row>
    <row r="1429" spans="10:10" x14ac:dyDescent="0.25">
      <c r="J1429" s="1">
        <v>1429</v>
      </c>
    </row>
    <row r="1430" spans="10:10" x14ac:dyDescent="0.25">
      <c r="J1430" s="1">
        <v>1430</v>
      </c>
    </row>
    <row r="1431" spans="10:10" x14ac:dyDescent="0.25">
      <c r="J1431" s="1">
        <v>1431</v>
      </c>
    </row>
    <row r="1432" spans="10:10" x14ac:dyDescent="0.25">
      <c r="J1432" s="1">
        <v>1432</v>
      </c>
    </row>
    <row r="1433" spans="10:10" x14ac:dyDescent="0.25">
      <c r="J1433" s="1">
        <v>1433</v>
      </c>
    </row>
    <row r="1434" spans="10:10" x14ac:dyDescent="0.25">
      <c r="J1434" s="1">
        <v>1434</v>
      </c>
    </row>
    <row r="1435" spans="10:10" x14ac:dyDescent="0.25">
      <c r="J1435" s="1">
        <v>1435</v>
      </c>
    </row>
    <row r="1436" spans="10:10" x14ac:dyDescent="0.25">
      <c r="J1436" s="1">
        <v>1436</v>
      </c>
    </row>
    <row r="1437" spans="10:10" x14ac:dyDescent="0.25">
      <c r="J1437" s="1">
        <v>1437</v>
      </c>
    </row>
    <row r="1438" spans="10:10" x14ac:dyDescent="0.25">
      <c r="J1438" s="1">
        <v>1438</v>
      </c>
    </row>
    <row r="1439" spans="10:10" x14ac:dyDescent="0.25">
      <c r="J1439" s="1">
        <v>1439</v>
      </c>
    </row>
    <row r="1440" spans="10:10" x14ac:dyDescent="0.25">
      <c r="J1440" s="1">
        <v>1440</v>
      </c>
    </row>
    <row r="1441" spans="10:10" x14ac:dyDescent="0.25">
      <c r="J1441" s="1">
        <v>1441</v>
      </c>
    </row>
    <row r="1442" spans="10:10" x14ac:dyDescent="0.25">
      <c r="J1442" s="1">
        <v>1442</v>
      </c>
    </row>
    <row r="1443" spans="10:10" x14ac:dyDescent="0.25">
      <c r="J1443" s="1">
        <v>1443</v>
      </c>
    </row>
    <row r="1444" spans="10:10" x14ac:dyDescent="0.25">
      <c r="J1444" s="1">
        <v>1444</v>
      </c>
    </row>
    <row r="1445" spans="10:10" x14ac:dyDescent="0.25">
      <c r="J1445" s="1">
        <v>1445</v>
      </c>
    </row>
    <row r="1446" spans="10:10" x14ac:dyDescent="0.25">
      <c r="J1446" s="1">
        <v>1446</v>
      </c>
    </row>
    <row r="1447" spans="10:10" x14ac:dyDescent="0.25">
      <c r="J1447" s="1">
        <v>1447</v>
      </c>
    </row>
    <row r="1448" spans="10:10" x14ac:dyDescent="0.25">
      <c r="J1448" s="1">
        <v>1448</v>
      </c>
    </row>
    <row r="1449" spans="10:10" x14ac:dyDescent="0.25">
      <c r="J1449" s="1">
        <v>1449</v>
      </c>
    </row>
    <row r="1450" spans="10:10" x14ac:dyDescent="0.25">
      <c r="J1450" s="1">
        <v>1450</v>
      </c>
    </row>
    <row r="1451" spans="10:10" x14ac:dyDescent="0.25">
      <c r="J1451" s="1">
        <v>1451</v>
      </c>
    </row>
    <row r="1452" spans="10:10" x14ac:dyDescent="0.25">
      <c r="J1452" s="1">
        <v>1452</v>
      </c>
    </row>
    <row r="1453" spans="10:10" x14ac:dyDescent="0.25">
      <c r="J1453" s="1">
        <v>1453</v>
      </c>
    </row>
    <row r="1454" spans="10:10" x14ac:dyDescent="0.25">
      <c r="J1454" s="1">
        <v>1454</v>
      </c>
    </row>
    <row r="1455" spans="10:10" x14ac:dyDescent="0.25">
      <c r="J1455" s="1">
        <v>1455</v>
      </c>
    </row>
    <row r="1456" spans="10:10" x14ac:dyDescent="0.25">
      <c r="J1456" s="1">
        <v>1456</v>
      </c>
    </row>
    <row r="1457" spans="10:10" x14ac:dyDescent="0.25">
      <c r="J1457" s="1">
        <v>1457</v>
      </c>
    </row>
    <row r="1458" spans="10:10" x14ac:dyDescent="0.25">
      <c r="J1458" s="1">
        <v>1458</v>
      </c>
    </row>
    <row r="1459" spans="10:10" x14ac:dyDescent="0.25">
      <c r="J1459" s="1">
        <v>1459</v>
      </c>
    </row>
    <row r="1460" spans="10:10" x14ac:dyDescent="0.25">
      <c r="J1460" s="1">
        <v>1460</v>
      </c>
    </row>
    <row r="1461" spans="10:10" x14ac:dyDescent="0.25">
      <c r="J1461" s="1">
        <v>1461</v>
      </c>
    </row>
    <row r="1462" spans="10:10" x14ac:dyDescent="0.25">
      <c r="J1462" s="1">
        <v>1462</v>
      </c>
    </row>
    <row r="1463" spans="10:10" x14ac:dyDescent="0.25">
      <c r="J1463" s="1">
        <v>1463</v>
      </c>
    </row>
    <row r="1464" spans="10:10" x14ac:dyDescent="0.25">
      <c r="J1464" s="1">
        <v>1464</v>
      </c>
    </row>
    <row r="1465" spans="10:10" x14ac:dyDescent="0.25">
      <c r="J1465" s="1">
        <v>1465</v>
      </c>
    </row>
    <row r="1466" spans="10:10" x14ac:dyDescent="0.25">
      <c r="J1466" s="1">
        <v>1466</v>
      </c>
    </row>
    <row r="1467" spans="10:10" x14ac:dyDescent="0.25">
      <c r="J1467" s="1">
        <v>1467</v>
      </c>
    </row>
    <row r="1468" spans="10:10" x14ac:dyDescent="0.25">
      <c r="J1468" s="1">
        <v>1468</v>
      </c>
    </row>
    <row r="1469" spans="10:10" x14ac:dyDescent="0.25">
      <c r="J1469" s="1">
        <v>1469</v>
      </c>
    </row>
    <row r="1470" spans="10:10" x14ac:dyDescent="0.25">
      <c r="J1470" s="1">
        <v>1470</v>
      </c>
    </row>
    <row r="1471" spans="10:10" x14ac:dyDescent="0.25">
      <c r="J1471" s="1">
        <v>1471</v>
      </c>
    </row>
    <row r="1472" spans="10:10" x14ac:dyDescent="0.25">
      <c r="J1472" s="1">
        <v>1472</v>
      </c>
    </row>
    <row r="1473" spans="10:10" x14ac:dyDescent="0.25">
      <c r="J1473" s="1">
        <v>1473</v>
      </c>
    </row>
    <row r="1474" spans="10:10" x14ac:dyDescent="0.25">
      <c r="J1474" s="1">
        <v>1474</v>
      </c>
    </row>
    <row r="1475" spans="10:10" x14ac:dyDescent="0.25">
      <c r="J1475" s="1">
        <v>1475</v>
      </c>
    </row>
    <row r="1476" spans="10:10" x14ac:dyDescent="0.25">
      <c r="J1476" s="1">
        <v>1476</v>
      </c>
    </row>
    <row r="1477" spans="10:10" x14ac:dyDescent="0.25">
      <c r="J1477" s="1">
        <v>1477</v>
      </c>
    </row>
    <row r="1478" spans="10:10" x14ac:dyDescent="0.25">
      <c r="J1478" s="1">
        <v>1478</v>
      </c>
    </row>
    <row r="1479" spans="10:10" x14ac:dyDescent="0.25">
      <c r="J1479" s="1">
        <v>1479</v>
      </c>
    </row>
    <row r="1480" spans="10:10" x14ac:dyDescent="0.25">
      <c r="J1480" s="1">
        <v>1480</v>
      </c>
    </row>
    <row r="1481" spans="10:10" x14ac:dyDescent="0.25">
      <c r="J1481" s="1">
        <v>1481</v>
      </c>
    </row>
    <row r="1482" spans="10:10" x14ac:dyDescent="0.25">
      <c r="J1482" s="1">
        <v>1482</v>
      </c>
    </row>
    <row r="1483" spans="10:10" x14ac:dyDescent="0.25">
      <c r="J1483" s="1">
        <v>1483</v>
      </c>
    </row>
    <row r="1484" spans="10:10" x14ac:dyDescent="0.25">
      <c r="J1484" s="1">
        <v>1484</v>
      </c>
    </row>
    <row r="1485" spans="10:10" x14ac:dyDescent="0.25">
      <c r="J1485" s="1">
        <v>1485</v>
      </c>
    </row>
    <row r="1486" spans="10:10" x14ac:dyDescent="0.25">
      <c r="J1486" s="1">
        <v>1486</v>
      </c>
    </row>
    <row r="1487" spans="10:10" x14ac:dyDescent="0.25">
      <c r="J1487" s="1">
        <v>1487</v>
      </c>
    </row>
    <row r="1488" spans="10:10" x14ac:dyDescent="0.25">
      <c r="J1488" s="1">
        <v>1488</v>
      </c>
    </row>
    <row r="1489" spans="10:10" x14ac:dyDescent="0.25">
      <c r="J1489" s="1">
        <v>1489</v>
      </c>
    </row>
    <row r="1490" spans="10:10" x14ac:dyDescent="0.25">
      <c r="J1490" s="1">
        <v>1490</v>
      </c>
    </row>
    <row r="1491" spans="10:10" x14ac:dyDescent="0.25">
      <c r="J1491" s="1">
        <v>1491</v>
      </c>
    </row>
    <row r="1492" spans="10:10" x14ac:dyDescent="0.25">
      <c r="J1492" s="1">
        <v>1492</v>
      </c>
    </row>
    <row r="1493" spans="10:10" x14ac:dyDescent="0.25">
      <c r="J1493" s="1">
        <v>1493</v>
      </c>
    </row>
    <row r="1494" spans="10:10" x14ac:dyDescent="0.25">
      <c r="J1494" s="1">
        <v>1494</v>
      </c>
    </row>
    <row r="1495" spans="10:10" x14ac:dyDescent="0.25">
      <c r="J1495" s="1">
        <v>1495</v>
      </c>
    </row>
    <row r="1496" spans="10:10" x14ac:dyDescent="0.25">
      <c r="J1496" s="1">
        <v>1496</v>
      </c>
    </row>
    <row r="1497" spans="10:10" x14ac:dyDescent="0.25">
      <c r="J1497" s="1">
        <v>1497</v>
      </c>
    </row>
    <row r="1498" spans="10:10" x14ac:dyDescent="0.25">
      <c r="J1498" s="1">
        <v>1498</v>
      </c>
    </row>
    <row r="1499" spans="10:10" x14ac:dyDescent="0.25">
      <c r="J1499" s="1">
        <v>1499</v>
      </c>
    </row>
    <row r="1500" spans="10:10" x14ac:dyDescent="0.25">
      <c r="J1500" s="1">
        <v>1500</v>
      </c>
    </row>
    <row r="1501" spans="10:10" x14ac:dyDescent="0.25">
      <c r="J1501" s="1">
        <v>1501</v>
      </c>
    </row>
    <row r="1502" spans="10:10" x14ac:dyDescent="0.25">
      <c r="J1502" s="1">
        <v>1502</v>
      </c>
    </row>
    <row r="1503" spans="10:10" x14ac:dyDescent="0.25">
      <c r="J1503" s="1">
        <v>1503</v>
      </c>
    </row>
    <row r="1504" spans="10:10" x14ac:dyDescent="0.25">
      <c r="J1504" s="1">
        <v>1504</v>
      </c>
    </row>
    <row r="1505" spans="10:10" x14ac:dyDescent="0.25">
      <c r="J1505" s="1">
        <v>1505</v>
      </c>
    </row>
    <row r="1506" spans="10:10" x14ac:dyDescent="0.25">
      <c r="J1506" s="1">
        <v>1506</v>
      </c>
    </row>
    <row r="1507" spans="10:10" x14ac:dyDescent="0.25">
      <c r="J1507" s="1">
        <v>1507</v>
      </c>
    </row>
    <row r="1508" spans="10:10" x14ac:dyDescent="0.25">
      <c r="J1508" s="1">
        <v>1508</v>
      </c>
    </row>
    <row r="1509" spans="10:10" x14ac:dyDescent="0.25">
      <c r="J1509" s="1">
        <v>1509</v>
      </c>
    </row>
    <row r="1510" spans="10:10" x14ac:dyDescent="0.25">
      <c r="J1510" s="1">
        <v>1510</v>
      </c>
    </row>
    <row r="1511" spans="10:10" x14ac:dyDescent="0.25">
      <c r="J1511" s="1">
        <v>1511</v>
      </c>
    </row>
    <row r="1512" spans="10:10" x14ac:dyDescent="0.25">
      <c r="J1512" s="1">
        <v>1512</v>
      </c>
    </row>
    <row r="1513" spans="10:10" x14ac:dyDescent="0.25">
      <c r="J1513" s="1">
        <v>1513</v>
      </c>
    </row>
    <row r="1514" spans="10:10" x14ac:dyDescent="0.25">
      <c r="J1514" s="1">
        <v>1514</v>
      </c>
    </row>
    <row r="1515" spans="10:10" x14ac:dyDescent="0.25">
      <c r="J1515" s="1">
        <v>1515</v>
      </c>
    </row>
    <row r="1516" spans="10:10" x14ac:dyDescent="0.25">
      <c r="J1516" s="1">
        <v>1516</v>
      </c>
    </row>
    <row r="1517" spans="10:10" x14ac:dyDescent="0.25">
      <c r="J1517" s="1">
        <v>1517</v>
      </c>
    </row>
    <row r="1518" spans="10:10" x14ac:dyDescent="0.25">
      <c r="J1518" s="1">
        <v>1518</v>
      </c>
    </row>
    <row r="1519" spans="10:10" x14ac:dyDescent="0.25">
      <c r="J1519" s="1">
        <v>1519</v>
      </c>
    </row>
    <row r="1520" spans="10:10" x14ac:dyDescent="0.25">
      <c r="J1520" s="1">
        <v>1520</v>
      </c>
    </row>
    <row r="1521" spans="10:10" x14ac:dyDescent="0.25">
      <c r="J1521" s="1">
        <v>1521</v>
      </c>
    </row>
    <row r="1522" spans="10:10" x14ac:dyDescent="0.25">
      <c r="J1522" s="1">
        <v>1522</v>
      </c>
    </row>
    <row r="1523" spans="10:10" x14ac:dyDescent="0.25">
      <c r="J1523" s="1">
        <v>1523</v>
      </c>
    </row>
    <row r="1524" spans="10:10" x14ac:dyDescent="0.25">
      <c r="J1524" s="1">
        <v>1524</v>
      </c>
    </row>
    <row r="1525" spans="10:10" x14ac:dyDescent="0.25">
      <c r="J1525" s="1">
        <v>1525</v>
      </c>
    </row>
    <row r="1526" spans="10:10" x14ac:dyDescent="0.25">
      <c r="J1526" s="1">
        <v>1526</v>
      </c>
    </row>
    <row r="1527" spans="10:10" x14ac:dyDescent="0.25">
      <c r="J1527" s="1">
        <v>1527</v>
      </c>
    </row>
    <row r="1528" spans="10:10" x14ac:dyDescent="0.25">
      <c r="J1528" s="1">
        <v>1528</v>
      </c>
    </row>
    <row r="1529" spans="10:10" x14ac:dyDescent="0.25">
      <c r="J1529" s="1">
        <v>1529</v>
      </c>
    </row>
    <row r="1530" spans="10:10" x14ac:dyDescent="0.25">
      <c r="J1530" s="1">
        <v>1530</v>
      </c>
    </row>
    <row r="1531" spans="10:10" x14ac:dyDescent="0.25">
      <c r="J1531" s="1">
        <v>1531</v>
      </c>
    </row>
    <row r="1532" spans="10:10" x14ac:dyDescent="0.25">
      <c r="J1532" s="1">
        <v>1532</v>
      </c>
    </row>
    <row r="1533" spans="10:10" x14ac:dyDescent="0.25">
      <c r="J1533" s="1">
        <v>1533</v>
      </c>
    </row>
    <row r="1534" spans="10:10" x14ac:dyDescent="0.25">
      <c r="J1534" s="1">
        <v>1534</v>
      </c>
    </row>
    <row r="1535" spans="10:10" x14ac:dyDescent="0.25">
      <c r="J1535" s="1">
        <v>1535</v>
      </c>
    </row>
    <row r="1536" spans="10:10" x14ac:dyDescent="0.25">
      <c r="J1536" s="1">
        <v>1536</v>
      </c>
    </row>
    <row r="1537" spans="10:10" x14ac:dyDescent="0.25">
      <c r="J1537" s="1">
        <v>1537</v>
      </c>
    </row>
    <row r="1538" spans="10:10" x14ac:dyDescent="0.25">
      <c r="J1538" s="1">
        <v>1538</v>
      </c>
    </row>
    <row r="1539" spans="10:10" x14ac:dyDescent="0.25">
      <c r="J1539" s="1">
        <v>1539</v>
      </c>
    </row>
    <row r="1540" spans="10:10" x14ac:dyDescent="0.25">
      <c r="J1540" s="1">
        <v>1540</v>
      </c>
    </row>
    <row r="1541" spans="10:10" x14ac:dyDescent="0.25">
      <c r="J1541" s="1">
        <v>1541</v>
      </c>
    </row>
    <row r="1542" spans="10:10" x14ac:dyDescent="0.25">
      <c r="J1542" s="1">
        <v>1542</v>
      </c>
    </row>
    <row r="1543" spans="10:10" x14ac:dyDescent="0.25">
      <c r="J1543" s="1">
        <v>1543</v>
      </c>
    </row>
    <row r="1544" spans="10:10" x14ac:dyDescent="0.25">
      <c r="J1544" s="1">
        <v>1544</v>
      </c>
    </row>
    <row r="1545" spans="10:10" x14ac:dyDescent="0.25">
      <c r="J1545" s="1">
        <v>1545</v>
      </c>
    </row>
    <row r="1546" spans="10:10" x14ac:dyDescent="0.25">
      <c r="J1546" s="1">
        <v>1546</v>
      </c>
    </row>
    <row r="1547" spans="10:10" x14ac:dyDescent="0.25">
      <c r="J1547" s="1">
        <v>1547</v>
      </c>
    </row>
    <row r="1548" spans="10:10" x14ac:dyDescent="0.25">
      <c r="J1548" s="1">
        <v>1548</v>
      </c>
    </row>
    <row r="1549" spans="10:10" x14ac:dyDescent="0.25">
      <c r="J1549" s="1">
        <v>1549</v>
      </c>
    </row>
    <row r="1550" spans="10:10" x14ac:dyDescent="0.25">
      <c r="J1550" s="1">
        <v>1550</v>
      </c>
    </row>
    <row r="1551" spans="10:10" x14ac:dyDescent="0.25">
      <c r="J1551" s="1">
        <v>1551</v>
      </c>
    </row>
    <row r="1552" spans="10:10" x14ac:dyDescent="0.25">
      <c r="J1552" s="1">
        <v>1552</v>
      </c>
    </row>
    <row r="1553" spans="10:10" x14ac:dyDescent="0.25">
      <c r="J1553" s="1">
        <v>1553</v>
      </c>
    </row>
    <row r="1554" spans="10:10" x14ac:dyDescent="0.25">
      <c r="J1554" s="1">
        <v>1554</v>
      </c>
    </row>
    <row r="1555" spans="10:10" x14ac:dyDescent="0.25">
      <c r="J1555" s="1">
        <v>1555</v>
      </c>
    </row>
    <row r="1556" spans="10:10" x14ac:dyDescent="0.25">
      <c r="J1556" s="1">
        <v>1556</v>
      </c>
    </row>
    <row r="1557" spans="10:10" x14ac:dyDescent="0.25">
      <c r="J1557" s="1">
        <v>1557</v>
      </c>
    </row>
    <row r="1558" spans="10:10" x14ac:dyDescent="0.25">
      <c r="J1558" s="1">
        <v>1558</v>
      </c>
    </row>
    <row r="1559" spans="10:10" x14ac:dyDescent="0.25">
      <c r="J1559" s="1">
        <v>1559</v>
      </c>
    </row>
    <row r="1560" spans="10:10" x14ac:dyDescent="0.25">
      <c r="J1560" s="1">
        <v>1560</v>
      </c>
    </row>
    <row r="1561" spans="10:10" x14ac:dyDescent="0.25">
      <c r="J1561" s="1">
        <v>1561</v>
      </c>
    </row>
    <row r="1562" spans="10:10" x14ac:dyDescent="0.25">
      <c r="J1562" s="1">
        <v>1562</v>
      </c>
    </row>
    <row r="1563" spans="10:10" x14ac:dyDescent="0.25">
      <c r="J1563" s="1">
        <v>1563</v>
      </c>
    </row>
    <row r="1564" spans="10:10" x14ac:dyDescent="0.25">
      <c r="J1564" s="1">
        <v>1564</v>
      </c>
    </row>
    <row r="1565" spans="10:10" x14ac:dyDescent="0.25">
      <c r="J1565" s="1">
        <v>1565</v>
      </c>
    </row>
    <row r="1566" spans="10:10" x14ac:dyDescent="0.25">
      <c r="J1566" s="1">
        <v>1566</v>
      </c>
    </row>
    <row r="1567" spans="10:10" x14ac:dyDescent="0.25">
      <c r="J1567" s="1">
        <v>1567</v>
      </c>
    </row>
    <row r="1568" spans="10:10" x14ac:dyDescent="0.25">
      <c r="J1568" s="1">
        <v>1568</v>
      </c>
    </row>
    <row r="1569" spans="10:10" x14ac:dyDescent="0.25">
      <c r="J1569" s="1">
        <v>1569</v>
      </c>
    </row>
    <row r="1570" spans="10:10" x14ac:dyDescent="0.25">
      <c r="J1570" s="1">
        <v>1570</v>
      </c>
    </row>
    <row r="1571" spans="10:10" x14ac:dyDescent="0.25">
      <c r="J1571" s="1">
        <v>1571</v>
      </c>
    </row>
    <row r="1572" spans="10:10" x14ac:dyDescent="0.25">
      <c r="J1572" s="1">
        <v>1572</v>
      </c>
    </row>
    <row r="1573" spans="10:10" x14ac:dyDescent="0.25">
      <c r="J1573" s="1">
        <v>1573</v>
      </c>
    </row>
    <row r="1574" spans="10:10" x14ac:dyDescent="0.25">
      <c r="J1574" s="1">
        <v>1574</v>
      </c>
    </row>
    <row r="1575" spans="10:10" x14ac:dyDescent="0.25">
      <c r="J1575" s="1">
        <v>1575</v>
      </c>
    </row>
    <row r="1576" spans="10:10" x14ac:dyDescent="0.25">
      <c r="J1576" s="1">
        <v>1576</v>
      </c>
    </row>
    <row r="1577" spans="10:10" x14ac:dyDescent="0.25">
      <c r="J1577" s="1">
        <v>1577</v>
      </c>
    </row>
    <row r="1578" spans="10:10" x14ac:dyDescent="0.25">
      <c r="J1578" s="1">
        <v>1578</v>
      </c>
    </row>
    <row r="1579" spans="10:10" x14ac:dyDescent="0.25">
      <c r="J1579" s="1">
        <v>1579</v>
      </c>
    </row>
    <row r="1580" spans="10:10" x14ac:dyDescent="0.25">
      <c r="J1580" s="1">
        <v>1580</v>
      </c>
    </row>
    <row r="1581" spans="10:10" x14ac:dyDescent="0.25">
      <c r="J1581" s="1">
        <v>1581</v>
      </c>
    </row>
    <row r="1582" spans="10:10" x14ac:dyDescent="0.25">
      <c r="J1582" s="1">
        <v>1582</v>
      </c>
    </row>
    <row r="1583" spans="10:10" x14ac:dyDescent="0.25">
      <c r="J1583" s="1">
        <v>1583</v>
      </c>
    </row>
    <row r="1584" spans="10:10" x14ac:dyDescent="0.25">
      <c r="J1584" s="1">
        <v>1584</v>
      </c>
    </row>
    <row r="1585" spans="10:10" x14ac:dyDescent="0.25">
      <c r="J1585" s="1">
        <v>1585</v>
      </c>
    </row>
    <row r="1586" spans="10:10" x14ac:dyDescent="0.25">
      <c r="J1586" s="1">
        <v>1586</v>
      </c>
    </row>
    <row r="1587" spans="10:10" x14ac:dyDescent="0.25">
      <c r="J1587" s="1">
        <v>1587</v>
      </c>
    </row>
    <row r="1588" spans="10:10" x14ac:dyDescent="0.25">
      <c r="J1588" s="1">
        <v>1588</v>
      </c>
    </row>
    <row r="1589" spans="10:10" x14ac:dyDescent="0.25">
      <c r="J1589" s="1">
        <v>1589</v>
      </c>
    </row>
    <row r="1590" spans="10:10" x14ac:dyDescent="0.25">
      <c r="J1590" s="1">
        <v>1590</v>
      </c>
    </row>
    <row r="1591" spans="10:10" x14ac:dyDescent="0.25">
      <c r="J1591" s="1">
        <v>1591</v>
      </c>
    </row>
    <row r="1592" spans="10:10" x14ac:dyDescent="0.25">
      <c r="J1592" s="1">
        <v>1592</v>
      </c>
    </row>
    <row r="1593" spans="10:10" x14ac:dyDescent="0.25">
      <c r="J1593" s="1">
        <v>1593</v>
      </c>
    </row>
    <row r="1594" spans="10:10" x14ac:dyDescent="0.25">
      <c r="J1594" s="1">
        <v>1594</v>
      </c>
    </row>
    <row r="1595" spans="10:10" x14ac:dyDescent="0.25">
      <c r="J1595" s="1">
        <v>1595</v>
      </c>
    </row>
    <row r="1596" spans="10:10" x14ac:dyDescent="0.25">
      <c r="J1596" s="1">
        <v>1596</v>
      </c>
    </row>
    <row r="1597" spans="10:10" x14ac:dyDescent="0.25">
      <c r="J1597" s="1">
        <v>1597</v>
      </c>
    </row>
    <row r="1598" spans="10:10" x14ac:dyDescent="0.25">
      <c r="J1598" s="1">
        <v>1598</v>
      </c>
    </row>
    <row r="1599" spans="10:10" x14ac:dyDescent="0.25">
      <c r="J1599" s="1">
        <v>1599</v>
      </c>
    </row>
    <row r="1600" spans="10:10" x14ac:dyDescent="0.25">
      <c r="J1600" s="1">
        <v>1600</v>
      </c>
    </row>
    <row r="1601" spans="10:10" x14ac:dyDescent="0.25">
      <c r="J1601" s="1">
        <v>1601</v>
      </c>
    </row>
    <row r="1602" spans="10:10" x14ac:dyDescent="0.25">
      <c r="J1602" s="1">
        <v>1602</v>
      </c>
    </row>
    <row r="1603" spans="10:10" x14ac:dyDescent="0.25">
      <c r="J1603" s="1">
        <v>1603</v>
      </c>
    </row>
    <row r="1604" spans="10:10" x14ac:dyDescent="0.25">
      <c r="J1604" s="1">
        <v>1604</v>
      </c>
    </row>
    <row r="1605" spans="10:10" x14ac:dyDescent="0.25">
      <c r="J1605" s="1">
        <v>1605</v>
      </c>
    </row>
    <row r="1606" spans="10:10" x14ac:dyDescent="0.25">
      <c r="J1606" s="1">
        <v>1606</v>
      </c>
    </row>
    <row r="1607" spans="10:10" x14ac:dyDescent="0.25">
      <c r="J1607" s="1">
        <v>1607</v>
      </c>
    </row>
    <row r="1608" spans="10:10" x14ac:dyDescent="0.25">
      <c r="J1608" s="1">
        <v>1608</v>
      </c>
    </row>
    <row r="1609" spans="10:10" x14ac:dyDescent="0.25">
      <c r="J1609" s="1">
        <v>1609</v>
      </c>
    </row>
    <row r="1610" spans="10:10" x14ac:dyDescent="0.25">
      <c r="J1610" s="1">
        <v>1610</v>
      </c>
    </row>
    <row r="1611" spans="10:10" x14ac:dyDescent="0.25">
      <c r="J1611" s="1">
        <v>1611</v>
      </c>
    </row>
    <row r="1612" spans="10:10" x14ac:dyDescent="0.25">
      <c r="J1612" s="1">
        <v>1612</v>
      </c>
    </row>
    <row r="1613" spans="10:10" x14ac:dyDescent="0.25">
      <c r="J1613" s="1">
        <v>1613</v>
      </c>
    </row>
    <row r="1614" spans="10:10" x14ac:dyDescent="0.25">
      <c r="J1614" s="1">
        <v>1614</v>
      </c>
    </row>
    <row r="1615" spans="10:10" x14ac:dyDescent="0.25">
      <c r="J1615" s="1">
        <v>1615</v>
      </c>
    </row>
    <row r="1616" spans="10:10" x14ac:dyDescent="0.25">
      <c r="J1616" s="1">
        <v>1616</v>
      </c>
    </row>
    <row r="1617" spans="10:10" x14ac:dyDescent="0.25">
      <c r="J1617" s="1">
        <v>1617</v>
      </c>
    </row>
    <row r="1618" spans="10:10" x14ac:dyDescent="0.25">
      <c r="J1618" s="1">
        <v>1618</v>
      </c>
    </row>
    <row r="1619" spans="10:10" x14ac:dyDescent="0.25">
      <c r="J1619" s="1">
        <v>1619</v>
      </c>
    </row>
    <row r="1620" spans="10:10" x14ac:dyDescent="0.25">
      <c r="J1620" s="1">
        <v>1620</v>
      </c>
    </row>
    <row r="1621" spans="10:10" x14ac:dyDescent="0.25">
      <c r="J1621" s="1">
        <v>1621</v>
      </c>
    </row>
    <row r="1622" spans="10:10" x14ac:dyDescent="0.25">
      <c r="J1622" s="1">
        <v>1622</v>
      </c>
    </row>
    <row r="1623" spans="10:10" x14ac:dyDescent="0.25">
      <c r="J1623" s="1">
        <v>1623</v>
      </c>
    </row>
    <row r="1624" spans="10:10" x14ac:dyDescent="0.25">
      <c r="J1624" s="1">
        <v>1624</v>
      </c>
    </row>
    <row r="1625" spans="10:10" x14ac:dyDescent="0.25">
      <c r="J1625" s="1">
        <v>1625</v>
      </c>
    </row>
    <row r="1626" spans="10:10" x14ac:dyDescent="0.25">
      <c r="J1626" s="1">
        <v>1626</v>
      </c>
    </row>
    <row r="1627" spans="10:10" x14ac:dyDescent="0.25">
      <c r="J1627" s="1">
        <v>1627</v>
      </c>
    </row>
    <row r="1628" spans="10:10" x14ac:dyDescent="0.25">
      <c r="J1628" s="1">
        <v>1628</v>
      </c>
    </row>
    <row r="1629" spans="10:10" x14ac:dyDescent="0.25">
      <c r="J1629" s="1">
        <v>1629</v>
      </c>
    </row>
    <row r="1630" spans="10:10" x14ac:dyDescent="0.25">
      <c r="J1630" s="1">
        <v>1630</v>
      </c>
    </row>
    <row r="1631" spans="10:10" x14ac:dyDescent="0.25">
      <c r="J1631" s="1">
        <v>1631</v>
      </c>
    </row>
    <row r="1632" spans="10:10" x14ac:dyDescent="0.25">
      <c r="J1632" s="1">
        <v>1632</v>
      </c>
    </row>
    <row r="1633" spans="10:10" x14ac:dyDescent="0.25">
      <c r="J1633" s="1">
        <v>1633</v>
      </c>
    </row>
    <row r="1634" spans="10:10" x14ac:dyDescent="0.25">
      <c r="J1634" s="1">
        <v>1634</v>
      </c>
    </row>
    <row r="1635" spans="10:10" x14ac:dyDescent="0.25">
      <c r="J1635" s="1">
        <v>1635</v>
      </c>
    </row>
    <row r="1636" spans="10:10" x14ac:dyDescent="0.25">
      <c r="J1636" s="1">
        <v>1636</v>
      </c>
    </row>
    <row r="1637" spans="10:10" x14ac:dyDescent="0.25">
      <c r="J1637" s="1">
        <v>1637</v>
      </c>
    </row>
    <row r="1638" spans="10:10" x14ac:dyDescent="0.25">
      <c r="J1638" s="1">
        <v>1638</v>
      </c>
    </row>
    <row r="1639" spans="10:10" x14ac:dyDescent="0.25">
      <c r="J1639" s="1">
        <v>1639</v>
      </c>
    </row>
    <row r="1640" spans="10:10" x14ac:dyDescent="0.25">
      <c r="J1640" s="1">
        <v>1640</v>
      </c>
    </row>
    <row r="1641" spans="10:10" x14ac:dyDescent="0.25">
      <c r="J1641" s="1">
        <v>1641</v>
      </c>
    </row>
    <row r="1642" spans="10:10" x14ac:dyDescent="0.25">
      <c r="J1642" s="1">
        <v>1642</v>
      </c>
    </row>
    <row r="1643" spans="10:10" x14ac:dyDescent="0.25">
      <c r="J1643" s="1">
        <v>1643</v>
      </c>
    </row>
    <row r="1644" spans="10:10" x14ac:dyDescent="0.25">
      <c r="J1644" s="1">
        <v>1644</v>
      </c>
    </row>
    <row r="1645" spans="10:10" x14ac:dyDescent="0.25">
      <c r="J1645" s="1">
        <v>1645</v>
      </c>
    </row>
    <row r="1646" spans="10:10" x14ac:dyDescent="0.25">
      <c r="J1646" s="1">
        <v>1646</v>
      </c>
    </row>
    <row r="1647" spans="10:10" x14ac:dyDescent="0.25">
      <c r="J1647" s="1">
        <v>1647</v>
      </c>
    </row>
    <row r="1648" spans="10:10" x14ac:dyDescent="0.25">
      <c r="J1648" s="1">
        <v>1648</v>
      </c>
    </row>
    <row r="1649" spans="10:10" x14ac:dyDescent="0.25">
      <c r="J1649" s="1">
        <v>1649</v>
      </c>
    </row>
    <row r="1650" spans="10:10" x14ac:dyDescent="0.25">
      <c r="J1650" s="1">
        <v>1650</v>
      </c>
    </row>
    <row r="1651" spans="10:10" x14ac:dyDescent="0.25">
      <c r="J1651" s="1">
        <v>1651</v>
      </c>
    </row>
    <row r="1652" spans="10:10" x14ac:dyDescent="0.25">
      <c r="J1652" s="1">
        <v>1652</v>
      </c>
    </row>
    <row r="1653" spans="10:10" x14ac:dyDescent="0.25">
      <c r="J1653" s="1">
        <v>1653</v>
      </c>
    </row>
    <row r="1654" spans="10:10" x14ac:dyDescent="0.25">
      <c r="J1654" s="1">
        <v>1654</v>
      </c>
    </row>
    <row r="1655" spans="10:10" x14ac:dyDescent="0.25">
      <c r="J1655" s="1">
        <v>1655</v>
      </c>
    </row>
    <row r="1656" spans="10:10" x14ac:dyDescent="0.25">
      <c r="J1656" s="1">
        <v>1656</v>
      </c>
    </row>
    <row r="1657" spans="10:10" x14ac:dyDescent="0.25">
      <c r="J1657" s="1">
        <v>1657</v>
      </c>
    </row>
    <row r="1658" spans="10:10" x14ac:dyDescent="0.25">
      <c r="J1658" s="1">
        <v>1658</v>
      </c>
    </row>
    <row r="1659" spans="10:10" x14ac:dyDescent="0.25">
      <c r="J1659" s="1">
        <v>1659</v>
      </c>
    </row>
    <row r="1660" spans="10:10" x14ac:dyDescent="0.25">
      <c r="J1660" s="1">
        <v>1660</v>
      </c>
    </row>
    <row r="1661" spans="10:10" x14ac:dyDescent="0.25">
      <c r="J1661" s="1">
        <v>1661</v>
      </c>
    </row>
    <row r="1662" spans="10:10" x14ac:dyDescent="0.25">
      <c r="J1662" s="1">
        <v>1662</v>
      </c>
    </row>
    <row r="1663" spans="10:10" x14ac:dyDescent="0.25">
      <c r="J1663" s="1">
        <v>1663</v>
      </c>
    </row>
    <row r="1664" spans="10:10" x14ac:dyDescent="0.25">
      <c r="J1664" s="1">
        <v>1664</v>
      </c>
    </row>
    <row r="1665" spans="10:10" x14ac:dyDescent="0.25">
      <c r="J1665" s="1">
        <v>1665</v>
      </c>
    </row>
    <row r="1666" spans="10:10" x14ac:dyDescent="0.25">
      <c r="J1666" s="1">
        <v>1666</v>
      </c>
    </row>
    <row r="1667" spans="10:10" x14ac:dyDescent="0.25">
      <c r="J1667" s="1">
        <v>1667</v>
      </c>
    </row>
    <row r="1668" spans="10:10" x14ac:dyDescent="0.25">
      <c r="J1668" s="1">
        <v>1668</v>
      </c>
    </row>
    <row r="1669" spans="10:10" x14ac:dyDescent="0.25">
      <c r="J1669" s="1">
        <v>1669</v>
      </c>
    </row>
    <row r="1670" spans="10:10" x14ac:dyDescent="0.25">
      <c r="J1670" s="1">
        <v>1670</v>
      </c>
    </row>
    <row r="1671" spans="10:10" x14ac:dyDescent="0.25">
      <c r="J1671" s="1">
        <v>1671</v>
      </c>
    </row>
    <row r="1672" spans="10:10" x14ac:dyDescent="0.25">
      <c r="J1672" s="1">
        <v>1672</v>
      </c>
    </row>
    <row r="1673" spans="10:10" x14ac:dyDescent="0.25">
      <c r="J1673" s="1">
        <v>1673</v>
      </c>
    </row>
    <row r="1674" spans="10:10" x14ac:dyDescent="0.25">
      <c r="J1674" s="1">
        <v>1674</v>
      </c>
    </row>
    <row r="1675" spans="10:10" x14ac:dyDescent="0.25">
      <c r="J1675" s="1">
        <v>1675</v>
      </c>
    </row>
    <row r="1676" spans="10:10" x14ac:dyDescent="0.25">
      <c r="J1676" s="1">
        <v>1676</v>
      </c>
    </row>
    <row r="1677" spans="10:10" x14ac:dyDescent="0.25">
      <c r="J1677" s="1">
        <v>1677</v>
      </c>
    </row>
    <row r="1678" spans="10:10" x14ac:dyDescent="0.25">
      <c r="J1678" s="1">
        <v>1678</v>
      </c>
    </row>
    <row r="1679" spans="10:10" x14ac:dyDescent="0.25">
      <c r="J1679" s="1">
        <v>1679</v>
      </c>
    </row>
    <row r="1680" spans="10:10" x14ac:dyDescent="0.25">
      <c r="J1680" s="1">
        <v>1680</v>
      </c>
    </row>
    <row r="1681" spans="10:10" x14ac:dyDescent="0.25">
      <c r="J1681" s="1">
        <v>1681</v>
      </c>
    </row>
    <row r="1682" spans="10:10" x14ac:dyDescent="0.25">
      <c r="J1682" s="1">
        <v>1682</v>
      </c>
    </row>
    <row r="1683" spans="10:10" x14ac:dyDescent="0.25">
      <c r="J1683" s="1">
        <v>1683</v>
      </c>
    </row>
    <row r="1684" spans="10:10" x14ac:dyDescent="0.25">
      <c r="J1684" s="1">
        <v>1684</v>
      </c>
    </row>
    <row r="1685" spans="10:10" x14ac:dyDescent="0.25">
      <c r="J1685" s="1">
        <v>1685</v>
      </c>
    </row>
    <row r="1686" spans="10:10" x14ac:dyDescent="0.25">
      <c r="J1686" s="1">
        <v>1686</v>
      </c>
    </row>
    <row r="1687" spans="10:10" x14ac:dyDescent="0.25">
      <c r="J1687" s="1">
        <v>1687</v>
      </c>
    </row>
    <row r="1688" spans="10:10" x14ac:dyDescent="0.25">
      <c r="J1688" s="1">
        <v>1688</v>
      </c>
    </row>
    <row r="1689" spans="10:10" x14ac:dyDescent="0.25">
      <c r="J1689" s="1">
        <v>1689</v>
      </c>
    </row>
    <row r="1690" spans="10:10" x14ac:dyDescent="0.25">
      <c r="J1690" s="1">
        <v>1690</v>
      </c>
    </row>
    <row r="1691" spans="10:10" x14ac:dyDescent="0.25">
      <c r="J1691" s="1">
        <v>1691</v>
      </c>
    </row>
    <row r="1692" spans="10:10" x14ac:dyDescent="0.25">
      <c r="J1692" s="1">
        <v>1692</v>
      </c>
    </row>
    <row r="1693" spans="10:10" x14ac:dyDescent="0.25">
      <c r="J1693" s="1">
        <v>1693</v>
      </c>
    </row>
    <row r="1694" spans="10:10" x14ac:dyDescent="0.25">
      <c r="J1694" s="1">
        <v>1694</v>
      </c>
    </row>
    <row r="1695" spans="10:10" x14ac:dyDescent="0.25">
      <c r="J1695" s="1">
        <v>1695</v>
      </c>
    </row>
    <row r="1696" spans="10:10" x14ac:dyDescent="0.25">
      <c r="J1696" s="1">
        <v>1696</v>
      </c>
    </row>
    <row r="1697" spans="10:10" x14ac:dyDescent="0.25">
      <c r="J1697" s="1">
        <v>1697</v>
      </c>
    </row>
    <row r="1698" spans="10:10" x14ac:dyDescent="0.25">
      <c r="J1698" s="1">
        <v>1698</v>
      </c>
    </row>
    <row r="1699" spans="10:10" x14ac:dyDescent="0.25">
      <c r="J1699" s="1">
        <v>1699</v>
      </c>
    </row>
    <row r="1700" spans="10:10" x14ac:dyDescent="0.25">
      <c r="J1700" s="1">
        <v>1700</v>
      </c>
    </row>
    <row r="1701" spans="10:10" x14ac:dyDescent="0.25">
      <c r="J1701" s="1">
        <v>1701</v>
      </c>
    </row>
    <row r="1702" spans="10:10" x14ac:dyDescent="0.25">
      <c r="J1702" s="1">
        <v>1702</v>
      </c>
    </row>
    <row r="1703" spans="10:10" x14ac:dyDescent="0.25">
      <c r="J1703" s="1">
        <v>1703</v>
      </c>
    </row>
    <row r="1704" spans="10:10" x14ac:dyDescent="0.25">
      <c r="J1704" s="1">
        <v>1704</v>
      </c>
    </row>
    <row r="1705" spans="10:10" x14ac:dyDescent="0.25">
      <c r="J1705" s="1">
        <v>1705</v>
      </c>
    </row>
    <row r="1706" spans="10:10" x14ac:dyDescent="0.25">
      <c r="J1706" s="1">
        <v>1706</v>
      </c>
    </row>
    <row r="1707" spans="10:10" x14ac:dyDescent="0.25">
      <c r="J1707" s="1">
        <v>1707</v>
      </c>
    </row>
    <row r="1708" spans="10:10" x14ac:dyDescent="0.25">
      <c r="J1708" s="1">
        <v>1708</v>
      </c>
    </row>
    <row r="1709" spans="10:10" x14ac:dyDescent="0.25">
      <c r="J1709" s="1">
        <v>1709</v>
      </c>
    </row>
    <row r="1710" spans="10:10" x14ac:dyDescent="0.25">
      <c r="J1710" s="1">
        <v>1710</v>
      </c>
    </row>
    <row r="1711" spans="10:10" x14ac:dyDescent="0.25">
      <c r="J1711" s="1">
        <v>1711</v>
      </c>
    </row>
    <row r="1712" spans="10:10" x14ac:dyDescent="0.25">
      <c r="J1712" s="1">
        <v>1712</v>
      </c>
    </row>
    <row r="1713" spans="10:10" x14ac:dyDescent="0.25">
      <c r="J1713" s="1">
        <v>1713</v>
      </c>
    </row>
    <row r="1714" spans="10:10" x14ac:dyDescent="0.25">
      <c r="J1714" s="1">
        <v>1714</v>
      </c>
    </row>
    <row r="1715" spans="10:10" x14ac:dyDescent="0.25">
      <c r="J1715" s="1">
        <v>1715</v>
      </c>
    </row>
    <row r="1716" spans="10:10" x14ac:dyDescent="0.25">
      <c r="J1716" s="1">
        <v>1716</v>
      </c>
    </row>
    <row r="1717" spans="10:10" x14ac:dyDescent="0.25">
      <c r="J1717" s="1">
        <v>1717</v>
      </c>
    </row>
    <row r="1718" spans="10:10" x14ac:dyDescent="0.25">
      <c r="J1718" s="1">
        <v>1718</v>
      </c>
    </row>
    <row r="1719" spans="10:10" x14ac:dyDescent="0.25">
      <c r="J1719" s="1">
        <v>1719</v>
      </c>
    </row>
    <row r="1720" spans="10:10" x14ac:dyDescent="0.25">
      <c r="J1720" s="1">
        <v>1720</v>
      </c>
    </row>
    <row r="1721" spans="10:10" x14ac:dyDescent="0.25">
      <c r="J1721" s="1">
        <v>1721</v>
      </c>
    </row>
    <row r="1722" spans="10:10" x14ac:dyDescent="0.25">
      <c r="J1722" s="1">
        <v>1722</v>
      </c>
    </row>
    <row r="1723" spans="10:10" x14ac:dyDescent="0.25">
      <c r="J1723" s="1">
        <v>1723</v>
      </c>
    </row>
    <row r="1724" spans="10:10" x14ac:dyDescent="0.25">
      <c r="J1724" s="1">
        <v>1724</v>
      </c>
    </row>
    <row r="1725" spans="10:10" x14ac:dyDescent="0.25">
      <c r="J1725" s="1">
        <v>1725</v>
      </c>
    </row>
    <row r="1726" spans="10:10" x14ac:dyDescent="0.25">
      <c r="J1726" s="1">
        <v>1726</v>
      </c>
    </row>
    <row r="1727" spans="10:10" x14ac:dyDescent="0.25">
      <c r="J1727" s="1">
        <v>1727</v>
      </c>
    </row>
    <row r="1728" spans="10:10" x14ac:dyDescent="0.25">
      <c r="J1728" s="1">
        <v>1728</v>
      </c>
    </row>
    <row r="1729" spans="10:10" x14ac:dyDescent="0.25">
      <c r="J1729" s="1">
        <v>1729</v>
      </c>
    </row>
    <row r="1730" spans="10:10" x14ac:dyDescent="0.25">
      <c r="J1730" s="1">
        <v>1730</v>
      </c>
    </row>
    <row r="1731" spans="10:10" x14ac:dyDescent="0.25">
      <c r="J1731" s="1">
        <v>1731</v>
      </c>
    </row>
    <row r="1732" spans="10:10" x14ac:dyDescent="0.25">
      <c r="J1732" s="1">
        <v>1732</v>
      </c>
    </row>
    <row r="1733" spans="10:10" x14ac:dyDescent="0.25">
      <c r="J1733" s="1">
        <v>1733</v>
      </c>
    </row>
    <row r="1734" spans="10:10" x14ac:dyDescent="0.25">
      <c r="J1734" s="1">
        <v>1734</v>
      </c>
    </row>
    <row r="1735" spans="10:10" x14ac:dyDescent="0.25">
      <c r="J1735" s="1">
        <v>1735</v>
      </c>
    </row>
    <row r="1736" spans="10:10" x14ac:dyDescent="0.25">
      <c r="J1736" s="1">
        <v>1736</v>
      </c>
    </row>
    <row r="1737" spans="10:10" x14ac:dyDescent="0.25">
      <c r="J1737" s="1">
        <v>1737</v>
      </c>
    </row>
    <row r="1738" spans="10:10" x14ac:dyDescent="0.25">
      <c r="J1738" s="1">
        <v>1738</v>
      </c>
    </row>
    <row r="1739" spans="10:10" x14ac:dyDescent="0.25">
      <c r="J1739" s="1">
        <v>1739</v>
      </c>
    </row>
    <row r="1740" spans="10:10" x14ac:dyDescent="0.25">
      <c r="J1740" s="1">
        <v>1740</v>
      </c>
    </row>
    <row r="1741" spans="10:10" x14ac:dyDescent="0.25">
      <c r="J1741" s="1">
        <v>1741</v>
      </c>
    </row>
    <row r="1742" spans="10:10" x14ac:dyDescent="0.25">
      <c r="J1742" s="1">
        <v>1742</v>
      </c>
    </row>
    <row r="1743" spans="10:10" x14ac:dyDescent="0.25">
      <c r="J1743" s="1">
        <v>1743</v>
      </c>
    </row>
    <row r="1744" spans="10:10" x14ac:dyDescent="0.25">
      <c r="J1744" s="1">
        <v>1744</v>
      </c>
    </row>
    <row r="1745" spans="10:10" x14ac:dyDescent="0.25">
      <c r="J1745" s="1">
        <v>1745</v>
      </c>
    </row>
    <row r="1746" spans="10:10" x14ac:dyDescent="0.25">
      <c r="J1746" s="1">
        <v>1746</v>
      </c>
    </row>
    <row r="1747" spans="10:10" x14ac:dyDescent="0.25">
      <c r="J1747" s="1">
        <v>1747</v>
      </c>
    </row>
    <row r="1748" spans="10:10" x14ac:dyDescent="0.25">
      <c r="J1748" s="1">
        <v>1748</v>
      </c>
    </row>
    <row r="1749" spans="10:10" x14ac:dyDescent="0.25">
      <c r="J1749" s="1">
        <v>1749</v>
      </c>
    </row>
    <row r="1750" spans="10:10" x14ac:dyDescent="0.25">
      <c r="J1750" s="1">
        <v>1750</v>
      </c>
    </row>
    <row r="1751" spans="10:10" x14ac:dyDescent="0.25">
      <c r="J1751" s="1">
        <v>1751</v>
      </c>
    </row>
    <row r="1752" spans="10:10" x14ac:dyDescent="0.25">
      <c r="J1752" s="1">
        <v>1752</v>
      </c>
    </row>
    <row r="1753" spans="10:10" x14ac:dyDescent="0.25">
      <c r="J1753" s="1">
        <v>1753</v>
      </c>
    </row>
    <row r="1754" spans="10:10" x14ac:dyDescent="0.25">
      <c r="J1754" s="1">
        <v>1754</v>
      </c>
    </row>
    <row r="1755" spans="10:10" x14ac:dyDescent="0.25">
      <c r="J1755" s="1">
        <v>1755</v>
      </c>
    </row>
    <row r="1756" spans="10:10" x14ac:dyDescent="0.25">
      <c r="J1756" s="1">
        <v>1756</v>
      </c>
    </row>
    <row r="1757" spans="10:10" x14ac:dyDescent="0.25">
      <c r="J1757" s="1">
        <v>1757</v>
      </c>
    </row>
    <row r="1758" spans="10:10" x14ac:dyDescent="0.25">
      <c r="J1758" s="1">
        <v>1758</v>
      </c>
    </row>
    <row r="1759" spans="10:10" x14ac:dyDescent="0.25">
      <c r="J1759" s="1">
        <v>1759</v>
      </c>
    </row>
    <row r="1760" spans="10:10" x14ac:dyDescent="0.25">
      <c r="J1760" s="1">
        <v>1760</v>
      </c>
    </row>
    <row r="1761" spans="10:10" x14ac:dyDescent="0.25">
      <c r="J1761" s="1">
        <v>1761</v>
      </c>
    </row>
    <row r="1762" spans="10:10" x14ac:dyDescent="0.25">
      <c r="J1762" s="1">
        <v>1762</v>
      </c>
    </row>
    <row r="1763" spans="10:10" x14ac:dyDescent="0.25">
      <c r="J1763" s="1">
        <v>1763</v>
      </c>
    </row>
    <row r="1764" spans="10:10" x14ac:dyDescent="0.25">
      <c r="J1764" s="1">
        <v>1764</v>
      </c>
    </row>
    <row r="1765" spans="10:10" x14ac:dyDescent="0.25">
      <c r="J1765" s="1">
        <v>1765</v>
      </c>
    </row>
    <row r="1766" spans="10:10" x14ac:dyDescent="0.25">
      <c r="J1766" s="1">
        <v>1766</v>
      </c>
    </row>
    <row r="1767" spans="10:10" x14ac:dyDescent="0.25">
      <c r="J1767" s="1">
        <v>1767</v>
      </c>
    </row>
    <row r="1768" spans="10:10" x14ac:dyDescent="0.25">
      <c r="J1768" s="1">
        <v>1768</v>
      </c>
    </row>
    <row r="1769" spans="10:10" x14ac:dyDescent="0.25">
      <c r="J1769" s="1">
        <v>1769</v>
      </c>
    </row>
    <row r="1770" spans="10:10" x14ac:dyDescent="0.25">
      <c r="J1770" s="1">
        <v>1770</v>
      </c>
    </row>
    <row r="1771" spans="10:10" x14ac:dyDescent="0.25">
      <c r="J1771" s="1">
        <v>1771</v>
      </c>
    </row>
    <row r="1772" spans="10:10" x14ac:dyDescent="0.25">
      <c r="J1772" s="1">
        <v>1772</v>
      </c>
    </row>
    <row r="1773" spans="10:10" x14ac:dyDescent="0.25">
      <c r="J1773" s="1">
        <v>1773</v>
      </c>
    </row>
    <row r="1774" spans="10:10" x14ac:dyDescent="0.25">
      <c r="J1774" s="1">
        <v>1774</v>
      </c>
    </row>
    <row r="1775" spans="10:10" x14ac:dyDescent="0.25">
      <c r="J1775" s="1">
        <v>1775</v>
      </c>
    </row>
    <row r="1776" spans="10:10" x14ac:dyDescent="0.25">
      <c r="J1776" s="1">
        <v>1776</v>
      </c>
    </row>
    <row r="1777" spans="10:10" x14ac:dyDescent="0.25">
      <c r="J1777" s="1">
        <v>1777</v>
      </c>
    </row>
    <row r="1778" spans="10:10" x14ac:dyDescent="0.25">
      <c r="J1778" s="1">
        <v>1778</v>
      </c>
    </row>
    <row r="1779" spans="10:10" x14ac:dyDescent="0.25">
      <c r="J1779" s="1">
        <v>1779</v>
      </c>
    </row>
    <row r="1780" spans="10:10" x14ac:dyDescent="0.25">
      <c r="J1780" s="1">
        <v>1780</v>
      </c>
    </row>
    <row r="1781" spans="10:10" x14ac:dyDescent="0.25">
      <c r="J1781" s="1">
        <v>1781</v>
      </c>
    </row>
    <row r="1782" spans="10:10" x14ac:dyDescent="0.25">
      <c r="J1782" s="1">
        <v>1782</v>
      </c>
    </row>
    <row r="1783" spans="10:10" x14ac:dyDescent="0.25">
      <c r="J1783" s="1">
        <v>1783</v>
      </c>
    </row>
    <row r="1784" spans="10:10" x14ac:dyDescent="0.25">
      <c r="J1784" s="1">
        <v>1784</v>
      </c>
    </row>
    <row r="1785" spans="10:10" x14ac:dyDescent="0.25">
      <c r="J1785" s="1">
        <v>1785</v>
      </c>
    </row>
    <row r="1786" spans="10:10" x14ac:dyDescent="0.25">
      <c r="J1786" s="1">
        <v>1786</v>
      </c>
    </row>
    <row r="1787" spans="10:10" x14ac:dyDescent="0.25">
      <c r="J1787" s="1">
        <v>1787</v>
      </c>
    </row>
    <row r="1788" spans="10:10" x14ac:dyDescent="0.25">
      <c r="J1788" s="1">
        <v>1788</v>
      </c>
    </row>
    <row r="1789" spans="10:10" x14ac:dyDescent="0.25">
      <c r="J1789" s="1">
        <v>1789</v>
      </c>
    </row>
    <row r="1790" spans="10:10" x14ac:dyDescent="0.25">
      <c r="J1790" s="1">
        <v>1790</v>
      </c>
    </row>
    <row r="1791" spans="10:10" x14ac:dyDescent="0.25">
      <c r="J1791" s="1">
        <v>1791</v>
      </c>
    </row>
    <row r="1792" spans="10:10" x14ac:dyDescent="0.25">
      <c r="J1792" s="1">
        <v>1792</v>
      </c>
    </row>
    <row r="1793" spans="10:10" x14ac:dyDescent="0.25">
      <c r="J1793" s="1">
        <v>1793</v>
      </c>
    </row>
    <row r="1794" spans="10:10" x14ac:dyDescent="0.25">
      <c r="J1794" s="1">
        <v>1794</v>
      </c>
    </row>
    <row r="1795" spans="10:10" x14ac:dyDescent="0.25">
      <c r="J1795" s="1">
        <v>1795</v>
      </c>
    </row>
    <row r="1796" spans="10:10" x14ac:dyDescent="0.25">
      <c r="J1796" s="1">
        <v>1796</v>
      </c>
    </row>
    <row r="1797" spans="10:10" x14ac:dyDescent="0.25">
      <c r="J1797" s="1">
        <v>1797</v>
      </c>
    </row>
    <row r="1798" spans="10:10" x14ac:dyDescent="0.25">
      <c r="J1798" s="1">
        <v>1798</v>
      </c>
    </row>
    <row r="1799" spans="10:10" x14ac:dyDescent="0.25">
      <c r="J1799" s="1">
        <v>1799</v>
      </c>
    </row>
    <row r="1800" spans="10:10" x14ac:dyDescent="0.25">
      <c r="J1800" s="1">
        <v>1800</v>
      </c>
    </row>
    <row r="1801" spans="10:10" x14ac:dyDescent="0.25">
      <c r="J1801" s="1">
        <v>1801</v>
      </c>
    </row>
    <row r="1802" spans="10:10" x14ac:dyDescent="0.25">
      <c r="J1802" s="1">
        <v>1802</v>
      </c>
    </row>
    <row r="1803" spans="10:10" x14ac:dyDescent="0.25">
      <c r="J1803" s="1">
        <v>1803</v>
      </c>
    </row>
    <row r="1804" spans="10:10" x14ac:dyDescent="0.25">
      <c r="J1804" s="1">
        <v>1804</v>
      </c>
    </row>
    <row r="1805" spans="10:10" x14ac:dyDescent="0.25">
      <c r="J1805" s="1">
        <v>1805</v>
      </c>
    </row>
    <row r="1806" spans="10:10" x14ac:dyDescent="0.25">
      <c r="J1806" s="1">
        <v>1806</v>
      </c>
    </row>
    <row r="1807" spans="10:10" x14ac:dyDescent="0.25">
      <c r="J1807" s="1">
        <v>1807</v>
      </c>
    </row>
    <row r="1808" spans="10:10" x14ac:dyDescent="0.25">
      <c r="J1808" s="1">
        <v>1808</v>
      </c>
    </row>
    <row r="1809" spans="10:10" x14ac:dyDescent="0.25">
      <c r="J1809" s="1">
        <v>1809</v>
      </c>
    </row>
    <row r="1810" spans="10:10" x14ac:dyDescent="0.25">
      <c r="J1810" s="1">
        <v>1810</v>
      </c>
    </row>
    <row r="1811" spans="10:10" x14ac:dyDescent="0.25">
      <c r="J1811" s="1">
        <v>1811</v>
      </c>
    </row>
    <row r="1812" spans="10:10" x14ac:dyDescent="0.25">
      <c r="J1812" s="1">
        <v>1812</v>
      </c>
    </row>
    <row r="1813" spans="10:10" x14ac:dyDescent="0.25">
      <c r="J1813" s="1">
        <v>1813</v>
      </c>
    </row>
    <row r="1814" spans="10:10" x14ac:dyDescent="0.25">
      <c r="J1814" s="1">
        <v>1814</v>
      </c>
    </row>
    <row r="1815" spans="10:10" x14ac:dyDescent="0.25">
      <c r="J1815" s="1">
        <v>1815</v>
      </c>
    </row>
    <row r="1816" spans="10:10" x14ac:dyDescent="0.25">
      <c r="J1816" s="1">
        <v>1816</v>
      </c>
    </row>
    <row r="1817" spans="10:10" x14ac:dyDescent="0.25">
      <c r="J1817" s="1">
        <v>1817</v>
      </c>
    </row>
    <row r="1818" spans="10:10" x14ac:dyDescent="0.25">
      <c r="J1818" s="1">
        <v>1818</v>
      </c>
    </row>
    <row r="1819" spans="10:10" x14ac:dyDescent="0.25">
      <c r="J1819" s="1">
        <v>1819</v>
      </c>
    </row>
    <row r="1820" spans="10:10" x14ac:dyDescent="0.25">
      <c r="J1820" s="1">
        <v>1820</v>
      </c>
    </row>
    <row r="1821" spans="10:10" x14ac:dyDescent="0.25">
      <c r="J1821" s="1">
        <v>1821</v>
      </c>
    </row>
    <row r="1822" spans="10:10" x14ac:dyDescent="0.25">
      <c r="J1822" s="1">
        <v>1822</v>
      </c>
    </row>
    <row r="1823" spans="10:10" x14ac:dyDescent="0.25">
      <c r="J1823" s="1">
        <v>1823</v>
      </c>
    </row>
    <row r="1824" spans="10:10" x14ac:dyDescent="0.25">
      <c r="J1824" s="1">
        <v>1824</v>
      </c>
    </row>
    <row r="1825" spans="10:10" x14ac:dyDescent="0.25">
      <c r="J1825" s="1">
        <v>1825</v>
      </c>
    </row>
    <row r="1826" spans="10:10" x14ac:dyDescent="0.25">
      <c r="J1826" s="1">
        <v>1826</v>
      </c>
    </row>
    <row r="1827" spans="10:10" x14ac:dyDescent="0.25">
      <c r="J1827" s="1">
        <v>1827</v>
      </c>
    </row>
    <row r="1828" spans="10:10" x14ac:dyDescent="0.25">
      <c r="J1828" s="1">
        <v>1828</v>
      </c>
    </row>
    <row r="1829" spans="10:10" x14ac:dyDescent="0.25">
      <c r="J1829" s="1">
        <v>1829</v>
      </c>
    </row>
    <row r="1830" spans="10:10" x14ac:dyDescent="0.25">
      <c r="J1830" s="1">
        <v>1830</v>
      </c>
    </row>
    <row r="1831" spans="10:10" x14ac:dyDescent="0.25">
      <c r="J1831" s="1">
        <v>1831</v>
      </c>
    </row>
    <row r="1832" spans="10:10" x14ac:dyDescent="0.25">
      <c r="J1832" s="1">
        <v>1832</v>
      </c>
    </row>
    <row r="1833" spans="10:10" x14ac:dyDescent="0.25">
      <c r="J1833" s="1">
        <v>1833</v>
      </c>
    </row>
    <row r="1834" spans="10:10" x14ac:dyDescent="0.25">
      <c r="J1834" s="1">
        <v>1834</v>
      </c>
    </row>
    <row r="1835" spans="10:10" x14ac:dyDescent="0.25">
      <c r="J1835" s="1">
        <v>1835</v>
      </c>
    </row>
    <row r="1836" spans="10:10" x14ac:dyDescent="0.25">
      <c r="J1836" s="1">
        <v>1836</v>
      </c>
    </row>
    <row r="1837" spans="10:10" x14ac:dyDescent="0.25">
      <c r="J1837" s="1">
        <v>1837</v>
      </c>
    </row>
    <row r="1838" spans="10:10" x14ac:dyDescent="0.25">
      <c r="J1838" s="1">
        <v>1838</v>
      </c>
    </row>
    <row r="1839" spans="10:10" x14ac:dyDescent="0.25">
      <c r="J1839" s="1">
        <v>1839</v>
      </c>
    </row>
    <row r="1840" spans="10:10" x14ac:dyDescent="0.25">
      <c r="J1840" s="1">
        <v>1840</v>
      </c>
    </row>
    <row r="1841" spans="10:10" x14ac:dyDescent="0.25">
      <c r="J1841" s="1">
        <v>1841</v>
      </c>
    </row>
    <row r="1842" spans="10:10" x14ac:dyDescent="0.25">
      <c r="J1842" s="1">
        <v>1842</v>
      </c>
    </row>
    <row r="1843" spans="10:10" x14ac:dyDescent="0.25">
      <c r="J1843" s="1">
        <v>1843</v>
      </c>
    </row>
    <row r="1844" spans="10:10" x14ac:dyDescent="0.25">
      <c r="J1844" s="1">
        <v>1844</v>
      </c>
    </row>
    <row r="1845" spans="10:10" x14ac:dyDescent="0.25">
      <c r="J1845" s="1">
        <v>1845</v>
      </c>
    </row>
    <row r="1846" spans="10:10" x14ac:dyDescent="0.25">
      <c r="J1846" s="1">
        <v>1846</v>
      </c>
    </row>
    <row r="1847" spans="10:10" x14ac:dyDescent="0.25">
      <c r="J1847" s="1">
        <v>1847</v>
      </c>
    </row>
    <row r="1848" spans="10:10" x14ac:dyDescent="0.25">
      <c r="J1848" s="1">
        <v>1848</v>
      </c>
    </row>
    <row r="1849" spans="10:10" x14ac:dyDescent="0.25">
      <c r="J1849" s="1">
        <v>1849</v>
      </c>
    </row>
    <row r="1850" spans="10:10" x14ac:dyDescent="0.25">
      <c r="J1850" s="1">
        <v>1850</v>
      </c>
    </row>
    <row r="1851" spans="10:10" x14ac:dyDescent="0.25">
      <c r="J1851" s="1">
        <v>1851</v>
      </c>
    </row>
    <row r="1852" spans="10:10" x14ac:dyDescent="0.25">
      <c r="J1852" s="1">
        <v>1852</v>
      </c>
    </row>
    <row r="1853" spans="10:10" x14ac:dyDescent="0.25">
      <c r="J1853" s="1">
        <v>1853</v>
      </c>
    </row>
    <row r="1854" spans="10:10" x14ac:dyDescent="0.25">
      <c r="J1854" s="1">
        <v>1854</v>
      </c>
    </row>
    <row r="1855" spans="10:10" x14ac:dyDescent="0.25">
      <c r="J1855" s="1">
        <v>1855</v>
      </c>
    </row>
    <row r="1856" spans="10:10" x14ac:dyDescent="0.25">
      <c r="J1856" s="1">
        <v>1856</v>
      </c>
    </row>
    <row r="1857" spans="10:10" x14ac:dyDescent="0.25">
      <c r="J1857" s="1">
        <v>1857</v>
      </c>
    </row>
    <row r="1858" spans="10:10" x14ac:dyDescent="0.25">
      <c r="J1858" s="1">
        <v>1858</v>
      </c>
    </row>
    <row r="1859" spans="10:10" x14ac:dyDescent="0.25">
      <c r="J1859" s="1">
        <v>1859</v>
      </c>
    </row>
    <row r="1860" spans="10:10" x14ac:dyDescent="0.25">
      <c r="J1860" s="1">
        <v>1860</v>
      </c>
    </row>
    <row r="1861" spans="10:10" x14ac:dyDescent="0.25">
      <c r="J1861" s="1">
        <v>1861</v>
      </c>
    </row>
    <row r="1862" spans="10:10" x14ac:dyDescent="0.25">
      <c r="J1862" s="1">
        <v>1862</v>
      </c>
    </row>
    <row r="1863" spans="10:10" x14ac:dyDescent="0.25">
      <c r="J1863" s="1">
        <v>1863</v>
      </c>
    </row>
    <row r="1864" spans="10:10" x14ac:dyDescent="0.25">
      <c r="J1864" s="1">
        <v>1864</v>
      </c>
    </row>
    <row r="1865" spans="10:10" x14ac:dyDescent="0.25">
      <c r="J1865" s="1">
        <v>1865</v>
      </c>
    </row>
    <row r="1866" spans="10:10" x14ac:dyDescent="0.25">
      <c r="J1866" s="1">
        <v>1866</v>
      </c>
    </row>
    <row r="1867" spans="10:10" x14ac:dyDescent="0.25">
      <c r="J1867" s="1">
        <v>1867</v>
      </c>
    </row>
    <row r="1868" spans="10:10" x14ac:dyDescent="0.25">
      <c r="J1868" s="1">
        <v>1868</v>
      </c>
    </row>
    <row r="1869" spans="10:10" x14ac:dyDescent="0.25">
      <c r="J1869" s="1">
        <v>1869</v>
      </c>
    </row>
    <row r="1870" spans="10:10" x14ac:dyDescent="0.25">
      <c r="J1870" s="1">
        <v>1870</v>
      </c>
    </row>
    <row r="1871" spans="10:10" x14ac:dyDescent="0.25">
      <c r="J1871" s="1">
        <v>1871</v>
      </c>
    </row>
    <row r="1872" spans="10:10" x14ac:dyDescent="0.25">
      <c r="J1872" s="1">
        <v>1872</v>
      </c>
    </row>
    <row r="1873" spans="10:10" x14ac:dyDescent="0.25">
      <c r="J1873" s="1">
        <v>1873</v>
      </c>
    </row>
    <row r="1874" spans="10:10" x14ac:dyDescent="0.25">
      <c r="J1874" s="1">
        <v>1874</v>
      </c>
    </row>
    <row r="1875" spans="10:10" x14ac:dyDescent="0.25">
      <c r="J1875" s="1">
        <v>1875</v>
      </c>
    </row>
    <row r="1876" spans="10:10" x14ac:dyDescent="0.25">
      <c r="J1876" s="1">
        <v>1876</v>
      </c>
    </row>
    <row r="1877" spans="10:10" x14ac:dyDescent="0.25">
      <c r="J1877" s="1">
        <v>1877</v>
      </c>
    </row>
    <row r="1878" spans="10:10" x14ac:dyDescent="0.25">
      <c r="J1878" s="1">
        <v>1878</v>
      </c>
    </row>
    <row r="1879" spans="10:10" x14ac:dyDescent="0.25">
      <c r="J1879" s="1">
        <v>1879</v>
      </c>
    </row>
    <row r="1880" spans="10:10" x14ac:dyDescent="0.25">
      <c r="J1880" s="1">
        <v>1880</v>
      </c>
    </row>
    <row r="1881" spans="10:10" x14ac:dyDescent="0.25">
      <c r="J1881" s="1">
        <v>1881</v>
      </c>
    </row>
    <row r="1882" spans="10:10" x14ac:dyDescent="0.25">
      <c r="J1882" s="1">
        <v>1882</v>
      </c>
    </row>
    <row r="1883" spans="10:10" x14ac:dyDescent="0.25">
      <c r="J1883" s="1">
        <v>1883</v>
      </c>
    </row>
    <row r="1884" spans="10:10" x14ac:dyDescent="0.25">
      <c r="J1884" s="1">
        <v>1884</v>
      </c>
    </row>
    <row r="1885" spans="10:10" x14ac:dyDescent="0.25">
      <c r="J1885" s="1">
        <v>1885</v>
      </c>
    </row>
    <row r="1886" spans="10:10" x14ac:dyDescent="0.25">
      <c r="J1886" s="1">
        <v>1886</v>
      </c>
    </row>
    <row r="1887" spans="10:10" x14ac:dyDescent="0.25">
      <c r="J1887" s="1">
        <v>1887</v>
      </c>
    </row>
    <row r="1888" spans="10:10" x14ac:dyDescent="0.25">
      <c r="J1888" s="1">
        <v>1888</v>
      </c>
    </row>
    <row r="1889" spans="10:10" x14ac:dyDescent="0.25">
      <c r="J1889" s="1">
        <v>1889</v>
      </c>
    </row>
    <row r="1890" spans="10:10" x14ac:dyDescent="0.25">
      <c r="J1890" s="1">
        <v>1890</v>
      </c>
    </row>
    <row r="1891" spans="10:10" x14ac:dyDescent="0.25">
      <c r="J1891" s="1">
        <v>1891</v>
      </c>
    </row>
    <row r="1892" spans="10:10" x14ac:dyDescent="0.25">
      <c r="J1892" s="1">
        <v>1892</v>
      </c>
    </row>
    <row r="1893" spans="10:10" x14ac:dyDescent="0.25">
      <c r="J1893" s="1">
        <v>1893</v>
      </c>
    </row>
    <row r="1894" spans="10:10" x14ac:dyDescent="0.25">
      <c r="J1894" s="1">
        <v>1894</v>
      </c>
    </row>
    <row r="1895" spans="10:10" x14ac:dyDescent="0.25">
      <c r="J1895" s="1">
        <v>1895</v>
      </c>
    </row>
    <row r="1896" spans="10:10" x14ac:dyDescent="0.25">
      <c r="J1896" s="1">
        <v>1896</v>
      </c>
    </row>
    <row r="1897" spans="10:10" x14ac:dyDescent="0.25">
      <c r="J1897" s="1">
        <v>1897</v>
      </c>
    </row>
    <row r="1898" spans="10:10" x14ac:dyDescent="0.25">
      <c r="J1898" s="1">
        <v>1898</v>
      </c>
    </row>
    <row r="1899" spans="10:10" x14ac:dyDescent="0.25">
      <c r="J1899" s="1">
        <v>1899</v>
      </c>
    </row>
    <row r="1900" spans="10:10" x14ac:dyDescent="0.25">
      <c r="J1900" s="1">
        <v>1900</v>
      </c>
    </row>
    <row r="1901" spans="10:10" x14ac:dyDescent="0.25">
      <c r="J1901" s="1">
        <v>1901</v>
      </c>
    </row>
    <row r="1902" spans="10:10" x14ac:dyDescent="0.25">
      <c r="J1902" s="1">
        <v>1902</v>
      </c>
    </row>
    <row r="1903" spans="10:10" x14ac:dyDescent="0.25">
      <c r="J1903" s="1">
        <v>1903</v>
      </c>
    </row>
    <row r="1904" spans="10:10" x14ac:dyDescent="0.25">
      <c r="J1904" s="1">
        <v>1904</v>
      </c>
    </row>
    <row r="1905" spans="10:10" x14ac:dyDescent="0.25">
      <c r="J1905" s="1">
        <v>1905</v>
      </c>
    </row>
    <row r="1906" spans="10:10" x14ac:dyDescent="0.25">
      <c r="J1906" s="1">
        <v>1906</v>
      </c>
    </row>
    <row r="1907" spans="10:10" x14ac:dyDescent="0.25">
      <c r="J1907" s="1">
        <v>1907</v>
      </c>
    </row>
    <row r="1908" spans="10:10" x14ac:dyDescent="0.25">
      <c r="J1908" s="1">
        <v>1908</v>
      </c>
    </row>
    <row r="1909" spans="10:10" x14ac:dyDescent="0.25">
      <c r="J1909" s="1">
        <v>1909</v>
      </c>
    </row>
    <row r="1910" spans="10:10" x14ac:dyDescent="0.25">
      <c r="J1910" s="1">
        <v>1910</v>
      </c>
    </row>
    <row r="1911" spans="10:10" x14ac:dyDescent="0.25">
      <c r="J1911" s="1">
        <v>1911</v>
      </c>
    </row>
    <row r="1912" spans="10:10" x14ac:dyDescent="0.25">
      <c r="J1912" s="1">
        <v>1912</v>
      </c>
    </row>
    <row r="1913" spans="10:10" x14ac:dyDescent="0.25">
      <c r="J1913" s="1">
        <v>1913</v>
      </c>
    </row>
    <row r="1914" spans="10:10" x14ac:dyDescent="0.25">
      <c r="J1914" s="1">
        <v>1914</v>
      </c>
    </row>
    <row r="1915" spans="10:10" x14ac:dyDescent="0.25">
      <c r="J1915" s="1">
        <v>1915</v>
      </c>
    </row>
    <row r="1916" spans="10:10" x14ac:dyDescent="0.25">
      <c r="J1916" s="1">
        <v>1916</v>
      </c>
    </row>
    <row r="1917" spans="10:10" x14ac:dyDescent="0.25">
      <c r="J1917" s="1">
        <v>1917</v>
      </c>
    </row>
    <row r="1918" spans="10:10" x14ac:dyDescent="0.25">
      <c r="J1918" s="1">
        <v>1918</v>
      </c>
    </row>
    <row r="1919" spans="10:10" x14ac:dyDescent="0.25">
      <c r="J1919" s="1">
        <v>1919</v>
      </c>
    </row>
    <row r="1920" spans="10:10" x14ac:dyDescent="0.25">
      <c r="J1920" s="1">
        <v>1920</v>
      </c>
    </row>
    <row r="1921" spans="10:10" x14ac:dyDescent="0.25">
      <c r="J1921" s="1">
        <v>1921</v>
      </c>
    </row>
    <row r="1922" spans="10:10" x14ac:dyDescent="0.25">
      <c r="J1922" s="1">
        <v>1922</v>
      </c>
    </row>
    <row r="1923" spans="10:10" x14ac:dyDescent="0.25">
      <c r="J1923" s="1">
        <v>1923</v>
      </c>
    </row>
    <row r="1924" spans="10:10" x14ac:dyDescent="0.25">
      <c r="J1924" s="1">
        <v>1924</v>
      </c>
    </row>
    <row r="1925" spans="10:10" x14ac:dyDescent="0.25">
      <c r="J1925" s="1">
        <v>1925</v>
      </c>
    </row>
    <row r="1926" spans="10:10" x14ac:dyDescent="0.25">
      <c r="J1926" s="1">
        <v>1926</v>
      </c>
    </row>
    <row r="1927" spans="10:10" x14ac:dyDescent="0.25">
      <c r="J1927" s="1">
        <v>1927</v>
      </c>
    </row>
    <row r="1928" spans="10:10" x14ac:dyDescent="0.25">
      <c r="J1928" s="1">
        <v>1928</v>
      </c>
    </row>
    <row r="1929" spans="10:10" x14ac:dyDescent="0.25">
      <c r="J1929" s="1">
        <v>1929</v>
      </c>
    </row>
    <row r="1930" spans="10:10" x14ac:dyDescent="0.25">
      <c r="J1930" s="1">
        <v>1930</v>
      </c>
    </row>
    <row r="1931" spans="10:10" x14ac:dyDescent="0.25">
      <c r="J1931" s="1">
        <v>1931</v>
      </c>
    </row>
    <row r="1932" spans="10:10" x14ac:dyDescent="0.25">
      <c r="J1932" s="1">
        <v>1932</v>
      </c>
    </row>
    <row r="1933" spans="10:10" x14ac:dyDescent="0.25">
      <c r="J1933" s="1">
        <v>1933</v>
      </c>
    </row>
    <row r="1934" spans="10:10" x14ac:dyDescent="0.25">
      <c r="J1934" s="1">
        <v>1934</v>
      </c>
    </row>
    <row r="1935" spans="10:10" x14ac:dyDescent="0.25">
      <c r="J1935" s="1">
        <v>1935</v>
      </c>
    </row>
    <row r="1936" spans="10:10" x14ac:dyDescent="0.25">
      <c r="J1936" s="1">
        <v>1936</v>
      </c>
    </row>
    <row r="1937" spans="10:10" x14ac:dyDescent="0.25">
      <c r="J1937" s="1">
        <v>1937</v>
      </c>
    </row>
    <row r="1938" spans="10:10" x14ac:dyDescent="0.25">
      <c r="J1938" s="1">
        <v>1938</v>
      </c>
    </row>
    <row r="1939" spans="10:10" x14ac:dyDescent="0.25">
      <c r="J1939" s="1">
        <v>1939</v>
      </c>
    </row>
    <row r="1940" spans="10:10" x14ac:dyDescent="0.25">
      <c r="J1940" s="1">
        <v>1940</v>
      </c>
    </row>
    <row r="1941" spans="10:10" x14ac:dyDescent="0.25">
      <c r="J1941" s="1">
        <v>1941</v>
      </c>
    </row>
    <row r="1942" spans="10:10" x14ac:dyDescent="0.25">
      <c r="J1942" s="1">
        <v>1942</v>
      </c>
    </row>
    <row r="1943" spans="10:10" x14ac:dyDescent="0.25">
      <c r="J1943" s="1">
        <v>1943</v>
      </c>
    </row>
    <row r="1944" spans="10:10" x14ac:dyDescent="0.25">
      <c r="J1944" s="1">
        <v>1944</v>
      </c>
    </row>
    <row r="1945" spans="10:10" x14ac:dyDescent="0.25">
      <c r="J1945" s="1">
        <v>1945</v>
      </c>
    </row>
    <row r="1946" spans="10:10" x14ac:dyDescent="0.25">
      <c r="J1946" s="1">
        <v>1946</v>
      </c>
    </row>
    <row r="1947" spans="10:10" x14ac:dyDescent="0.25">
      <c r="J1947" s="1">
        <v>1947</v>
      </c>
    </row>
    <row r="1948" spans="10:10" x14ac:dyDescent="0.25">
      <c r="J1948" s="1">
        <v>1948</v>
      </c>
    </row>
    <row r="1949" spans="10:10" x14ac:dyDescent="0.25">
      <c r="J1949" s="1">
        <v>1949</v>
      </c>
    </row>
    <row r="1950" spans="10:10" x14ac:dyDescent="0.25">
      <c r="J1950" s="1">
        <v>1950</v>
      </c>
    </row>
    <row r="1951" spans="10:10" x14ac:dyDescent="0.25">
      <c r="J1951" s="1">
        <v>1951</v>
      </c>
    </row>
    <row r="1952" spans="10:10" x14ac:dyDescent="0.25">
      <c r="J1952" s="1">
        <v>1952</v>
      </c>
    </row>
    <row r="1953" spans="10:10" x14ac:dyDescent="0.25">
      <c r="J1953" s="1">
        <v>1953</v>
      </c>
    </row>
    <row r="1954" spans="10:10" x14ac:dyDescent="0.25">
      <c r="J1954" s="1">
        <v>1954</v>
      </c>
    </row>
    <row r="1955" spans="10:10" x14ac:dyDescent="0.25">
      <c r="J1955" s="1">
        <v>1955</v>
      </c>
    </row>
    <row r="1956" spans="10:10" x14ac:dyDescent="0.25">
      <c r="J1956" s="1">
        <v>1956</v>
      </c>
    </row>
    <row r="1957" spans="10:10" x14ac:dyDescent="0.25">
      <c r="J1957" s="1">
        <v>1957</v>
      </c>
    </row>
    <row r="1958" spans="10:10" x14ac:dyDescent="0.25">
      <c r="J1958" s="1">
        <v>1958</v>
      </c>
    </row>
    <row r="1959" spans="10:10" x14ac:dyDescent="0.25">
      <c r="J1959" s="1">
        <v>1959</v>
      </c>
    </row>
    <row r="1960" spans="10:10" x14ac:dyDescent="0.25">
      <c r="J1960" s="1">
        <v>1960</v>
      </c>
    </row>
    <row r="1961" spans="10:10" x14ac:dyDescent="0.25">
      <c r="J1961" s="1">
        <v>1961</v>
      </c>
    </row>
    <row r="1962" spans="10:10" x14ac:dyDescent="0.25">
      <c r="J1962" s="1">
        <v>1962</v>
      </c>
    </row>
    <row r="1963" spans="10:10" x14ac:dyDescent="0.25">
      <c r="J1963" s="1">
        <v>1963</v>
      </c>
    </row>
    <row r="1964" spans="10:10" x14ac:dyDescent="0.25">
      <c r="J1964" s="1">
        <v>1964</v>
      </c>
    </row>
    <row r="1965" spans="10:10" x14ac:dyDescent="0.25">
      <c r="J1965" s="1">
        <v>1965</v>
      </c>
    </row>
    <row r="1966" spans="10:10" x14ac:dyDescent="0.25">
      <c r="J1966" s="1">
        <v>1966</v>
      </c>
    </row>
    <row r="1967" spans="10:10" x14ac:dyDescent="0.25">
      <c r="J1967" s="1">
        <v>1967</v>
      </c>
    </row>
    <row r="1968" spans="10:10" x14ac:dyDescent="0.25">
      <c r="J1968" s="1">
        <v>1968</v>
      </c>
    </row>
    <row r="1969" spans="10:10" x14ac:dyDescent="0.25">
      <c r="J1969" s="1">
        <v>1969</v>
      </c>
    </row>
    <row r="1970" spans="10:10" x14ac:dyDescent="0.25">
      <c r="J1970" s="1">
        <v>1970</v>
      </c>
    </row>
    <row r="1971" spans="10:10" x14ac:dyDescent="0.25">
      <c r="J1971" s="1">
        <v>1971</v>
      </c>
    </row>
    <row r="1972" spans="10:10" x14ac:dyDescent="0.25">
      <c r="J1972" s="1">
        <v>1972</v>
      </c>
    </row>
    <row r="1973" spans="10:10" x14ac:dyDescent="0.25">
      <c r="J1973" s="1">
        <v>1973</v>
      </c>
    </row>
    <row r="1974" spans="10:10" x14ac:dyDescent="0.25">
      <c r="J1974" s="1">
        <v>1974</v>
      </c>
    </row>
    <row r="1975" spans="10:10" x14ac:dyDescent="0.25">
      <c r="J1975" s="1">
        <v>1975</v>
      </c>
    </row>
    <row r="1976" spans="10:10" x14ac:dyDescent="0.25">
      <c r="J1976" s="1">
        <v>1976</v>
      </c>
    </row>
    <row r="1977" spans="10:10" x14ac:dyDescent="0.25">
      <c r="J1977" s="1">
        <v>1977</v>
      </c>
    </row>
    <row r="1978" spans="10:10" x14ac:dyDescent="0.25">
      <c r="J1978" s="1">
        <v>1978</v>
      </c>
    </row>
    <row r="1979" spans="10:10" x14ac:dyDescent="0.25">
      <c r="J1979" s="1">
        <v>1979</v>
      </c>
    </row>
    <row r="1980" spans="10:10" x14ac:dyDescent="0.25">
      <c r="J1980" s="1">
        <v>1980</v>
      </c>
    </row>
    <row r="1981" spans="10:10" x14ac:dyDescent="0.25">
      <c r="J1981" s="1">
        <v>1981</v>
      </c>
    </row>
    <row r="1982" spans="10:10" x14ac:dyDescent="0.25">
      <c r="J1982" s="1">
        <v>1982</v>
      </c>
    </row>
    <row r="1983" spans="10:10" x14ac:dyDescent="0.25">
      <c r="J1983" s="1">
        <v>1983</v>
      </c>
    </row>
    <row r="1984" spans="10:10" x14ac:dyDescent="0.25">
      <c r="J1984" s="1">
        <v>1984</v>
      </c>
    </row>
    <row r="1985" spans="10:10" x14ac:dyDescent="0.25">
      <c r="J1985" s="1">
        <v>1985</v>
      </c>
    </row>
    <row r="1986" spans="10:10" x14ac:dyDescent="0.25">
      <c r="J1986" s="1">
        <v>1986</v>
      </c>
    </row>
    <row r="1987" spans="10:10" x14ac:dyDescent="0.25">
      <c r="J1987" s="1">
        <v>1987</v>
      </c>
    </row>
    <row r="1988" spans="10:10" x14ac:dyDescent="0.25">
      <c r="J1988" s="1">
        <v>1988</v>
      </c>
    </row>
    <row r="1989" spans="10:10" x14ac:dyDescent="0.25">
      <c r="J1989" s="1">
        <v>1989</v>
      </c>
    </row>
    <row r="1990" spans="10:10" x14ac:dyDescent="0.25">
      <c r="J1990" s="1">
        <v>1990</v>
      </c>
    </row>
    <row r="1991" spans="10:10" x14ac:dyDescent="0.25">
      <c r="J1991" s="1">
        <v>1991</v>
      </c>
    </row>
    <row r="1992" spans="10:10" x14ac:dyDescent="0.25">
      <c r="J1992" s="1">
        <v>1992</v>
      </c>
    </row>
    <row r="1993" spans="10:10" x14ac:dyDescent="0.25">
      <c r="J1993" s="1">
        <v>1993</v>
      </c>
    </row>
    <row r="1994" spans="10:10" x14ac:dyDescent="0.25">
      <c r="J1994" s="1">
        <v>1994</v>
      </c>
    </row>
    <row r="1995" spans="10:10" x14ac:dyDescent="0.25">
      <c r="J1995" s="1">
        <v>1995</v>
      </c>
    </row>
    <row r="1996" spans="10:10" x14ac:dyDescent="0.25">
      <c r="J1996" s="1">
        <v>1996</v>
      </c>
    </row>
    <row r="1997" spans="10:10" x14ac:dyDescent="0.25">
      <c r="J1997" s="1">
        <v>1997</v>
      </c>
    </row>
    <row r="1998" spans="10:10" x14ac:dyDescent="0.25">
      <c r="J1998" s="1">
        <v>1998</v>
      </c>
    </row>
    <row r="1999" spans="10:10" x14ac:dyDescent="0.25">
      <c r="J1999" s="1">
        <v>1999</v>
      </c>
    </row>
    <row r="2000" spans="10:10" x14ac:dyDescent="0.25">
      <c r="J2000" s="1">
        <v>2000</v>
      </c>
    </row>
    <row r="2001" spans="10:10" x14ac:dyDescent="0.25">
      <c r="J2001" s="1">
        <v>2001</v>
      </c>
    </row>
    <row r="2002" spans="10:10" x14ac:dyDescent="0.25">
      <c r="J2002" s="1">
        <v>2002</v>
      </c>
    </row>
    <row r="2003" spans="10:10" x14ac:dyDescent="0.25">
      <c r="J2003" s="1">
        <v>2003</v>
      </c>
    </row>
    <row r="2004" spans="10:10" x14ac:dyDescent="0.25">
      <c r="J2004" s="1">
        <v>2004</v>
      </c>
    </row>
    <row r="2005" spans="10:10" x14ac:dyDescent="0.25">
      <c r="J2005" s="1">
        <v>2005</v>
      </c>
    </row>
    <row r="2006" spans="10:10" x14ac:dyDescent="0.25">
      <c r="J2006" s="1">
        <v>2006</v>
      </c>
    </row>
    <row r="2007" spans="10:10" x14ac:dyDescent="0.25">
      <c r="J2007" s="1">
        <v>2007</v>
      </c>
    </row>
    <row r="2008" spans="10:10" x14ac:dyDescent="0.25">
      <c r="J2008" s="1">
        <v>2008</v>
      </c>
    </row>
    <row r="2009" spans="10:10" x14ac:dyDescent="0.25">
      <c r="J2009" s="1">
        <v>2009</v>
      </c>
    </row>
    <row r="2010" spans="10:10" x14ac:dyDescent="0.25">
      <c r="J2010" s="1">
        <v>2010</v>
      </c>
    </row>
    <row r="2011" spans="10:10" x14ac:dyDescent="0.25">
      <c r="J2011" s="1">
        <v>2011</v>
      </c>
    </row>
    <row r="2012" spans="10:10" x14ac:dyDescent="0.25">
      <c r="J2012" s="1">
        <v>2012</v>
      </c>
    </row>
    <row r="2013" spans="10:10" x14ac:dyDescent="0.25">
      <c r="J2013" s="1">
        <v>2013</v>
      </c>
    </row>
    <row r="2014" spans="10:10" x14ac:dyDescent="0.25">
      <c r="J2014" s="1">
        <v>2014</v>
      </c>
    </row>
    <row r="2015" spans="10:10" x14ac:dyDescent="0.25">
      <c r="J2015" s="1">
        <v>2015</v>
      </c>
    </row>
    <row r="2016" spans="10:10" x14ac:dyDescent="0.25">
      <c r="J2016" s="1">
        <v>2016</v>
      </c>
    </row>
    <row r="2017" spans="10:10" x14ac:dyDescent="0.25">
      <c r="J2017" s="1">
        <v>2017</v>
      </c>
    </row>
    <row r="2018" spans="10:10" x14ac:dyDescent="0.25">
      <c r="J2018" s="1">
        <v>2018</v>
      </c>
    </row>
    <row r="2019" spans="10:10" x14ac:dyDescent="0.25">
      <c r="J2019" s="1">
        <v>2019</v>
      </c>
    </row>
    <row r="2020" spans="10:10" x14ac:dyDescent="0.25">
      <c r="J2020" s="1">
        <v>2020</v>
      </c>
    </row>
    <row r="2021" spans="10:10" x14ac:dyDescent="0.25">
      <c r="J2021" s="1">
        <v>2021</v>
      </c>
    </row>
    <row r="2022" spans="10:10" x14ac:dyDescent="0.25">
      <c r="J2022" s="1">
        <v>2022</v>
      </c>
    </row>
    <row r="2023" spans="10:10" x14ac:dyDescent="0.25">
      <c r="J2023" s="1">
        <v>2023</v>
      </c>
    </row>
    <row r="2024" spans="10:10" x14ac:dyDescent="0.25">
      <c r="J2024" s="1">
        <v>2024</v>
      </c>
    </row>
    <row r="2025" spans="10:10" x14ac:dyDescent="0.25">
      <c r="J2025" s="1">
        <v>2025</v>
      </c>
    </row>
    <row r="2026" spans="10:10" x14ac:dyDescent="0.25">
      <c r="J2026" s="1">
        <v>2026</v>
      </c>
    </row>
    <row r="2027" spans="10:10" x14ac:dyDescent="0.25">
      <c r="J2027" s="1">
        <v>2027</v>
      </c>
    </row>
    <row r="2028" spans="10:10" x14ac:dyDescent="0.25">
      <c r="J2028" s="1">
        <v>2028</v>
      </c>
    </row>
    <row r="2029" spans="10:10" x14ac:dyDescent="0.25">
      <c r="J2029" s="1">
        <v>2029</v>
      </c>
    </row>
    <row r="2030" spans="10:10" x14ac:dyDescent="0.25">
      <c r="J2030" s="1">
        <v>2030</v>
      </c>
    </row>
    <row r="2031" spans="10:10" x14ac:dyDescent="0.25">
      <c r="J2031" s="1">
        <v>2031</v>
      </c>
    </row>
    <row r="2032" spans="10:10" x14ac:dyDescent="0.25">
      <c r="J2032" s="1">
        <v>2032</v>
      </c>
    </row>
    <row r="2033" spans="10:10" x14ac:dyDescent="0.25">
      <c r="J2033" s="1">
        <v>2033</v>
      </c>
    </row>
    <row r="2034" spans="10:10" x14ac:dyDescent="0.25">
      <c r="J2034" s="1">
        <v>2034</v>
      </c>
    </row>
    <row r="2035" spans="10:10" x14ac:dyDescent="0.25">
      <c r="J2035" s="1">
        <v>2035</v>
      </c>
    </row>
    <row r="2036" spans="10:10" x14ac:dyDescent="0.25">
      <c r="J2036" s="1">
        <v>2036</v>
      </c>
    </row>
    <row r="2037" spans="10:10" x14ac:dyDescent="0.25">
      <c r="J2037" s="1">
        <v>2037</v>
      </c>
    </row>
    <row r="2038" spans="10:10" x14ac:dyDescent="0.25">
      <c r="J2038" s="1">
        <v>2038</v>
      </c>
    </row>
    <row r="2039" spans="10:10" x14ac:dyDescent="0.25">
      <c r="J2039" s="1">
        <v>2039</v>
      </c>
    </row>
    <row r="2040" spans="10:10" x14ac:dyDescent="0.25">
      <c r="J2040" s="1">
        <v>2040</v>
      </c>
    </row>
    <row r="2041" spans="10:10" x14ac:dyDescent="0.25">
      <c r="J2041" s="1">
        <v>2041</v>
      </c>
    </row>
    <row r="2042" spans="10:10" x14ac:dyDescent="0.25">
      <c r="J2042" s="1">
        <v>2042</v>
      </c>
    </row>
    <row r="2043" spans="10:10" x14ac:dyDescent="0.25">
      <c r="J2043" s="1">
        <v>2043</v>
      </c>
    </row>
    <row r="2044" spans="10:10" x14ac:dyDescent="0.25">
      <c r="J2044" s="1">
        <v>2044</v>
      </c>
    </row>
    <row r="2045" spans="10:10" x14ac:dyDescent="0.25">
      <c r="J2045" s="1">
        <v>2045</v>
      </c>
    </row>
    <row r="2046" spans="10:10" x14ac:dyDescent="0.25">
      <c r="J2046" s="1">
        <v>2046</v>
      </c>
    </row>
    <row r="2047" spans="10:10" x14ac:dyDescent="0.25">
      <c r="J2047" s="1">
        <v>2047</v>
      </c>
    </row>
    <row r="2048" spans="10:10" x14ac:dyDescent="0.25">
      <c r="J2048" s="1">
        <v>2048</v>
      </c>
    </row>
    <row r="2049" spans="10:10" x14ac:dyDescent="0.25">
      <c r="J2049" s="1">
        <v>2049</v>
      </c>
    </row>
    <row r="2050" spans="10:10" x14ac:dyDescent="0.25">
      <c r="J2050" s="1">
        <v>2050</v>
      </c>
    </row>
    <row r="2051" spans="10:10" x14ac:dyDescent="0.25">
      <c r="J2051" s="1">
        <v>2051</v>
      </c>
    </row>
    <row r="2052" spans="10:10" x14ac:dyDescent="0.25">
      <c r="J2052" s="1">
        <v>2052</v>
      </c>
    </row>
    <row r="2053" spans="10:10" x14ac:dyDescent="0.25">
      <c r="J2053" s="1">
        <v>2053</v>
      </c>
    </row>
    <row r="2054" spans="10:10" x14ac:dyDescent="0.25">
      <c r="J2054" s="1">
        <v>2054</v>
      </c>
    </row>
    <row r="2055" spans="10:10" x14ac:dyDescent="0.25">
      <c r="J2055" s="1">
        <v>2055</v>
      </c>
    </row>
    <row r="2056" spans="10:10" x14ac:dyDescent="0.25">
      <c r="J2056" s="1">
        <v>2056</v>
      </c>
    </row>
    <row r="2057" spans="10:10" x14ac:dyDescent="0.25">
      <c r="J2057" s="1">
        <v>2057</v>
      </c>
    </row>
    <row r="2058" spans="10:10" x14ac:dyDescent="0.25">
      <c r="J2058" s="1">
        <v>2058</v>
      </c>
    </row>
    <row r="2059" spans="10:10" x14ac:dyDescent="0.25">
      <c r="J2059" s="1">
        <v>2059</v>
      </c>
    </row>
    <row r="2060" spans="10:10" x14ac:dyDescent="0.25">
      <c r="J2060" s="1">
        <v>2060</v>
      </c>
    </row>
    <row r="2061" spans="10:10" x14ac:dyDescent="0.25">
      <c r="J2061" s="1">
        <v>2061</v>
      </c>
    </row>
    <row r="2062" spans="10:10" x14ac:dyDescent="0.25">
      <c r="J2062" s="1">
        <v>2062</v>
      </c>
    </row>
    <row r="2063" spans="10:10" x14ac:dyDescent="0.25">
      <c r="J2063" s="1">
        <v>2063</v>
      </c>
    </row>
    <row r="2064" spans="10:10" x14ac:dyDescent="0.25">
      <c r="J2064" s="1">
        <v>2064</v>
      </c>
    </row>
    <row r="2065" spans="10:10" x14ac:dyDescent="0.25">
      <c r="J2065" s="1">
        <v>2065</v>
      </c>
    </row>
    <row r="2066" spans="10:10" x14ac:dyDescent="0.25">
      <c r="J2066" s="1">
        <v>2066</v>
      </c>
    </row>
    <row r="2067" spans="10:10" x14ac:dyDescent="0.25">
      <c r="J2067" s="1">
        <v>2067</v>
      </c>
    </row>
    <row r="2068" spans="10:10" x14ac:dyDescent="0.25">
      <c r="J2068" s="1">
        <v>2068</v>
      </c>
    </row>
    <row r="2069" spans="10:10" x14ac:dyDescent="0.25">
      <c r="J2069" s="1">
        <v>2069</v>
      </c>
    </row>
    <row r="2070" spans="10:10" x14ac:dyDescent="0.25">
      <c r="J2070" s="1">
        <v>2070</v>
      </c>
    </row>
    <row r="2071" spans="10:10" x14ac:dyDescent="0.25">
      <c r="J2071" s="1">
        <v>2071</v>
      </c>
    </row>
    <row r="2072" spans="10:10" x14ac:dyDescent="0.25">
      <c r="J2072" s="1">
        <v>2072</v>
      </c>
    </row>
    <row r="2073" spans="10:10" x14ac:dyDescent="0.25">
      <c r="J2073" s="1">
        <v>2073</v>
      </c>
    </row>
    <row r="2074" spans="10:10" x14ac:dyDescent="0.25">
      <c r="J2074" s="1">
        <v>2074</v>
      </c>
    </row>
    <row r="2075" spans="10:10" x14ac:dyDescent="0.25">
      <c r="J2075" s="1">
        <v>2075</v>
      </c>
    </row>
    <row r="2076" spans="10:10" x14ac:dyDescent="0.25">
      <c r="J2076" s="1">
        <v>2076</v>
      </c>
    </row>
    <row r="2077" spans="10:10" x14ac:dyDescent="0.25">
      <c r="J2077" s="1">
        <v>2077</v>
      </c>
    </row>
    <row r="2078" spans="10:10" x14ac:dyDescent="0.25">
      <c r="J2078" s="1">
        <v>2078</v>
      </c>
    </row>
    <row r="2079" spans="10:10" x14ac:dyDescent="0.25">
      <c r="J2079" s="1">
        <v>2079</v>
      </c>
    </row>
    <row r="2080" spans="10:10" x14ac:dyDescent="0.25">
      <c r="J2080" s="1">
        <v>2080</v>
      </c>
    </row>
    <row r="2081" spans="10:10" x14ac:dyDescent="0.25">
      <c r="J2081" s="1">
        <v>2081</v>
      </c>
    </row>
    <row r="2082" spans="10:10" x14ac:dyDescent="0.25">
      <c r="J2082" s="1">
        <v>2082</v>
      </c>
    </row>
    <row r="2083" spans="10:10" x14ac:dyDescent="0.25">
      <c r="J2083" s="1">
        <v>2083</v>
      </c>
    </row>
    <row r="2084" spans="10:10" x14ac:dyDescent="0.25">
      <c r="J2084" s="1">
        <v>2084</v>
      </c>
    </row>
    <row r="2085" spans="10:10" x14ac:dyDescent="0.25">
      <c r="J2085" s="1">
        <v>2085</v>
      </c>
    </row>
    <row r="2086" spans="10:10" x14ac:dyDescent="0.25">
      <c r="J2086" s="1">
        <v>2086</v>
      </c>
    </row>
    <row r="2087" spans="10:10" x14ac:dyDescent="0.25">
      <c r="J2087" s="1">
        <v>2087</v>
      </c>
    </row>
    <row r="2088" spans="10:10" x14ac:dyDescent="0.25">
      <c r="J2088" s="1">
        <v>2088</v>
      </c>
    </row>
    <row r="2089" spans="10:10" x14ac:dyDescent="0.25">
      <c r="J2089" s="1">
        <v>2089</v>
      </c>
    </row>
    <row r="2090" spans="10:10" x14ac:dyDescent="0.25">
      <c r="J2090" s="1">
        <v>2090</v>
      </c>
    </row>
    <row r="2091" spans="10:10" x14ac:dyDescent="0.25">
      <c r="J2091" s="1">
        <v>2091</v>
      </c>
    </row>
    <row r="2092" spans="10:10" x14ac:dyDescent="0.25">
      <c r="J2092" s="1">
        <v>2092</v>
      </c>
    </row>
    <row r="2093" spans="10:10" x14ac:dyDescent="0.25">
      <c r="J2093" s="1">
        <v>2093</v>
      </c>
    </row>
    <row r="2094" spans="10:10" x14ac:dyDescent="0.25">
      <c r="J2094" s="1">
        <v>2094</v>
      </c>
    </row>
    <row r="2095" spans="10:10" x14ac:dyDescent="0.25">
      <c r="J2095" s="1">
        <v>2095</v>
      </c>
    </row>
    <row r="2096" spans="10:10" x14ac:dyDescent="0.25">
      <c r="J2096" s="1">
        <v>2096</v>
      </c>
    </row>
    <row r="2097" spans="10:10" x14ac:dyDescent="0.25">
      <c r="J2097" s="1">
        <v>2097</v>
      </c>
    </row>
    <row r="2098" spans="10:10" x14ac:dyDescent="0.25">
      <c r="J2098" s="1">
        <v>2098</v>
      </c>
    </row>
    <row r="2099" spans="10:10" x14ac:dyDescent="0.25">
      <c r="J2099" s="1">
        <v>2099</v>
      </c>
    </row>
    <row r="2100" spans="10:10" x14ac:dyDescent="0.25">
      <c r="J2100" s="1">
        <v>2100</v>
      </c>
    </row>
    <row r="2101" spans="10:10" x14ac:dyDescent="0.25">
      <c r="J2101" s="1">
        <v>2101</v>
      </c>
    </row>
    <row r="2102" spans="10:10" x14ac:dyDescent="0.25">
      <c r="J2102" s="1">
        <v>2102</v>
      </c>
    </row>
    <row r="2103" spans="10:10" x14ac:dyDescent="0.25">
      <c r="J2103" s="1">
        <v>2103</v>
      </c>
    </row>
    <row r="2104" spans="10:10" x14ac:dyDescent="0.25">
      <c r="J2104" s="1">
        <v>2104</v>
      </c>
    </row>
    <row r="2105" spans="10:10" x14ac:dyDescent="0.25">
      <c r="J2105" s="1">
        <v>2105</v>
      </c>
    </row>
    <row r="2106" spans="10:10" x14ac:dyDescent="0.25">
      <c r="J2106" s="1">
        <v>2106</v>
      </c>
    </row>
    <row r="2107" spans="10:10" x14ac:dyDescent="0.25">
      <c r="J2107" s="1">
        <v>2107</v>
      </c>
    </row>
    <row r="2108" spans="10:10" x14ac:dyDescent="0.25">
      <c r="J2108" s="1">
        <v>2108</v>
      </c>
    </row>
    <row r="2109" spans="10:10" x14ac:dyDescent="0.25">
      <c r="J2109" s="1">
        <v>2109</v>
      </c>
    </row>
    <row r="2110" spans="10:10" x14ac:dyDescent="0.25">
      <c r="J2110" s="1">
        <v>2110</v>
      </c>
    </row>
    <row r="2111" spans="10:10" x14ac:dyDescent="0.25">
      <c r="J2111" s="1">
        <v>2111</v>
      </c>
    </row>
    <row r="2112" spans="10:10" x14ac:dyDescent="0.25">
      <c r="J2112" s="1">
        <v>2112</v>
      </c>
    </row>
    <row r="2113" spans="10:10" x14ac:dyDescent="0.25">
      <c r="J2113" s="1">
        <v>2113</v>
      </c>
    </row>
    <row r="2114" spans="10:10" x14ac:dyDescent="0.25">
      <c r="J2114" s="1">
        <v>2114</v>
      </c>
    </row>
    <row r="2115" spans="10:10" x14ac:dyDescent="0.25">
      <c r="J2115" s="1">
        <v>2115</v>
      </c>
    </row>
    <row r="2116" spans="10:10" x14ac:dyDescent="0.25">
      <c r="J2116" s="1">
        <v>2116</v>
      </c>
    </row>
    <row r="2117" spans="10:10" x14ac:dyDescent="0.25">
      <c r="J2117" s="1">
        <v>2117</v>
      </c>
    </row>
    <row r="2118" spans="10:10" x14ac:dyDescent="0.25">
      <c r="J2118" s="1">
        <v>2118</v>
      </c>
    </row>
    <row r="2119" spans="10:10" x14ac:dyDescent="0.25">
      <c r="J2119" s="1">
        <v>2119</v>
      </c>
    </row>
    <row r="2120" spans="10:10" x14ac:dyDescent="0.25">
      <c r="J2120" s="1">
        <v>2120</v>
      </c>
    </row>
    <row r="2121" spans="10:10" x14ac:dyDescent="0.25">
      <c r="J2121" s="1">
        <v>2121</v>
      </c>
    </row>
    <row r="2122" spans="10:10" x14ac:dyDescent="0.25">
      <c r="J2122" s="1">
        <v>2122</v>
      </c>
    </row>
    <row r="2123" spans="10:10" x14ac:dyDescent="0.25">
      <c r="J2123" s="1">
        <v>2123</v>
      </c>
    </row>
    <row r="2124" spans="10:10" x14ac:dyDescent="0.25">
      <c r="J2124" s="1">
        <v>2124</v>
      </c>
    </row>
    <row r="2125" spans="10:10" x14ac:dyDescent="0.25">
      <c r="J2125" s="1">
        <v>2125</v>
      </c>
    </row>
    <row r="2126" spans="10:10" x14ac:dyDescent="0.25">
      <c r="J2126" s="1">
        <v>2126</v>
      </c>
    </row>
    <row r="2127" spans="10:10" x14ac:dyDescent="0.25">
      <c r="J2127" s="1">
        <v>2127</v>
      </c>
    </row>
    <row r="2128" spans="10:10" x14ac:dyDescent="0.25">
      <c r="J2128" s="1">
        <v>2128</v>
      </c>
    </row>
    <row r="2129" spans="10:10" x14ac:dyDescent="0.25">
      <c r="J2129" s="1">
        <v>2129</v>
      </c>
    </row>
    <row r="2130" spans="10:10" x14ac:dyDescent="0.25">
      <c r="J2130" s="1">
        <v>2130</v>
      </c>
    </row>
    <row r="2131" spans="10:10" x14ac:dyDescent="0.25">
      <c r="J2131" s="1">
        <v>2131</v>
      </c>
    </row>
    <row r="2132" spans="10:10" x14ac:dyDescent="0.25">
      <c r="J2132" s="1">
        <v>2132</v>
      </c>
    </row>
    <row r="2133" spans="10:10" x14ac:dyDescent="0.25">
      <c r="J2133" s="1">
        <v>2133</v>
      </c>
    </row>
    <row r="2134" spans="10:10" x14ac:dyDescent="0.25">
      <c r="J2134" s="1">
        <v>2134</v>
      </c>
    </row>
    <row r="2135" spans="10:10" x14ac:dyDescent="0.25">
      <c r="J2135" s="1">
        <v>2135</v>
      </c>
    </row>
    <row r="2136" spans="10:10" x14ac:dyDescent="0.25">
      <c r="J2136" s="1">
        <v>2136</v>
      </c>
    </row>
    <row r="2137" spans="10:10" x14ac:dyDescent="0.25">
      <c r="J2137" s="1">
        <v>2137</v>
      </c>
    </row>
    <row r="2138" spans="10:10" x14ac:dyDescent="0.25">
      <c r="J2138" s="1">
        <v>2138</v>
      </c>
    </row>
    <row r="2139" spans="10:10" x14ac:dyDescent="0.25">
      <c r="J2139" s="1">
        <v>2139</v>
      </c>
    </row>
    <row r="2140" spans="10:10" x14ac:dyDescent="0.25">
      <c r="J2140" s="1">
        <v>2140</v>
      </c>
    </row>
    <row r="2141" spans="10:10" x14ac:dyDescent="0.25">
      <c r="J2141" s="1">
        <v>2141</v>
      </c>
    </row>
    <row r="2142" spans="10:10" x14ac:dyDescent="0.25">
      <c r="J2142" s="1">
        <v>2142</v>
      </c>
    </row>
    <row r="2143" spans="10:10" x14ac:dyDescent="0.25">
      <c r="J2143" s="1">
        <v>2143</v>
      </c>
    </row>
    <row r="2144" spans="10:10" x14ac:dyDescent="0.25">
      <c r="J2144" s="1">
        <v>2144</v>
      </c>
    </row>
    <row r="2145" spans="10:10" x14ac:dyDescent="0.25">
      <c r="J2145" s="1">
        <v>2145</v>
      </c>
    </row>
    <row r="2146" spans="10:10" x14ac:dyDescent="0.25">
      <c r="J2146" s="1">
        <v>2146</v>
      </c>
    </row>
    <row r="2147" spans="10:10" x14ac:dyDescent="0.25">
      <c r="J2147" s="1">
        <v>2147</v>
      </c>
    </row>
    <row r="2148" spans="10:10" x14ac:dyDescent="0.25">
      <c r="J2148" s="1">
        <v>2148</v>
      </c>
    </row>
    <row r="2149" spans="10:10" x14ac:dyDescent="0.25">
      <c r="J2149" s="1">
        <v>2149</v>
      </c>
    </row>
    <row r="2150" spans="10:10" x14ac:dyDescent="0.25">
      <c r="J2150" s="1">
        <v>2150</v>
      </c>
    </row>
    <row r="2151" spans="10:10" x14ac:dyDescent="0.25">
      <c r="J2151" s="1">
        <v>2151</v>
      </c>
    </row>
    <row r="2152" spans="10:10" x14ac:dyDescent="0.25">
      <c r="J2152" s="1">
        <v>2152</v>
      </c>
    </row>
    <row r="2153" spans="10:10" x14ac:dyDescent="0.25">
      <c r="J2153" s="1">
        <v>2153</v>
      </c>
    </row>
    <row r="2154" spans="10:10" x14ac:dyDescent="0.25">
      <c r="J2154" s="1">
        <v>2154</v>
      </c>
    </row>
    <row r="2155" spans="10:10" x14ac:dyDescent="0.25">
      <c r="J2155" s="1">
        <v>2155</v>
      </c>
    </row>
    <row r="2156" spans="10:10" x14ac:dyDescent="0.25">
      <c r="J2156" s="1">
        <v>2156</v>
      </c>
    </row>
    <row r="2157" spans="10:10" x14ac:dyDescent="0.25">
      <c r="J2157" s="1">
        <v>2157</v>
      </c>
    </row>
    <row r="2158" spans="10:10" x14ac:dyDescent="0.25">
      <c r="J2158" s="1">
        <v>2158</v>
      </c>
    </row>
    <row r="2159" spans="10:10" x14ac:dyDescent="0.25">
      <c r="J2159" s="1">
        <v>2159</v>
      </c>
    </row>
    <row r="2160" spans="10:10" x14ac:dyDescent="0.25">
      <c r="J2160" s="1">
        <v>2160</v>
      </c>
    </row>
    <row r="2161" spans="10:10" x14ac:dyDescent="0.25">
      <c r="J2161" s="1">
        <v>2161</v>
      </c>
    </row>
    <row r="2162" spans="10:10" x14ac:dyDescent="0.25">
      <c r="J2162" s="1">
        <v>2162</v>
      </c>
    </row>
    <row r="2163" spans="10:10" x14ac:dyDescent="0.25">
      <c r="J2163" s="1">
        <v>2163</v>
      </c>
    </row>
    <row r="2164" spans="10:10" x14ac:dyDescent="0.25">
      <c r="J2164" s="1">
        <v>2164</v>
      </c>
    </row>
    <row r="2165" spans="10:10" x14ac:dyDescent="0.25">
      <c r="J2165" s="1">
        <v>2165</v>
      </c>
    </row>
    <row r="2166" spans="10:10" x14ac:dyDescent="0.25">
      <c r="J2166" s="1">
        <v>2166</v>
      </c>
    </row>
    <row r="2167" spans="10:10" x14ac:dyDescent="0.25">
      <c r="J2167" s="1">
        <v>2167</v>
      </c>
    </row>
    <row r="2168" spans="10:10" x14ac:dyDescent="0.25">
      <c r="J2168" s="1">
        <v>2168</v>
      </c>
    </row>
    <row r="2169" spans="10:10" x14ac:dyDescent="0.25">
      <c r="J2169" s="1">
        <v>2169</v>
      </c>
    </row>
    <row r="2170" spans="10:10" x14ac:dyDescent="0.25">
      <c r="J2170" s="1">
        <v>2170</v>
      </c>
    </row>
    <row r="2171" spans="10:10" x14ac:dyDescent="0.25">
      <c r="J2171" s="1">
        <v>2171</v>
      </c>
    </row>
    <row r="2172" spans="10:10" x14ac:dyDescent="0.25">
      <c r="J2172" s="1">
        <v>2172</v>
      </c>
    </row>
    <row r="2173" spans="10:10" x14ac:dyDescent="0.25">
      <c r="J2173" s="1">
        <v>2173</v>
      </c>
    </row>
    <row r="2174" spans="10:10" x14ac:dyDescent="0.25">
      <c r="J2174" s="1">
        <v>2174</v>
      </c>
    </row>
    <row r="2175" spans="10:10" x14ac:dyDescent="0.25">
      <c r="J2175" s="1">
        <v>2175</v>
      </c>
    </row>
    <row r="2176" spans="10:10" x14ac:dyDescent="0.25">
      <c r="J2176" s="1">
        <v>2176</v>
      </c>
    </row>
    <row r="2177" spans="10:10" x14ac:dyDescent="0.25">
      <c r="J2177" s="1">
        <v>2177</v>
      </c>
    </row>
    <row r="2178" spans="10:10" x14ac:dyDescent="0.25">
      <c r="J2178" s="1">
        <v>2178</v>
      </c>
    </row>
    <row r="2179" spans="10:10" x14ac:dyDescent="0.25">
      <c r="J2179" s="1">
        <v>2179</v>
      </c>
    </row>
    <row r="2180" spans="10:10" x14ac:dyDescent="0.25">
      <c r="J2180" s="1">
        <v>2180</v>
      </c>
    </row>
    <row r="2181" spans="10:10" x14ac:dyDescent="0.25">
      <c r="J2181" s="1">
        <v>2181</v>
      </c>
    </row>
    <row r="2182" spans="10:10" x14ac:dyDescent="0.25">
      <c r="J2182" s="1">
        <v>2182</v>
      </c>
    </row>
    <row r="2183" spans="10:10" x14ac:dyDescent="0.25">
      <c r="J2183" s="1">
        <v>2183</v>
      </c>
    </row>
    <row r="2184" spans="10:10" x14ac:dyDescent="0.25">
      <c r="J2184" s="1">
        <v>2184</v>
      </c>
    </row>
    <row r="2185" spans="10:10" x14ac:dyDescent="0.25">
      <c r="J2185" s="1">
        <v>2185</v>
      </c>
    </row>
    <row r="2186" spans="10:10" x14ac:dyDescent="0.25">
      <c r="J2186" s="1">
        <v>2186</v>
      </c>
    </row>
    <row r="2187" spans="10:10" x14ac:dyDescent="0.25">
      <c r="J2187" s="1">
        <v>2187</v>
      </c>
    </row>
    <row r="2188" spans="10:10" x14ac:dyDescent="0.25">
      <c r="J2188" s="1">
        <v>2188</v>
      </c>
    </row>
    <row r="2189" spans="10:10" x14ac:dyDescent="0.25">
      <c r="J2189" s="1">
        <v>2189</v>
      </c>
    </row>
    <row r="2190" spans="10:10" x14ac:dyDescent="0.25">
      <c r="J2190" s="1">
        <v>2190</v>
      </c>
    </row>
    <row r="2191" spans="10:10" x14ac:dyDescent="0.25">
      <c r="J2191" s="1">
        <v>2191</v>
      </c>
    </row>
    <row r="2192" spans="10:10" x14ac:dyDescent="0.25">
      <c r="J2192" s="1">
        <v>2192</v>
      </c>
    </row>
    <row r="2193" spans="10:10" x14ac:dyDescent="0.25">
      <c r="J2193" s="1">
        <v>2193</v>
      </c>
    </row>
    <row r="2194" spans="10:10" x14ac:dyDescent="0.25">
      <c r="J2194" s="1">
        <v>2194</v>
      </c>
    </row>
    <row r="2195" spans="10:10" x14ac:dyDescent="0.25">
      <c r="J2195" s="1">
        <v>2195</v>
      </c>
    </row>
    <row r="2196" spans="10:10" x14ac:dyDescent="0.25">
      <c r="J2196" s="1">
        <v>2196</v>
      </c>
    </row>
    <row r="2197" spans="10:10" x14ac:dyDescent="0.25">
      <c r="J2197" s="1">
        <v>2197</v>
      </c>
    </row>
    <row r="2198" spans="10:10" x14ac:dyDescent="0.25">
      <c r="J2198" s="1">
        <v>2198</v>
      </c>
    </row>
    <row r="2199" spans="10:10" x14ac:dyDescent="0.25">
      <c r="J2199" s="1">
        <v>2199</v>
      </c>
    </row>
    <row r="2200" spans="10:10" x14ac:dyDescent="0.25">
      <c r="J2200" s="1">
        <v>2200</v>
      </c>
    </row>
    <row r="2201" spans="10:10" x14ac:dyDescent="0.25">
      <c r="J2201" s="1">
        <v>2201</v>
      </c>
    </row>
    <row r="2202" spans="10:10" x14ac:dyDescent="0.25">
      <c r="J2202" s="1">
        <v>2202</v>
      </c>
    </row>
    <row r="2203" spans="10:10" x14ac:dyDescent="0.25">
      <c r="J2203" s="1">
        <v>2203</v>
      </c>
    </row>
    <row r="2204" spans="10:10" x14ac:dyDescent="0.25">
      <c r="J2204" s="1">
        <v>2204</v>
      </c>
    </row>
    <row r="2205" spans="10:10" x14ac:dyDescent="0.25">
      <c r="J2205" s="1">
        <v>2205</v>
      </c>
    </row>
    <row r="2206" spans="10:10" x14ac:dyDescent="0.25">
      <c r="J2206" s="1">
        <v>2206</v>
      </c>
    </row>
    <row r="2207" spans="10:10" x14ac:dyDescent="0.25">
      <c r="J2207" s="1">
        <v>2207</v>
      </c>
    </row>
    <row r="2208" spans="10:10" x14ac:dyDescent="0.25">
      <c r="J2208" s="1">
        <v>2208</v>
      </c>
    </row>
    <row r="2209" spans="10:10" x14ac:dyDescent="0.25">
      <c r="J2209" s="1">
        <v>2209</v>
      </c>
    </row>
    <row r="2210" spans="10:10" x14ac:dyDescent="0.25">
      <c r="J2210" s="1">
        <v>2210</v>
      </c>
    </row>
    <row r="2211" spans="10:10" x14ac:dyDescent="0.25">
      <c r="J2211" s="1">
        <v>2211</v>
      </c>
    </row>
    <row r="2212" spans="10:10" x14ac:dyDescent="0.25">
      <c r="J2212" s="1">
        <v>2212</v>
      </c>
    </row>
    <row r="2213" spans="10:10" x14ac:dyDescent="0.25">
      <c r="J2213" s="1">
        <v>2213</v>
      </c>
    </row>
    <row r="2214" spans="10:10" x14ac:dyDescent="0.25">
      <c r="J2214" s="1">
        <v>2214</v>
      </c>
    </row>
    <row r="2215" spans="10:10" x14ac:dyDescent="0.25">
      <c r="J2215" s="1">
        <v>2215</v>
      </c>
    </row>
    <row r="2216" spans="10:10" x14ac:dyDescent="0.25">
      <c r="J2216" s="1">
        <v>2216</v>
      </c>
    </row>
    <row r="2217" spans="10:10" x14ac:dyDescent="0.25">
      <c r="J2217" s="1">
        <v>2217</v>
      </c>
    </row>
    <row r="2218" spans="10:10" x14ac:dyDescent="0.25">
      <c r="J2218" s="1">
        <v>2218</v>
      </c>
    </row>
    <row r="2219" spans="10:10" x14ac:dyDescent="0.25">
      <c r="J2219" s="1">
        <v>2219</v>
      </c>
    </row>
    <row r="2220" spans="10:10" x14ac:dyDescent="0.25">
      <c r="J2220" s="1">
        <v>2220</v>
      </c>
    </row>
    <row r="2221" spans="10:10" x14ac:dyDescent="0.25">
      <c r="J2221" s="1">
        <v>2221</v>
      </c>
    </row>
    <row r="2222" spans="10:10" x14ac:dyDescent="0.25">
      <c r="J2222" s="1">
        <v>2222</v>
      </c>
    </row>
    <row r="2223" spans="10:10" x14ac:dyDescent="0.25">
      <c r="J2223" s="1">
        <v>2223</v>
      </c>
    </row>
    <row r="2224" spans="10:10" x14ac:dyDescent="0.25">
      <c r="J2224" s="1">
        <v>2224</v>
      </c>
    </row>
    <row r="2225" spans="10:10" x14ac:dyDescent="0.25">
      <c r="J2225" s="1">
        <v>2225</v>
      </c>
    </row>
    <row r="2226" spans="10:10" x14ac:dyDescent="0.25">
      <c r="J2226" s="1">
        <v>2226</v>
      </c>
    </row>
    <row r="2227" spans="10:10" x14ac:dyDescent="0.25">
      <c r="J2227" s="1">
        <v>2227</v>
      </c>
    </row>
    <row r="2228" spans="10:10" x14ac:dyDescent="0.25">
      <c r="J2228" s="1">
        <v>2228</v>
      </c>
    </row>
    <row r="2229" spans="10:10" x14ac:dyDescent="0.25">
      <c r="J2229" s="1">
        <v>2229</v>
      </c>
    </row>
    <row r="2230" spans="10:10" x14ac:dyDescent="0.25">
      <c r="J2230" s="1">
        <v>2230</v>
      </c>
    </row>
    <row r="2231" spans="10:10" x14ac:dyDescent="0.25">
      <c r="J2231" s="1">
        <v>2231</v>
      </c>
    </row>
    <row r="2232" spans="10:10" x14ac:dyDescent="0.25">
      <c r="J2232" s="1">
        <v>2232</v>
      </c>
    </row>
    <row r="2233" spans="10:10" x14ac:dyDescent="0.25">
      <c r="J2233" s="1">
        <v>2233</v>
      </c>
    </row>
    <row r="2234" spans="10:10" x14ac:dyDescent="0.25">
      <c r="J2234" s="1">
        <v>2234</v>
      </c>
    </row>
    <row r="2235" spans="10:10" x14ac:dyDescent="0.25">
      <c r="J2235" s="1">
        <v>2235</v>
      </c>
    </row>
    <row r="2236" spans="10:10" x14ac:dyDescent="0.25">
      <c r="J2236" s="1">
        <v>2236</v>
      </c>
    </row>
    <row r="2237" spans="10:10" x14ac:dyDescent="0.25">
      <c r="J2237" s="1">
        <v>2237</v>
      </c>
    </row>
    <row r="2238" spans="10:10" x14ac:dyDescent="0.25">
      <c r="J2238" s="1">
        <v>2238</v>
      </c>
    </row>
    <row r="2239" spans="10:10" x14ac:dyDescent="0.25">
      <c r="J2239" s="1">
        <v>2239</v>
      </c>
    </row>
    <row r="2240" spans="10:10" x14ac:dyDescent="0.25">
      <c r="J2240" s="1">
        <v>2240</v>
      </c>
    </row>
    <row r="2241" spans="10:10" x14ac:dyDescent="0.25">
      <c r="J2241" s="1">
        <v>2241</v>
      </c>
    </row>
    <row r="2242" spans="10:10" x14ac:dyDescent="0.25">
      <c r="J2242" s="1">
        <v>2242</v>
      </c>
    </row>
    <row r="2243" spans="10:10" x14ac:dyDescent="0.25">
      <c r="J2243" s="1">
        <v>2243</v>
      </c>
    </row>
    <row r="2244" spans="10:10" x14ac:dyDescent="0.25">
      <c r="J2244" s="1">
        <v>2244</v>
      </c>
    </row>
    <row r="2245" spans="10:10" x14ac:dyDescent="0.25">
      <c r="J2245" s="1">
        <v>2245</v>
      </c>
    </row>
    <row r="2246" spans="10:10" x14ac:dyDescent="0.25">
      <c r="J2246" s="1">
        <v>2246</v>
      </c>
    </row>
    <row r="2247" spans="10:10" x14ac:dyDescent="0.25">
      <c r="J2247" s="1">
        <v>2247</v>
      </c>
    </row>
    <row r="2248" spans="10:10" x14ac:dyDescent="0.25">
      <c r="J2248" s="1">
        <v>2248</v>
      </c>
    </row>
    <row r="2249" spans="10:10" x14ac:dyDescent="0.25">
      <c r="J2249" s="1">
        <v>2249</v>
      </c>
    </row>
    <row r="2250" spans="10:10" x14ac:dyDescent="0.25">
      <c r="J2250" s="1">
        <v>2250</v>
      </c>
    </row>
  </sheetData>
  <autoFilter ref="B2:I2250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I912"/>
  <sheetViews>
    <sheetView topLeftCell="A34" workbookViewId="0">
      <selection activeCell="E4" sqref="E4"/>
    </sheetView>
  </sheetViews>
  <sheetFormatPr defaultColWidth="9.125" defaultRowHeight="18" x14ac:dyDescent="0.25"/>
  <cols>
    <col min="1" max="1" width="9.125" style="1"/>
    <col min="2" max="2" width="17.875" style="54" customWidth="1"/>
    <col min="3" max="5" width="14.75" style="1" customWidth="1"/>
    <col min="6" max="6" width="12.375" style="1" customWidth="1"/>
    <col min="7" max="7" width="40" style="1" customWidth="1"/>
    <col min="8" max="9" width="8.125" style="1" customWidth="1"/>
    <col min="10" max="16384" width="9.125" style="1"/>
  </cols>
  <sheetData>
    <row r="2" spans="2:9" ht="18.75" thickBot="1" x14ac:dyDescent="0.3">
      <c r="B2" s="53" t="s">
        <v>1430</v>
      </c>
    </row>
    <row r="3" spans="2:9" ht="18.75" thickBot="1" x14ac:dyDescent="0.3">
      <c r="B3" s="66" t="s">
        <v>1431</v>
      </c>
      <c r="C3" s="67" t="s">
        <v>21</v>
      </c>
      <c r="D3" s="67" t="s">
        <v>22</v>
      </c>
      <c r="E3" s="67" t="s">
        <v>1432</v>
      </c>
      <c r="F3" s="67" t="s">
        <v>23</v>
      </c>
      <c r="G3" s="68" t="s">
        <v>460</v>
      </c>
      <c r="H3" s="69" t="s">
        <v>1429</v>
      </c>
      <c r="I3" s="70" t="s">
        <v>1463</v>
      </c>
    </row>
    <row r="4" spans="2:9" x14ac:dyDescent="0.25">
      <c r="B4" s="63">
        <f>IF(C4="","",1)</f>
        <v>1</v>
      </c>
      <c r="C4" s="42" t="s">
        <v>31</v>
      </c>
      <c r="D4" s="42" t="s">
        <v>32</v>
      </c>
      <c r="E4" s="42" t="s">
        <v>1433</v>
      </c>
      <c r="F4" s="42">
        <v>2012</v>
      </c>
      <c r="G4" s="64" t="s">
        <v>1442</v>
      </c>
      <c r="H4" s="65" t="s">
        <v>1464</v>
      </c>
      <c r="I4" s="48">
        <v>3</v>
      </c>
    </row>
    <row r="5" spans="2:9" x14ac:dyDescent="0.25">
      <c r="B5" s="55">
        <f>IF(C5="","",B4+1)</f>
        <v>2</v>
      </c>
      <c r="C5" s="31" t="s">
        <v>31</v>
      </c>
      <c r="D5" s="31" t="s">
        <v>32</v>
      </c>
      <c r="E5" s="31"/>
      <c r="F5" s="31">
        <v>2012</v>
      </c>
      <c r="G5" s="59" t="s">
        <v>1443</v>
      </c>
      <c r="H5" s="61" t="s">
        <v>1464</v>
      </c>
      <c r="I5" s="47">
        <v>3</v>
      </c>
    </row>
    <row r="6" spans="2:9" x14ac:dyDescent="0.25">
      <c r="B6" s="55">
        <f t="shared" ref="B6:B69" si="0">IF(C6="","",B5+1)</f>
        <v>3</v>
      </c>
      <c r="C6" s="31" t="s">
        <v>37</v>
      </c>
      <c r="D6" s="31" t="s">
        <v>102</v>
      </c>
      <c r="E6" s="31"/>
      <c r="F6" s="31">
        <v>2009</v>
      </c>
      <c r="G6" s="59" t="s">
        <v>1444</v>
      </c>
      <c r="H6" s="61" t="s">
        <v>1464</v>
      </c>
      <c r="I6" s="47">
        <v>1</v>
      </c>
    </row>
    <row r="7" spans="2:9" x14ac:dyDescent="0.25">
      <c r="B7" s="55">
        <f t="shared" si="0"/>
        <v>4</v>
      </c>
      <c r="C7" s="31" t="s">
        <v>49</v>
      </c>
      <c r="D7" s="31" t="s">
        <v>79</v>
      </c>
      <c r="E7" s="31"/>
      <c r="F7" s="31">
        <v>2004</v>
      </c>
      <c r="G7" s="59" t="s">
        <v>1445</v>
      </c>
      <c r="H7" s="61" t="s">
        <v>1465</v>
      </c>
      <c r="I7" s="47">
        <v>2</v>
      </c>
    </row>
    <row r="8" spans="2:9" x14ac:dyDescent="0.25">
      <c r="B8" s="55">
        <f t="shared" si="0"/>
        <v>5</v>
      </c>
      <c r="C8" s="31" t="s">
        <v>49</v>
      </c>
      <c r="D8" s="31" t="s">
        <v>79</v>
      </c>
      <c r="E8" s="31"/>
      <c r="F8" s="31">
        <v>2004</v>
      </c>
      <c r="G8" s="59" t="s">
        <v>1446</v>
      </c>
      <c r="H8" s="61" t="s">
        <v>1465</v>
      </c>
      <c r="I8" s="47">
        <v>2</v>
      </c>
    </row>
    <row r="9" spans="2:9" x14ac:dyDescent="0.25">
      <c r="B9" s="55">
        <f t="shared" si="0"/>
        <v>6</v>
      </c>
      <c r="C9" s="31" t="s">
        <v>49</v>
      </c>
      <c r="D9" s="31" t="s">
        <v>130</v>
      </c>
      <c r="E9" s="31"/>
      <c r="F9" s="31">
        <v>2008</v>
      </c>
      <c r="G9" s="59" t="s">
        <v>1447</v>
      </c>
      <c r="H9" s="61" t="s">
        <v>1465</v>
      </c>
      <c r="I9" s="47">
        <v>2</v>
      </c>
    </row>
    <row r="10" spans="2:9" x14ac:dyDescent="0.25">
      <c r="B10" s="55">
        <f t="shared" si="0"/>
        <v>7</v>
      </c>
      <c r="C10" s="31" t="s">
        <v>55</v>
      </c>
      <c r="D10" s="31" t="s">
        <v>1434</v>
      </c>
      <c r="E10" s="31"/>
      <c r="F10" s="31">
        <v>2006</v>
      </c>
      <c r="G10" s="59" t="s">
        <v>1448</v>
      </c>
      <c r="H10" s="61" t="s">
        <v>1464</v>
      </c>
      <c r="I10" s="47">
        <v>2</v>
      </c>
    </row>
    <row r="11" spans="2:9" x14ac:dyDescent="0.25">
      <c r="B11" s="55">
        <f t="shared" si="0"/>
        <v>8</v>
      </c>
      <c r="C11" s="31" t="s">
        <v>49</v>
      </c>
      <c r="D11" s="31" t="s">
        <v>79</v>
      </c>
      <c r="E11" s="31" t="s">
        <v>1435</v>
      </c>
      <c r="F11" s="31">
        <v>2009</v>
      </c>
      <c r="G11" s="59" t="s">
        <v>1336</v>
      </c>
      <c r="H11" s="61" t="s">
        <v>1464</v>
      </c>
      <c r="I11" s="47">
        <v>2</v>
      </c>
    </row>
    <row r="12" spans="2:9" x14ac:dyDescent="0.25">
      <c r="B12" s="55">
        <f t="shared" si="0"/>
        <v>9</v>
      </c>
      <c r="C12" s="31" t="s">
        <v>70</v>
      </c>
      <c r="D12" s="31" t="s">
        <v>1436</v>
      </c>
      <c r="E12" s="31"/>
      <c r="F12" s="31"/>
      <c r="G12" s="59" t="s">
        <v>1449</v>
      </c>
      <c r="H12" s="61" t="s">
        <v>1464</v>
      </c>
      <c r="I12" s="47">
        <v>2</v>
      </c>
    </row>
    <row r="13" spans="2:9" x14ac:dyDescent="0.25">
      <c r="B13" s="55">
        <f t="shared" si="0"/>
        <v>10</v>
      </c>
      <c r="C13" s="31" t="s">
        <v>55</v>
      </c>
      <c r="D13" s="31" t="s">
        <v>142</v>
      </c>
      <c r="E13" s="31"/>
      <c r="F13" s="31">
        <v>2012</v>
      </c>
      <c r="G13" s="59" t="s">
        <v>1336</v>
      </c>
      <c r="H13" s="61" t="s">
        <v>1464</v>
      </c>
      <c r="I13" s="47">
        <v>2</v>
      </c>
    </row>
    <row r="14" spans="2:9" x14ac:dyDescent="0.25">
      <c r="B14" s="55">
        <f t="shared" si="0"/>
        <v>11</v>
      </c>
      <c r="C14" s="31" t="s">
        <v>49</v>
      </c>
      <c r="D14" s="31" t="s">
        <v>111</v>
      </c>
      <c r="E14" s="31"/>
      <c r="F14" s="31">
        <v>2008</v>
      </c>
      <c r="G14" s="59" t="s">
        <v>1448</v>
      </c>
      <c r="H14" s="61" t="s">
        <v>1464</v>
      </c>
      <c r="I14" s="47">
        <v>2</v>
      </c>
    </row>
    <row r="15" spans="2:9" x14ac:dyDescent="0.25">
      <c r="B15" s="55">
        <f t="shared" si="0"/>
        <v>12</v>
      </c>
      <c r="C15" s="31" t="s">
        <v>37</v>
      </c>
      <c r="D15" s="31" t="s">
        <v>102</v>
      </c>
      <c r="E15" s="31"/>
      <c r="F15" s="31">
        <v>2004</v>
      </c>
      <c r="G15" s="59" t="s">
        <v>1450</v>
      </c>
      <c r="H15" s="61" t="s">
        <v>1465</v>
      </c>
      <c r="I15" s="47">
        <v>3</v>
      </c>
    </row>
    <row r="16" spans="2:9" x14ac:dyDescent="0.25">
      <c r="B16" s="55">
        <f t="shared" si="0"/>
        <v>13</v>
      </c>
      <c r="C16" s="31" t="s">
        <v>37</v>
      </c>
      <c r="D16" s="31" t="s">
        <v>98</v>
      </c>
      <c r="E16" s="31"/>
      <c r="F16" s="31">
        <v>2012</v>
      </c>
      <c r="G16" s="59" t="s">
        <v>1336</v>
      </c>
      <c r="H16" s="61" t="s">
        <v>1464</v>
      </c>
      <c r="I16" s="47">
        <v>2</v>
      </c>
    </row>
    <row r="17" spans="2:9" x14ac:dyDescent="0.25">
      <c r="B17" s="55">
        <f t="shared" si="0"/>
        <v>14</v>
      </c>
      <c r="C17" s="31" t="s">
        <v>55</v>
      </c>
      <c r="D17" s="31" t="s">
        <v>76</v>
      </c>
      <c r="E17" s="31" t="s">
        <v>1437</v>
      </c>
      <c r="F17" s="31">
        <v>2009</v>
      </c>
      <c r="G17" s="59" t="s">
        <v>1451</v>
      </c>
      <c r="H17" s="61" t="s">
        <v>1464</v>
      </c>
      <c r="I17" s="47">
        <v>2</v>
      </c>
    </row>
    <row r="18" spans="2:9" x14ac:dyDescent="0.25">
      <c r="B18" s="55">
        <f t="shared" si="0"/>
        <v>15</v>
      </c>
      <c r="C18" s="31" t="s">
        <v>49</v>
      </c>
      <c r="D18" s="31" t="s">
        <v>178</v>
      </c>
      <c r="E18" s="31"/>
      <c r="F18" s="31"/>
      <c r="G18" s="59" t="s">
        <v>1452</v>
      </c>
      <c r="H18" s="61" t="s">
        <v>1465</v>
      </c>
      <c r="I18" s="47">
        <v>1</v>
      </c>
    </row>
    <row r="19" spans="2:9" x14ac:dyDescent="0.25">
      <c r="B19" s="55">
        <f t="shared" si="0"/>
        <v>16</v>
      </c>
      <c r="C19" s="31" t="s">
        <v>49</v>
      </c>
      <c r="D19" s="31" t="s">
        <v>130</v>
      </c>
      <c r="E19" s="31"/>
      <c r="F19" s="31">
        <v>2014</v>
      </c>
      <c r="G19" s="59" t="s">
        <v>1453</v>
      </c>
      <c r="H19" s="61" t="s">
        <v>1465</v>
      </c>
      <c r="I19" s="47">
        <v>1</v>
      </c>
    </row>
    <row r="20" spans="2:9" x14ac:dyDescent="0.25">
      <c r="B20" s="55">
        <f t="shared" si="0"/>
        <v>17</v>
      </c>
      <c r="C20" s="31" t="s">
        <v>49</v>
      </c>
      <c r="D20" s="31" t="s">
        <v>130</v>
      </c>
      <c r="E20" s="31"/>
      <c r="F20" s="31">
        <v>2008</v>
      </c>
      <c r="G20" s="59" t="s">
        <v>1453</v>
      </c>
      <c r="H20" s="61" t="s">
        <v>1465</v>
      </c>
      <c r="I20" s="47">
        <v>1</v>
      </c>
    </row>
    <row r="21" spans="2:9" x14ac:dyDescent="0.25">
      <c r="B21" s="55">
        <f t="shared" si="0"/>
        <v>18</v>
      </c>
      <c r="C21" s="31" t="s">
        <v>37</v>
      </c>
      <c r="D21" s="31" t="s">
        <v>341</v>
      </c>
      <c r="E21" s="31"/>
      <c r="F21" s="31">
        <v>2009</v>
      </c>
      <c r="G21" s="59" t="s">
        <v>1454</v>
      </c>
      <c r="H21" s="61" t="s">
        <v>1465</v>
      </c>
      <c r="I21" s="47">
        <v>1</v>
      </c>
    </row>
    <row r="22" spans="2:9" x14ac:dyDescent="0.25">
      <c r="B22" s="55">
        <f t="shared" si="0"/>
        <v>19</v>
      </c>
      <c r="C22" s="31" t="s">
        <v>55</v>
      </c>
      <c r="D22" s="31" t="s">
        <v>76</v>
      </c>
      <c r="E22" s="31" t="s">
        <v>1438</v>
      </c>
      <c r="F22" s="31"/>
      <c r="G22" s="59" t="s">
        <v>1449</v>
      </c>
      <c r="H22" s="61" t="s">
        <v>1464</v>
      </c>
      <c r="I22" s="47">
        <v>2</v>
      </c>
    </row>
    <row r="23" spans="2:9" x14ac:dyDescent="0.25">
      <c r="B23" s="55">
        <f t="shared" si="0"/>
        <v>20</v>
      </c>
      <c r="C23" s="31" t="s">
        <v>49</v>
      </c>
      <c r="D23" s="31" t="s">
        <v>111</v>
      </c>
      <c r="E23" s="31"/>
      <c r="F23" s="31">
        <v>2008</v>
      </c>
      <c r="G23" s="59" t="s">
        <v>1455</v>
      </c>
      <c r="H23" s="61" t="s">
        <v>1465</v>
      </c>
      <c r="I23" s="47">
        <v>1</v>
      </c>
    </row>
    <row r="24" spans="2:9" x14ac:dyDescent="0.25">
      <c r="B24" s="55">
        <f t="shared" si="0"/>
        <v>21</v>
      </c>
      <c r="C24" s="31" t="s">
        <v>49</v>
      </c>
      <c r="D24" s="31" t="s">
        <v>1439</v>
      </c>
      <c r="E24" s="31"/>
      <c r="F24" s="31">
        <v>1996</v>
      </c>
      <c r="G24" s="59" t="s">
        <v>1456</v>
      </c>
      <c r="H24" s="61" t="s">
        <v>1465</v>
      </c>
      <c r="I24" s="47">
        <v>2</v>
      </c>
    </row>
    <row r="25" spans="2:9" x14ac:dyDescent="0.25">
      <c r="B25" s="55">
        <f t="shared" si="0"/>
        <v>22</v>
      </c>
      <c r="C25" s="31" t="s">
        <v>70</v>
      </c>
      <c r="D25" s="31" t="s">
        <v>1440</v>
      </c>
      <c r="E25" s="31"/>
      <c r="F25" s="31"/>
      <c r="G25" s="59" t="s">
        <v>1457</v>
      </c>
      <c r="H25" s="61" t="s">
        <v>1465</v>
      </c>
      <c r="I25" s="47">
        <v>2</v>
      </c>
    </row>
    <row r="26" spans="2:9" x14ac:dyDescent="0.25">
      <c r="B26" s="55">
        <f t="shared" si="0"/>
        <v>23</v>
      </c>
      <c r="C26" s="31" t="s">
        <v>49</v>
      </c>
      <c r="D26" s="31" t="s">
        <v>111</v>
      </c>
      <c r="E26" s="31"/>
      <c r="F26" s="31">
        <v>2012</v>
      </c>
      <c r="G26" s="59" t="s">
        <v>1457</v>
      </c>
      <c r="H26" s="61" t="s">
        <v>1465</v>
      </c>
      <c r="I26" s="47">
        <v>2</v>
      </c>
    </row>
    <row r="27" spans="2:9" x14ac:dyDescent="0.25">
      <c r="B27" s="55">
        <f t="shared" si="0"/>
        <v>24</v>
      </c>
      <c r="C27" s="31" t="s">
        <v>31</v>
      </c>
      <c r="D27" s="31" t="s">
        <v>1210</v>
      </c>
      <c r="E27" s="31"/>
      <c r="F27" s="31">
        <v>1996</v>
      </c>
      <c r="G27" s="59" t="s">
        <v>1444</v>
      </c>
      <c r="H27" s="61" t="s">
        <v>1465</v>
      </c>
      <c r="I27" s="47">
        <v>2</v>
      </c>
    </row>
    <row r="28" spans="2:9" x14ac:dyDescent="0.25">
      <c r="B28" s="55">
        <f t="shared" si="0"/>
        <v>25</v>
      </c>
      <c r="C28" s="31" t="s">
        <v>70</v>
      </c>
      <c r="D28" s="31" t="s">
        <v>1440</v>
      </c>
      <c r="E28" s="31"/>
      <c r="F28" s="31"/>
      <c r="G28" s="59" t="s">
        <v>1444</v>
      </c>
      <c r="H28" s="61" t="s">
        <v>1465</v>
      </c>
      <c r="I28" s="47">
        <v>2</v>
      </c>
    </row>
    <row r="29" spans="2:9" x14ac:dyDescent="0.25">
      <c r="B29" s="55">
        <f t="shared" si="0"/>
        <v>26</v>
      </c>
      <c r="C29" s="31" t="s">
        <v>55</v>
      </c>
      <c r="D29" s="31" t="s">
        <v>76</v>
      </c>
      <c r="E29" s="31" t="s">
        <v>1437</v>
      </c>
      <c r="F29" s="31">
        <v>2009</v>
      </c>
      <c r="G29" s="59" t="s">
        <v>1457</v>
      </c>
      <c r="H29" s="61" t="s">
        <v>1465</v>
      </c>
      <c r="I29" s="47">
        <v>2</v>
      </c>
    </row>
    <row r="30" spans="2:9" x14ac:dyDescent="0.25">
      <c r="B30" s="55">
        <f t="shared" si="0"/>
        <v>27</v>
      </c>
      <c r="C30" s="31" t="s">
        <v>133</v>
      </c>
      <c r="D30" s="31" t="s">
        <v>134</v>
      </c>
      <c r="E30" s="31"/>
      <c r="F30" s="31">
        <v>2004</v>
      </c>
      <c r="G30" s="59" t="s">
        <v>1458</v>
      </c>
      <c r="H30" s="61" t="s">
        <v>1465</v>
      </c>
      <c r="I30" s="47">
        <v>2</v>
      </c>
    </row>
    <row r="31" spans="2:9" x14ac:dyDescent="0.25">
      <c r="B31" s="55">
        <f t="shared" si="0"/>
        <v>28</v>
      </c>
      <c r="C31" s="31" t="s">
        <v>31</v>
      </c>
      <c r="D31" s="31" t="s">
        <v>32</v>
      </c>
      <c r="E31" s="31"/>
      <c r="F31" s="31">
        <v>2009</v>
      </c>
      <c r="G31" s="59" t="s">
        <v>1458</v>
      </c>
      <c r="H31" s="61" t="s">
        <v>1465</v>
      </c>
      <c r="I31" s="47">
        <v>2</v>
      </c>
    </row>
    <row r="32" spans="2:9" x14ac:dyDescent="0.25">
      <c r="B32" s="55">
        <f t="shared" si="0"/>
        <v>29</v>
      </c>
      <c r="C32" s="31" t="s">
        <v>31</v>
      </c>
      <c r="D32" s="31" t="s">
        <v>1210</v>
      </c>
      <c r="E32" s="31"/>
      <c r="F32" s="31"/>
      <c r="G32" s="59" t="s">
        <v>1459</v>
      </c>
      <c r="H32" s="61" t="s">
        <v>1465</v>
      </c>
      <c r="I32" s="47">
        <v>1</v>
      </c>
    </row>
    <row r="33" spans="2:9" x14ac:dyDescent="0.25">
      <c r="B33" s="55">
        <f t="shared" si="0"/>
        <v>30</v>
      </c>
      <c r="C33" s="31" t="s">
        <v>49</v>
      </c>
      <c r="D33" s="31" t="s">
        <v>130</v>
      </c>
      <c r="E33" s="31"/>
      <c r="F33" s="31">
        <v>2008</v>
      </c>
      <c r="G33" s="59" t="s">
        <v>1460</v>
      </c>
      <c r="H33" s="61" t="s">
        <v>1465</v>
      </c>
      <c r="I33" s="47">
        <v>2</v>
      </c>
    </row>
    <row r="34" spans="2:9" x14ac:dyDescent="0.25">
      <c r="B34" s="55">
        <f t="shared" si="0"/>
        <v>31</v>
      </c>
      <c r="C34" s="31" t="s">
        <v>49</v>
      </c>
      <c r="D34" s="31" t="s">
        <v>130</v>
      </c>
      <c r="E34" s="31"/>
      <c r="F34" s="31">
        <v>2009</v>
      </c>
      <c r="G34" s="59" t="s">
        <v>1461</v>
      </c>
      <c r="H34" s="61" t="s">
        <v>1465</v>
      </c>
      <c r="I34" s="47">
        <v>2</v>
      </c>
    </row>
    <row r="35" spans="2:9" x14ac:dyDescent="0.25">
      <c r="B35" s="55">
        <f t="shared" si="0"/>
        <v>32</v>
      </c>
      <c r="C35" s="31" t="s">
        <v>37</v>
      </c>
      <c r="D35" s="31" t="s">
        <v>1441</v>
      </c>
      <c r="E35" s="31"/>
      <c r="F35" s="31"/>
      <c r="G35" s="59" t="s">
        <v>1462</v>
      </c>
      <c r="H35" s="61" t="s">
        <v>1464</v>
      </c>
      <c r="I35" s="47">
        <v>1</v>
      </c>
    </row>
    <row r="36" spans="2:9" x14ac:dyDescent="0.25">
      <c r="B36" s="55">
        <f t="shared" si="0"/>
        <v>33</v>
      </c>
      <c r="C36" s="31" t="s">
        <v>49</v>
      </c>
      <c r="D36" s="31" t="s">
        <v>178</v>
      </c>
      <c r="E36" s="31"/>
      <c r="F36" s="31"/>
      <c r="G36" s="59" t="s">
        <v>1448</v>
      </c>
      <c r="H36" s="61" t="s">
        <v>1464</v>
      </c>
      <c r="I36" s="47">
        <v>2</v>
      </c>
    </row>
    <row r="37" spans="2:9" x14ac:dyDescent="0.25">
      <c r="B37" s="55">
        <f t="shared" si="0"/>
        <v>34</v>
      </c>
      <c r="C37" s="31" t="s">
        <v>37</v>
      </c>
      <c r="D37" s="31" t="s">
        <v>98</v>
      </c>
      <c r="E37" s="31"/>
      <c r="F37" s="31">
        <v>2012</v>
      </c>
      <c r="G37" s="59" t="s">
        <v>1250</v>
      </c>
      <c r="H37" s="61" t="s">
        <v>1464</v>
      </c>
      <c r="I37" s="47">
        <v>1</v>
      </c>
    </row>
    <row r="38" spans="2:9" x14ac:dyDescent="0.25">
      <c r="B38" s="55">
        <f t="shared" si="0"/>
        <v>35</v>
      </c>
      <c r="C38" s="31" t="s">
        <v>49</v>
      </c>
      <c r="D38" s="31" t="s">
        <v>130</v>
      </c>
      <c r="E38" s="31"/>
      <c r="F38" s="31">
        <v>2008</v>
      </c>
      <c r="G38" s="59" t="s">
        <v>1468</v>
      </c>
      <c r="H38" s="61" t="s">
        <v>1465</v>
      </c>
      <c r="I38" s="47">
        <v>2</v>
      </c>
    </row>
    <row r="39" spans="2:9" x14ac:dyDescent="0.25">
      <c r="B39" s="55">
        <f t="shared" si="0"/>
        <v>36</v>
      </c>
      <c r="C39" s="31" t="s">
        <v>55</v>
      </c>
      <c r="D39" s="31" t="s">
        <v>56</v>
      </c>
      <c r="E39" s="31"/>
      <c r="F39" s="31">
        <v>2012</v>
      </c>
      <c r="G39" s="59" t="s">
        <v>1335</v>
      </c>
      <c r="H39" s="61" t="s">
        <v>1464</v>
      </c>
      <c r="I39" s="47">
        <v>2</v>
      </c>
    </row>
    <row r="40" spans="2:9" x14ac:dyDescent="0.25">
      <c r="B40" s="55">
        <f t="shared" si="0"/>
        <v>37</v>
      </c>
      <c r="C40" s="31" t="s">
        <v>49</v>
      </c>
      <c r="D40" s="31" t="s">
        <v>79</v>
      </c>
      <c r="E40" s="31" t="s">
        <v>1466</v>
      </c>
      <c r="F40" s="31">
        <v>2012</v>
      </c>
      <c r="G40" s="59" t="s">
        <v>1469</v>
      </c>
      <c r="H40" s="61" t="s">
        <v>1465</v>
      </c>
      <c r="I40" s="47">
        <v>1</v>
      </c>
    </row>
    <row r="41" spans="2:9" x14ac:dyDescent="0.25">
      <c r="B41" s="55">
        <f t="shared" si="0"/>
        <v>38</v>
      </c>
      <c r="C41" s="31" t="s">
        <v>49</v>
      </c>
      <c r="D41" s="31" t="s">
        <v>79</v>
      </c>
      <c r="E41" s="31"/>
      <c r="F41" s="31">
        <v>2004</v>
      </c>
      <c r="G41" s="59" t="s">
        <v>1470</v>
      </c>
      <c r="H41" s="61" t="s">
        <v>1465</v>
      </c>
      <c r="I41" s="47">
        <v>2</v>
      </c>
    </row>
    <row r="42" spans="2:9" x14ac:dyDescent="0.25">
      <c r="B42" s="55">
        <f t="shared" si="0"/>
        <v>39</v>
      </c>
      <c r="C42" s="31" t="s">
        <v>49</v>
      </c>
      <c r="D42" s="31" t="s">
        <v>130</v>
      </c>
      <c r="E42" s="31"/>
      <c r="F42" s="31">
        <v>2008</v>
      </c>
      <c r="G42" s="59" t="s">
        <v>1471</v>
      </c>
      <c r="H42" s="61" t="s">
        <v>1465</v>
      </c>
      <c r="I42" s="47">
        <v>2</v>
      </c>
    </row>
    <row r="43" spans="2:9" x14ac:dyDescent="0.25">
      <c r="B43" s="55">
        <f t="shared" si="0"/>
        <v>40</v>
      </c>
      <c r="C43" s="31" t="s">
        <v>49</v>
      </c>
      <c r="D43" s="31" t="s">
        <v>111</v>
      </c>
      <c r="E43" s="31"/>
      <c r="F43" s="31">
        <v>2010</v>
      </c>
      <c r="G43" s="59" t="s">
        <v>1472</v>
      </c>
      <c r="H43" s="61" t="s">
        <v>1465</v>
      </c>
      <c r="I43" s="47">
        <v>1</v>
      </c>
    </row>
    <row r="44" spans="2:9" x14ac:dyDescent="0.25">
      <c r="B44" s="55">
        <f t="shared" si="0"/>
        <v>41</v>
      </c>
      <c r="C44" s="31" t="s">
        <v>133</v>
      </c>
      <c r="D44" s="31" t="s">
        <v>918</v>
      </c>
      <c r="E44" s="31"/>
      <c r="F44" s="31"/>
      <c r="G44" s="59" t="s">
        <v>1453</v>
      </c>
      <c r="H44" s="61" t="s">
        <v>1465</v>
      </c>
      <c r="I44" s="47">
        <v>1</v>
      </c>
    </row>
    <row r="45" spans="2:9" x14ac:dyDescent="0.25">
      <c r="B45" s="55">
        <f t="shared" si="0"/>
        <v>42</v>
      </c>
      <c r="C45" s="31" t="s">
        <v>31</v>
      </c>
      <c r="D45" s="31" t="s">
        <v>32</v>
      </c>
      <c r="E45" s="31" t="s">
        <v>1433</v>
      </c>
      <c r="F45" s="31">
        <v>2012</v>
      </c>
      <c r="G45" s="59" t="s">
        <v>1473</v>
      </c>
      <c r="H45" s="61" t="s">
        <v>1464</v>
      </c>
      <c r="I45" s="47">
        <v>3</v>
      </c>
    </row>
    <row r="46" spans="2:9" x14ac:dyDescent="0.25">
      <c r="B46" s="55">
        <f t="shared" si="0"/>
        <v>43</v>
      </c>
      <c r="C46" s="31" t="s">
        <v>37</v>
      </c>
      <c r="D46" s="31" t="s">
        <v>102</v>
      </c>
      <c r="E46" s="31"/>
      <c r="F46" s="31">
        <v>2009</v>
      </c>
      <c r="G46" s="59" t="s">
        <v>1474</v>
      </c>
      <c r="H46" s="61" t="s">
        <v>1464</v>
      </c>
      <c r="I46" s="47">
        <v>3</v>
      </c>
    </row>
    <row r="47" spans="2:9" x14ac:dyDescent="0.25">
      <c r="B47" s="55">
        <f t="shared" si="0"/>
        <v>44</v>
      </c>
      <c r="C47" s="31" t="s">
        <v>55</v>
      </c>
      <c r="D47" s="31" t="s">
        <v>1434</v>
      </c>
      <c r="E47" s="31"/>
      <c r="F47" s="31">
        <v>2014</v>
      </c>
      <c r="G47" s="59" t="s">
        <v>1475</v>
      </c>
      <c r="H47" s="61" t="s">
        <v>1465</v>
      </c>
      <c r="I47" s="47">
        <v>1</v>
      </c>
    </row>
    <row r="48" spans="2:9" x14ac:dyDescent="0.25">
      <c r="B48" s="55">
        <f t="shared" si="0"/>
        <v>45</v>
      </c>
      <c r="C48" s="31" t="s">
        <v>49</v>
      </c>
      <c r="D48" s="31" t="s">
        <v>79</v>
      </c>
      <c r="E48" s="31"/>
      <c r="F48" s="31"/>
      <c r="G48" s="59" t="s">
        <v>1448</v>
      </c>
      <c r="H48" s="61" t="s">
        <v>1464</v>
      </c>
      <c r="I48" s="47">
        <v>2</v>
      </c>
    </row>
    <row r="49" spans="2:9" x14ac:dyDescent="0.25">
      <c r="B49" s="55">
        <f t="shared" si="0"/>
        <v>46</v>
      </c>
      <c r="C49" s="31" t="s">
        <v>55</v>
      </c>
      <c r="D49" s="31" t="s">
        <v>222</v>
      </c>
      <c r="E49" s="31"/>
      <c r="F49" s="31">
        <v>2014</v>
      </c>
      <c r="G49" s="59" t="s">
        <v>1476</v>
      </c>
      <c r="H49" s="61" t="s">
        <v>1464</v>
      </c>
      <c r="I49" s="47">
        <v>1</v>
      </c>
    </row>
    <row r="50" spans="2:9" x14ac:dyDescent="0.25">
      <c r="B50" s="55">
        <f t="shared" si="0"/>
        <v>47</v>
      </c>
      <c r="C50" s="31" t="s">
        <v>37</v>
      </c>
      <c r="D50" s="31" t="s">
        <v>341</v>
      </c>
      <c r="E50" s="31"/>
      <c r="F50" s="31"/>
      <c r="G50" s="59" t="s">
        <v>1477</v>
      </c>
      <c r="H50" s="61" t="s">
        <v>1464</v>
      </c>
      <c r="I50" s="47">
        <v>1</v>
      </c>
    </row>
    <row r="51" spans="2:9" x14ac:dyDescent="0.25">
      <c r="B51" s="55">
        <f t="shared" si="0"/>
        <v>48</v>
      </c>
      <c r="C51" s="31" t="s">
        <v>37</v>
      </c>
      <c r="D51" s="31" t="s">
        <v>341</v>
      </c>
      <c r="E51" s="31"/>
      <c r="F51" s="31"/>
      <c r="G51" s="59" t="s">
        <v>1478</v>
      </c>
      <c r="H51" s="61" t="s">
        <v>1465</v>
      </c>
      <c r="I51" s="47">
        <v>1</v>
      </c>
    </row>
    <row r="52" spans="2:9" x14ac:dyDescent="0.25">
      <c r="B52" s="55">
        <f t="shared" si="0"/>
        <v>49</v>
      </c>
      <c r="C52" s="31" t="s">
        <v>49</v>
      </c>
      <c r="D52" s="31" t="s">
        <v>50</v>
      </c>
      <c r="E52" s="31"/>
      <c r="F52" s="31">
        <v>2008</v>
      </c>
      <c r="G52" s="59" t="s">
        <v>1448</v>
      </c>
      <c r="H52" s="61" t="s">
        <v>1464</v>
      </c>
      <c r="I52" s="47">
        <v>2</v>
      </c>
    </row>
    <row r="53" spans="2:9" x14ac:dyDescent="0.25">
      <c r="B53" s="55">
        <f t="shared" si="0"/>
        <v>50</v>
      </c>
      <c r="C53" s="31" t="s">
        <v>31</v>
      </c>
      <c r="D53" s="31" t="s">
        <v>32</v>
      </c>
      <c r="E53" s="31" t="s">
        <v>1433</v>
      </c>
      <c r="F53" s="31">
        <v>2012</v>
      </c>
      <c r="G53" s="59" t="s">
        <v>1479</v>
      </c>
      <c r="H53" s="61" t="s">
        <v>1482</v>
      </c>
      <c r="I53" s="47"/>
    </row>
    <row r="54" spans="2:9" x14ac:dyDescent="0.25">
      <c r="B54" s="55">
        <f t="shared" si="0"/>
        <v>51</v>
      </c>
      <c r="C54" s="31" t="s">
        <v>31</v>
      </c>
      <c r="D54" s="31" t="s">
        <v>1467</v>
      </c>
      <c r="E54" s="31"/>
      <c r="F54" s="31"/>
      <c r="G54" s="59" t="s">
        <v>1480</v>
      </c>
      <c r="H54" s="61" t="s">
        <v>1464</v>
      </c>
      <c r="I54" s="47">
        <v>1</v>
      </c>
    </row>
    <row r="55" spans="2:9" x14ac:dyDescent="0.25">
      <c r="B55" s="55">
        <f t="shared" si="0"/>
        <v>52</v>
      </c>
      <c r="C55" s="31" t="s">
        <v>49</v>
      </c>
      <c r="D55" s="31" t="s">
        <v>79</v>
      </c>
      <c r="E55" s="31" t="s">
        <v>1466</v>
      </c>
      <c r="F55" s="31">
        <v>2012</v>
      </c>
      <c r="G55" s="59" t="s">
        <v>1444</v>
      </c>
      <c r="H55" s="61" t="s">
        <v>1464</v>
      </c>
      <c r="I55" s="47">
        <v>2</v>
      </c>
    </row>
    <row r="56" spans="2:9" x14ac:dyDescent="0.25">
      <c r="B56" s="55">
        <f t="shared" si="0"/>
        <v>53</v>
      </c>
      <c r="C56" s="31" t="s">
        <v>55</v>
      </c>
      <c r="D56" s="31" t="s">
        <v>56</v>
      </c>
      <c r="E56" s="31"/>
      <c r="F56" s="31">
        <v>2012</v>
      </c>
      <c r="G56" s="59" t="s">
        <v>1449</v>
      </c>
      <c r="H56" s="61" t="s">
        <v>1464</v>
      </c>
      <c r="I56" s="47">
        <v>2</v>
      </c>
    </row>
    <row r="57" spans="2:9" x14ac:dyDescent="0.25">
      <c r="B57" s="55">
        <f t="shared" si="0"/>
        <v>54</v>
      </c>
      <c r="C57" s="31" t="s">
        <v>49</v>
      </c>
      <c r="D57" s="31" t="s">
        <v>79</v>
      </c>
      <c r="E57" s="31" t="s">
        <v>1466</v>
      </c>
      <c r="F57" s="31">
        <v>2012</v>
      </c>
      <c r="G57" s="59" t="s">
        <v>1481</v>
      </c>
      <c r="H57" s="61" t="s">
        <v>1465</v>
      </c>
      <c r="I57" s="47">
        <v>1</v>
      </c>
    </row>
    <row r="58" spans="2:9" x14ac:dyDescent="0.25">
      <c r="B58" s="55" t="str">
        <f t="shared" si="0"/>
        <v/>
      </c>
      <c r="C58" s="31"/>
      <c r="D58" s="31"/>
      <c r="E58" s="31"/>
      <c r="F58" s="31"/>
      <c r="G58" s="59"/>
      <c r="H58" s="61"/>
      <c r="I58" s="47"/>
    </row>
    <row r="59" spans="2:9" x14ac:dyDescent="0.25">
      <c r="B59" s="55" t="str">
        <f t="shared" si="0"/>
        <v/>
      </c>
      <c r="C59" s="31"/>
      <c r="D59" s="31"/>
      <c r="E59" s="31"/>
      <c r="F59" s="31"/>
      <c r="G59" s="59"/>
      <c r="H59" s="61"/>
      <c r="I59" s="47"/>
    </row>
    <row r="60" spans="2:9" x14ac:dyDescent="0.25">
      <c r="B60" s="55" t="str">
        <f t="shared" si="0"/>
        <v/>
      </c>
      <c r="C60" s="31"/>
      <c r="D60" s="31"/>
      <c r="E60" s="31"/>
      <c r="F60" s="31"/>
      <c r="G60" s="59"/>
      <c r="H60" s="61"/>
      <c r="I60" s="47"/>
    </row>
    <row r="61" spans="2:9" x14ac:dyDescent="0.25">
      <c r="B61" s="55" t="str">
        <f t="shared" si="0"/>
        <v/>
      </c>
      <c r="C61" s="31"/>
      <c r="D61" s="31"/>
      <c r="E61" s="31"/>
      <c r="F61" s="31"/>
      <c r="G61" s="59"/>
      <c r="H61" s="61"/>
      <c r="I61" s="47"/>
    </row>
    <row r="62" spans="2:9" x14ac:dyDescent="0.25">
      <c r="B62" s="55" t="str">
        <f t="shared" si="0"/>
        <v/>
      </c>
      <c r="C62" s="31"/>
      <c r="D62" s="31"/>
      <c r="E62" s="31"/>
      <c r="F62" s="31"/>
      <c r="G62" s="59"/>
      <c r="H62" s="61"/>
      <c r="I62" s="47"/>
    </row>
    <row r="63" spans="2:9" x14ac:dyDescent="0.25">
      <c r="B63" s="55" t="str">
        <f t="shared" si="0"/>
        <v/>
      </c>
      <c r="C63" s="31"/>
      <c r="D63" s="31"/>
      <c r="E63" s="31"/>
      <c r="F63" s="31"/>
      <c r="G63" s="59"/>
      <c r="H63" s="61"/>
      <c r="I63" s="47"/>
    </row>
    <row r="64" spans="2:9" x14ac:dyDescent="0.25">
      <c r="B64" s="55" t="str">
        <f t="shared" si="0"/>
        <v/>
      </c>
      <c r="C64" s="31"/>
      <c r="D64" s="31"/>
      <c r="E64" s="31"/>
      <c r="F64" s="31"/>
      <c r="G64" s="59"/>
      <c r="H64" s="61"/>
      <c r="I64" s="47"/>
    </row>
    <row r="65" spans="2:9" x14ac:dyDescent="0.25">
      <c r="B65" s="55" t="str">
        <f t="shared" si="0"/>
        <v/>
      </c>
      <c r="C65" s="31"/>
      <c r="D65" s="31"/>
      <c r="E65" s="31"/>
      <c r="F65" s="31"/>
      <c r="G65" s="59"/>
      <c r="H65" s="61"/>
      <c r="I65" s="47"/>
    </row>
    <row r="66" spans="2:9" x14ac:dyDescent="0.25">
      <c r="B66" s="55" t="str">
        <f t="shared" si="0"/>
        <v/>
      </c>
      <c r="C66" s="31"/>
      <c r="D66" s="31"/>
      <c r="E66" s="31"/>
      <c r="F66" s="31"/>
      <c r="G66" s="59"/>
      <c r="H66" s="61"/>
      <c r="I66" s="47"/>
    </row>
    <row r="67" spans="2:9" x14ac:dyDescent="0.25">
      <c r="B67" s="55" t="str">
        <f t="shared" si="0"/>
        <v/>
      </c>
      <c r="C67" s="31"/>
      <c r="D67" s="31"/>
      <c r="E67" s="31"/>
      <c r="F67" s="31"/>
      <c r="G67" s="59"/>
      <c r="H67" s="61"/>
      <c r="I67" s="47"/>
    </row>
    <row r="68" spans="2:9" x14ac:dyDescent="0.25">
      <c r="B68" s="55" t="str">
        <f t="shared" si="0"/>
        <v/>
      </c>
      <c r="C68" s="31"/>
      <c r="D68" s="31"/>
      <c r="E68" s="31"/>
      <c r="F68" s="31"/>
      <c r="G68" s="59"/>
      <c r="H68" s="61"/>
      <c r="I68" s="47"/>
    </row>
    <row r="69" spans="2:9" x14ac:dyDescent="0.25">
      <c r="B69" s="55" t="str">
        <f t="shared" si="0"/>
        <v/>
      </c>
      <c r="C69" s="31"/>
      <c r="D69" s="31"/>
      <c r="E69" s="31"/>
      <c r="F69" s="31"/>
      <c r="G69" s="59"/>
      <c r="H69" s="61"/>
      <c r="I69" s="47"/>
    </row>
    <row r="70" spans="2:9" x14ac:dyDescent="0.25">
      <c r="B70" s="55" t="str">
        <f t="shared" ref="B70:B133" si="1">IF(C70="","",B69+1)</f>
        <v/>
      </c>
      <c r="C70" s="31"/>
      <c r="D70" s="31"/>
      <c r="E70" s="31"/>
      <c r="F70" s="31"/>
      <c r="G70" s="59"/>
      <c r="H70" s="61"/>
      <c r="I70" s="47"/>
    </row>
    <row r="71" spans="2:9" x14ac:dyDescent="0.25">
      <c r="B71" s="55" t="str">
        <f t="shared" si="1"/>
        <v/>
      </c>
      <c r="C71" s="31"/>
      <c r="D71" s="31"/>
      <c r="E71" s="31"/>
      <c r="F71" s="31"/>
      <c r="G71" s="59"/>
      <c r="H71" s="61"/>
      <c r="I71" s="47"/>
    </row>
    <row r="72" spans="2:9" x14ac:dyDescent="0.25">
      <c r="B72" s="55" t="str">
        <f t="shared" si="1"/>
        <v/>
      </c>
      <c r="C72" s="31"/>
      <c r="D72" s="31"/>
      <c r="E72" s="31"/>
      <c r="F72" s="31"/>
      <c r="G72" s="59"/>
      <c r="H72" s="61"/>
      <c r="I72" s="47"/>
    </row>
    <row r="73" spans="2:9" x14ac:dyDescent="0.25">
      <c r="B73" s="55" t="str">
        <f t="shared" si="1"/>
        <v/>
      </c>
      <c r="C73" s="31"/>
      <c r="D73" s="31"/>
      <c r="E73" s="31"/>
      <c r="F73" s="31"/>
      <c r="G73" s="59"/>
      <c r="H73" s="61"/>
      <c r="I73" s="47"/>
    </row>
    <row r="74" spans="2:9" x14ac:dyDescent="0.25">
      <c r="B74" s="55" t="str">
        <f t="shared" si="1"/>
        <v/>
      </c>
      <c r="C74" s="31"/>
      <c r="D74" s="31"/>
      <c r="E74" s="31"/>
      <c r="F74" s="31"/>
      <c r="G74" s="59"/>
      <c r="H74" s="61"/>
      <c r="I74" s="47"/>
    </row>
    <row r="75" spans="2:9" x14ac:dyDescent="0.25">
      <c r="B75" s="55" t="str">
        <f t="shared" si="1"/>
        <v/>
      </c>
      <c r="C75" s="31"/>
      <c r="D75" s="31"/>
      <c r="E75" s="31"/>
      <c r="F75" s="31"/>
      <c r="G75" s="59"/>
      <c r="H75" s="61"/>
      <c r="I75" s="47"/>
    </row>
    <row r="76" spans="2:9" x14ac:dyDescent="0.25">
      <c r="B76" s="55" t="str">
        <f t="shared" si="1"/>
        <v/>
      </c>
      <c r="C76" s="31"/>
      <c r="D76" s="31"/>
      <c r="E76" s="31"/>
      <c r="F76" s="31"/>
      <c r="G76" s="59"/>
      <c r="H76" s="61"/>
      <c r="I76" s="47"/>
    </row>
    <row r="77" spans="2:9" x14ac:dyDescent="0.25">
      <c r="B77" s="55" t="str">
        <f t="shared" si="1"/>
        <v/>
      </c>
      <c r="C77" s="31"/>
      <c r="D77" s="31"/>
      <c r="E77" s="31"/>
      <c r="F77" s="31"/>
      <c r="G77" s="59"/>
      <c r="H77" s="61"/>
      <c r="I77" s="47"/>
    </row>
    <row r="78" spans="2:9" x14ac:dyDescent="0.25">
      <c r="B78" s="55" t="str">
        <f t="shared" si="1"/>
        <v/>
      </c>
      <c r="C78" s="31"/>
      <c r="D78" s="31"/>
      <c r="E78" s="31"/>
      <c r="F78" s="31"/>
      <c r="G78" s="59"/>
      <c r="H78" s="61"/>
      <c r="I78" s="47"/>
    </row>
    <row r="79" spans="2:9" x14ac:dyDescent="0.25">
      <c r="B79" s="55" t="str">
        <f t="shared" si="1"/>
        <v/>
      </c>
      <c r="C79" s="31"/>
      <c r="D79" s="31"/>
      <c r="E79" s="31"/>
      <c r="F79" s="31"/>
      <c r="G79" s="59"/>
      <c r="H79" s="61"/>
      <c r="I79" s="47"/>
    </row>
    <row r="80" spans="2:9" x14ac:dyDescent="0.25">
      <c r="B80" s="55" t="str">
        <f t="shared" si="1"/>
        <v/>
      </c>
      <c r="C80" s="31"/>
      <c r="D80" s="31"/>
      <c r="E80" s="31"/>
      <c r="F80" s="31"/>
      <c r="G80" s="59"/>
      <c r="H80" s="61"/>
      <c r="I80" s="47"/>
    </row>
    <row r="81" spans="2:9" x14ac:dyDescent="0.25">
      <c r="B81" s="55" t="str">
        <f t="shared" si="1"/>
        <v/>
      </c>
      <c r="C81" s="31"/>
      <c r="D81" s="31"/>
      <c r="E81" s="31"/>
      <c r="F81" s="31"/>
      <c r="G81" s="59"/>
      <c r="H81" s="61"/>
      <c r="I81" s="47"/>
    </row>
    <row r="82" spans="2:9" x14ac:dyDescent="0.25">
      <c r="B82" s="55" t="str">
        <f t="shared" si="1"/>
        <v/>
      </c>
      <c r="C82" s="31"/>
      <c r="D82" s="31"/>
      <c r="E82" s="31"/>
      <c r="F82" s="31"/>
      <c r="G82" s="59"/>
      <c r="H82" s="61"/>
      <c r="I82" s="47"/>
    </row>
    <row r="83" spans="2:9" x14ac:dyDescent="0.25">
      <c r="B83" s="55" t="str">
        <f t="shared" si="1"/>
        <v/>
      </c>
      <c r="C83" s="31"/>
      <c r="D83" s="31"/>
      <c r="E83" s="31"/>
      <c r="F83" s="31"/>
      <c r="G83" s="59"/>
      <c r="H83" s="61"/>
      <c r="I83" s="47"/>
    </row>
    <row r="84" spans="2:9" x14ac:dyDescent="0.25">
      <c r="B84" s="55" t="str">
        <f t="shared" si="1"/>
        <v/>
      </c>
      <c r="C84" s="31"/>
      <c r="D84" s="31"/>
      <c r="E84" s="31"/>
      <c r="F84" s="31"/>
      <c r="G84" s="59"/>
      <c r="H84" s="61"/>
      <c r="I84" s="47"/>
    </row>
    <row r="85" spans="2:9" x14ac:dyDescent="0.25">
      <c r="B85" s="55" t="str">
        <f t="shared" si="1"/>
        <v/>
      </c>
      <c r="C85" s="31"/>
      <c r="D85" s="31"/>
      <c r="E85" s="31"/>
      <c r="F85" s="31"/>
      <c r="G85" s="59"/>
      <c r="H85" s="61"/>
      <c r="I85" s="47"/>
    </row>
    <row r="86" spans="2:9" x14ac:dyDescent="0.25">
      <c r="B86" s="55" t="str">
        <f t="shared" si="1"/>
        <v/>
      </c>
      <c r="C86" s="31"/>
      <c r="D86" s="31"/>
      <c r="E86" s="31"/>
      <c r="F86" s="31"/>
      <c r="G86" s="59"/>
      <c r="H86" s="61"/>
      <c r="I86" s="47"/>
    </row>
    <row r="87" spans="2:9" x14ac:dyDescent="0.25">
      <c r="B87" s="55" t="str">
        <f t="shared" si="1"/>
        <v/>
      </c>
      <c r="C87" s="31"/>
      <c r="D87" s="31"/>
      <c r="E87" s="31"/>
      <c r="F87" s="31"/>
      <c r="G87" s="59"/>
      <c r="H87" s="61"/>
      <c r="I87" s="47"/>
    </row>
    <row r="88" spans="2:9" x14ac:dyDescent="0.25">
      <c r="B88" s="55" t="str">
        <f t="shared" si="1"/>
        <v/>
      </c>
      <c r="C88" s="31"/>
      <c r="D88" s="31"/>
      <c r="E88" s="31"/>
      <c r="F88" s="31"/>
      <c r="G88" s="59"/>
      <c r="H88" s="61"/>
      <c r="I88" s="47"/>
    </row>
    <row r="89" spans="2:9" x14ac:dyDescent="0.25">
      <c r="B89" s="55" t="str">
        <f t="shared" si="1"/>
        <v/>
      </c>
      <c r="C89" s="31"/>
      <c r="D89" s="31"/>
      <c r="E89" s="31"/>
      <c r="F89" s="31"/>
      <c r="G89" s="59"/>
      <c r="H89" s="61"/>
      <c r="I89" s="47"/>
    </row>
    <row r="90" spans="2:9" x14ac:dyDescent="0.25">
      <c r="B90" s="55" t="str">
        <f t="shared" si="1"/>
        <v/>
      </c>
      <c r="C90" s="31"/>
      <c r="D90" s="31"/>
      <c r="E90" s="31"/>
      <c r="F90" s="31"/>
      <c r="G90" s="59"/>
      <c r="H90" s="61"/>
      <c r="I90" s="47"/>
    </row>
    <row r="91" spans="2:9" x14ac:dyDescent="0.25">
      <c r="B91" s="55" t="str">
        <f t="shared" si="1"/>
        <v/>
      </c>
      <c r="C91" s="31"/>
      <c r="D91" s="31"/>
      <c r="E91" s="31"/>
      <c r="F91" s="31"/>
      <c r="G91" s="59"/>
      <c r="H91" s="61"/>
      <c r="I91" s="47"/>
    </row>
    <row r="92" spans="2:9" x14ac:dyDescent="0.25">
      <c r="B92" s="55" t="str">
        <f t="shared" si="1"/>
        <v/>
      </c>
      <c r="C92" s="31"/>
      <c r="D92" s="31"/>
      <c r="E92" s="31"/>
      <c r="F92" s="31"/>
      <c r="G92" s="59"/>
      <c r="H92" s="61"/>
      <c r="I92" s="47"/>
    </row>
    <row r="93" spans="2:9" x14ac:dyDescent="0.25">
      <c r="B93" s="55" t="str">
        <f t="shared" si="1"/>
        <v/>
      </c>
      <c r="C93" s="31"/>
      <c r="D93" s="31"/>
      <c r="E93" s="31"/>
      <c r="F93" s="31"/>
      <c r="G93" s="59"/>
      <c r="H93" s="61"/>
      <c r="I93" s="47"/>
    </row>
    <row r="94" spans="2:9" x14ac:dyDescent="0.25">
      <c r="B94" s="55" t="str">
        <f t="shared" si="1"/>
        <v/>
      </c>
      <c r="C94" s="31"/>
      <c r="D94" s="31"/>
      <c r="E94" s="31"/>
      <c r="F94" s="31"/>
      <c r="G94" s="59"/>
      <c r="H94" s="61"/>
      <c r="I94" s="47"/>
    </row>
    <row r="95" spans="2:9" x14ac:dyDescent="0.25">
      <c r="B95" s="55" t="str">
        <f t="shared" si="1"/>
        <v/>
      </c>
      <c r="C95" s="31"/>
      <c r="D95" s="31"/>
      <c r="E95" s="31"/>
      <c r="F95" s="31"/>
      <c r="G95" s="59"/>
      <c r="H95" s="61"/>
      <c r="I95" s="47"/>
    </row>
    <row r="96" spans="2:9" x14ac:dyDescent="0.25">
      <c r="B96" s="55" t="str">
        <f t="shared" si="1"/>
        <v/>
      </c>
      <c r="C96" s="31"/>
      <c r="D96" s="31"/>
      <c r="E96" s="31"/>
      <c r="F96" s="31"/>
      <c r="G96" s="59"/>
      <c r="H96" s="61"/>
      <c r="I96" s="47"/>
    </row>
    <row r="97" spans="2:9" x14ac:dyDescent="0.25">
      <c r="B97" s="55" t="str">
        <f t="shared" si="1"/>
        <v/>
      </c>
      <c r="C97" s="31"/>
      <c r="D97" s="31"/>
      <c r="E97" s="31"/>
      <c r="F97" s="31"/>
      <c r="G97" s="59"/>
      <c r="H97" s="61"/>
      <c r="I97" s="47"/>
    </row>
    <row r="98" spans="2:9" x14ac:dyDescent="0.25">
      <c r="B98" s="55" t="str">
        <f t="shared" si="1"/>
        <v/>
      </c>
      <c r="C98" s="31"/>
      <c r="D98" s="31"/>
      <c r="E98" s="31"/>
      <c r="F98" s="31"/>
      <c r="G98" s="59"/>
      <c r="H98" s="61"/>
      <c r="I98" s="47"/>
    </row>
    <row r="99" spans="2:9" x14ac:dyDescent="0.25">
      <c r="B99" s="55" t="str">
        <f t="shared" si="1"/>
        <v/>
      </c>
      <c r="C99" s="31"/>
      <c r="D99" s="31"/>
      <c r="E99" s="31"/>
      <c r="F99" s="31"/>
      <c r="G99" s="59"/>
      <c r="H99" s="61"/>
      <c r="I99" s="47"/>
    </row>
    <row r="100" spans="2:9" x14ac:dyDescent="0.25">
      <c r="B100" s="55" t="str">
        <f t="shared" si="1"/>
        <v/>
      </c>
      <c r="C100" s="31"/>
      <c r="D100" s="31"/>
      <c r="E100" s="31"/>
      <c r="F100" s="31"/>
      <c r="G100" s="59"/>
      <c r="H100" s="61"/>
      <c r="I100" s="47"/>
    </row>
    <row r="101" spans="2:9" x14ac:dyDescent="0.25">
      <c r="B101" s="55" t="str">
        <f t="shared" si="1"/>
        <v/>
      </c>
      <c r="C101" s="31"/>
      <c r="D101" s="31"/>
      <c r="E101" s="31"/>
      <c r="F101" s="31"/>
      <c r="G101" s="59"/>
      <c r="H101" s="61"/>
      <c r="I101" s="47"/>
    </row>
    <row r="102" spans="2:9" x14ac:dyDescent="0.25">
      <c r="B102" s="55" t="str">
        <f t="shared" si="1"/>
        <v/>
      </c>
      <c r="C102" s="31"/>
      <c r="D102" s="31"/>
      <c r="E102" s="31"/>
      <c r="F102" s="31"/>
      <c r="G102" s="59"/>
      <c r="H102" s="61"/>
      <c r="I102" s="47"/>
    </row>
    <row r="103" spans="2:9" x14ac:dyDescent="0.25">
      <c r="B103" s="55" t="str">
        <f t="shared" si="1"/>
        <v/>
      </c>
      <c r="C103" s="31"/>
      <c r="D103" s="31"/>
      <c r="E103" s="31"/>
      <c r="F103" s="31"/>
      <c r="G103" s="59"/>
      <c r="H103" s="61"/>
      <c r="I103" s="47"/>
    </row>
    <row r="104" spans="2:9" x14ac:dyDescent="0.25">
      <c r="B104" s="55" t="str">
        <f t="shared" si="1"/>
        <v/>
      </c>
      <c r="C104" s="31"/>
      <c r="D104" s="31"/>
      <c r="E104" s="31"/>
      <c r="F104" s="31"/>
      <c r="G104" s="59"/>
      <c r="H104" s="61"/>
      <c r="I104" s="47"/>
    </row>
    <row r="105" spans="2:9" x14ac:dyDescent="0.25">
      <c r="B105" s="55" t="str">
        <f t="shared" si="1"/>
        <v/>
      </c>
      <c r="C105" s="31"/>
      <c r="D105" s="31"/>
      <c r="E105" s="31"/>
      <c r="F105" s="31"/>
      <c r="G105" s="59"/>
      <c r="H105" s="61"/>
      <c r="I105" s="47"/>
    </row>
    <row r="106" spans="2:9" x14ac:dyDescent="0.25">
      <c r="B106" s="55" t="str">
        <f t="shared" si="1"/>
        <v/>
      </c>
      <c r="C106" s="31"/>
      <c r="D106" s="31"/>
      <c r="E106" s="31"/>
      <c r="F106" s="31"/>
      <c r="G106" s="59"/>
      <c r="H106" s="61"/>
      <c r="I106" s="47"/>
    </row>
    <row r="107" spans="2:9" x14ac:dyDescent="0.25">
      <c r="B107" s="55" t="str">
        <f t="shared" si="1"/>
        <v/>
      </c>
      <c r="C107" s="31"/>
      <c r="D107" s="31"/>
      <c r="E107" s="31"/>
      <c r="F107" s="31"/>
      <c r="G107" s="59"/>
      <c r="H107" s="61"/>
      <c r="I107" s="47"/>
    </row>
    <row r="108" spans="2:9" x14ac:dyDescent="0.25">
      <c r="B108" s="55" t="str">
        <f t="shared" si="1"/>
        <v/>
      </c>
      <c r="C108" s="31"/>
      <c r="D108" s="31"/>
      <c r="E108" s="31"/>
      <c r="F108" s="31"/>
      <c r="G108" s="59"/>
      <c r="H108" s="61"/>
      <c r="I108" s="47"/>
    </row>
    <row r="109" spans="2:9" x14ac:dyDescent="0.25">
      <c r="B109" s="55" t="str">
        <f t="shared" si="1"/>
        <v/>
      </c>
      <c r="C109" s="31"/>
      <c r="D109" s="31"/>
      <c r="E109" s="31"/>
      <c r="F109" s="31"/>
      <c r="G109" s="59"/>
      <c r="H109" s="61"/>
      <c r="I109" s="47"/>
    </row>
    <row r="110" spans="2:9" x14ac:dyDescent="0.25">
      <c r="B110" s="55" t="str">
        <f t="shared" si="1"/>
        <v/>
      </c>
      <c r="C110" s="31"/>
      <c r="D110" s="31"/>
      <c r="E110" s="31"/>
      <c r="F110" s="31"/>
      <c r="G110" s="59"/>
      <c r="H110" s="61"/>
      <c r="I110" s="47"/>
    </row>
    <row r="111" spans="2:9" x14ac:dyDescent="0.25">
      <c r="B111" s="55" t="str">
        <f t="shared" si="1"/>
        <v/>
      </c>
      <c r="C111" s="31"/>
      <c r="D111" s="31"/>
      <c r="E111" s="31"/>
      <c r="F111" s="31"/>
      <c r="G111" s="59"/>
      <c r="H111" s="61"/>
      <c r="I111" s="47"/>
    </row>
    <row r="112" spans="2:9" x14ac:dyDescent="0.25">
      <c r="B112" s="55" t="str">
        <f t="shared" si="1"/>
        <v/>
      </c>
      <c r="C112" s="31"/>
      <c r="D112" s="31"/>
      <c r="E112" s="31"/>
      <c r="F112" s="31"/>
      <c r="G112" s="59"/>
      <c r="H112" s="61"/>
      <c r="I112" s="47"/>
    </row>
    <row r="113" spans="2:9" x14ac:dyDescent="0.25">
      <c r="B113" s="55" t="str">
        <f t="shared" si="1"/>
        <v/>
      </c>
      <c r="C113" s="31"/>
      <c r="D113" s="31"/>
      <c r="E113" s="31"/>
      <c r="F113" s="31"/>
      <c r="G113" s="59"/>
      <c r="H113" s="61"/>
      <c r="I113" s="47"/>
    </row>
    <row r="114" spans="2:9" x14ac:dyDescent="0.25">
      <c r="B114" s="55" t="str">
        <f t="shared" si="1"/>
        <v/>
      </c>
      <c r="C114" s="31"/>
      <c r="D114" s="31"/>
      <c r="E114" s="31"/>
      <c r="F114" s="31"/>
      <c r="G114" s="59"/>
      <c r="H114" s="61"/>
      <c r="I114" s="47"/>
    </row>
    <row r="115" spans="2:9" x14ac:dyDescent="0.25">
      <c r="B115" s="55" t="str">
        <f t="shared" si="1"/>
        <v/>
      </c>
      <c r="C115" s="31"/>
      <c r="D115" s="31"/>
      <c r="E115" s="31"/>
      <c r="F115" s="31"/>
      <c r="G115" s="59"/>
      <c r="H115" s="61"/>
      <c r="I115" s="47"/>
    </row>
    <row r="116" spans="2:9" x14ac:dyDescent="0.25">
      <c r="B116" s="55" t="str">
        <f t="shared" si="1"/>
        <v/>
      </c>
      <c r="C116" s="31"/>
      <c r="D116" s="31"/>
      <c r="E116" s="31"/>
      <c r="F116" s="31"/>
      <c r="G116" s="59"/>
      <c r="H116" s="61"/>
      <c r="I116" s="47"/>
    </row>
    <row r="117" spans="2:9" x14ac:dyDescent="0.25">
      <c r="B117" s="55" t="str">
        <f t="shared" si="1"/>
        <v/>
      </c>
      <c r="C117" s="31"/>
      <c r="D117" s="31"/>
      <c r="E117" s="31"/>
      <c r="F117" s="31"/>
      <c r="G117" s="59"/>
      <c r="H117" s="61"/>
      <c r="I117" s="47"/>
    </row>
    <row r="118" spans="2:9" x14ac:dyDescent="0.25">
      <c r="B118" s="55" t="str">
        <f t="shared" si="1"/>
        <v/>
      </c>
      <c r="C118" s="31"/>
      <c r="D118" s="31"/>
      <c r="E118" s="31"/>
      <c r="F118" s="31"/>
      <c r="G118" s="59"/>
      <c r="H118" s="61"/>
      <c r="I118" s="47"/>
    </row>
    <row r="119" spans="2:9" x14ac:dyDescent="0.25">
      <c r="B119" s="55" t="str">
        <f t="shared" si="1"/>
        <v/>
      </c>
      <c r="C119" s="31"/>
      <c r="D119" s="31"/>
      <c r="E119" s="31"/>
      <c r="F119" s="31"/>
      <c r="G119" s="59"/>
      <c r="H119" s="61"/>
      <c r="I119" s="47"/>
    </row>
    <row r="120" spans="2:9" x14ac:dyDescent="0.25">
      <c r="B120" s="55" t="str">
        <f t="shared" si="1"/>
        <v/>
      </c>
      <c r="C120" s="31"/>
      <c r="D120" s="31"/>
      <c r="E120" s="31"/>
      <c r="F120" s="31"/>
      <c r="G120" s="59"/>
      <c r="H120" s="61"/>
      <c r="I120" s="47"/>
    </row>
    <row r="121" spans="2:9" x14ac:dyDescent="0.25">
      <c r="B121" s="55" t="str">
        <f t="shared" si="1"/>
        <v/>
      </c>
      <c r="C121" s="31"/>
      <c r="D121" s="31"/>
      <c r="E121" s="31"/>
      <c r="F121" s="31"/>
      <c r="G121" s="59"/>
      <c r="H121" s="61"/>
      <c r="I121" s="47"/>
    </row>
    <row r="122" spans="2:9" x14ac:dyDescent="0.25">
      <c r="B122" s="55" t="str">
        <f t="shared" si="1"/>
        <v/>
      </c>
      <c r="C122" s="31"/>
      <c r="D122" s="31"/>
      <c r="E122" s="31"/>
      <c r="F122" s="31"/>
      <c r="G122" s="59"/>
      <c r="H122" s="61"/>
      <c r="I122" s="47"/>
    </row>
    <row r="123" spans="2:9" x14ac:dyDescent="0.25">
      <c r="B123" s="55" t="str">
        <f t="shared" si="1"/>
        <v/>
      </c>
      <c r="C123" s="31"/>
      <c r="D123" s="31"/>
      <c r="E123" s="31"/>
      <c r="F123" s="31"/>
      <c r="G123" s="59"/>
      <c r="H123" s="61"/>
      <c r="I123" s="47"/>
    </row>
    <row r="124" spans="2:9" x14ac:dyDescent="0.25">
      <c r="B124" s="55" t="str">
        <f t="shared" si="1"/>
        <v/>
      </c>
      <c r="C124" s="31"/>
      <c r="D124" s="31"/>
      <c r="E124" s="31"/>
      <c r="F124" s="31"/>
      <c r="G124" s="59"/>
      <c r="H124" s="61"/>
      <c r="I124" s="47"/>
    </row>
    <row r="125" spans="2:9" x14ac:dyDescent="0.25">
      <c r="B125" s="55" t="str">
        <f t="shared" si="1"/>
        <v/>
      </c>
      <c r="C125" s="31"/>
      <c r="D125" s="31"/>
      <c r="E125" s="31"/>
      <c r="F125" s="31"/>
      <c r="G125" s="59"/>
      <c r="H125" s="61"/>
      <c r="I125" s="47"/>
    </row>
    <row r="126" spans="2:9" x14ac:dyDescent="0.25">
      <c r="B126" s="55" t="str">
        <f t="shared" si="1"/>
        <v/>
      </c>
      <c r="C126" s="31"/>
      <c r="D126" s="31"/>
      <c r="E126" s="31"/>
      <c r="F126" s="31"/>
      <c r="G126" s="59"/>
      <c r="H126" s="61"/>
      <c r="I126" s="47"/>
    </row>
    <row r="127" spans="2:9" x14ac:dyDescent="0.25">
      <c r="B127" s="55" t="str">
        <f t="shared" si="1"/>
        <v/>
      </c>
      <c r="C127" s="31"/>
      <c r="D127" s="31"/>
      <c r="E127" s="31"/>
      <c r="F127" s="31"/>
      <c r="G127" s="59"/>
      <c r="H127" s="61"/>
      <c r="I127" s="47"/>
    </row>
    <row r="128" spans="2:9" x14ac:dyDescent="0.25">
      <c r="B128" s="55" t="str">
        <f t="shared" si="1"/>
        <v/>
      </c>
      <c r="C128" s="31"/>
      <c r="D128" s="31"/>
      <c r="E128" s="31"/>
      <c r="F128" s="31"/>
      <c r="G128" s="59"/>
      <c r="H128" s="61"/>
      <c r="I128" s="47"/>
    </row>
    <row r="129" spans="2:9" x14ac:dyDescent="0.25">
      <c r="B129" s="55" t="str">
        <f t="shared" si="1"/>
        <v/>
      </c>
      <c r="C129" s="31"/>
      <c r="D129" s="31"/>
      <c r="E129" s="31"/>
      <c r="F129" s="31"/>
      <c r="G129" s="59"/>
      <c r="H129" s="61"/>
      <c r="I129" s="47"/>
    </row>
    <row r="130" spans="2:9" x14ac:dyDescent="0.25">
      <c r="B130" s="55" t="str">
        <f t="shared" si="1"/>
        <v/>
      </c>
      <c r="C130" s="31"/>
      <c r="D130" s="31"/>
      <c r="E130" s="31"/>
      <c r="F130" s="31"/>
      <c r="G130" s="59"/>
      <c r="H130" s="61"/>
      <c r="I130" s="47"/>
    </row>
    <row r="131" spans="2:9" x14ac:dyDescent="0.25">
      <c r="B131" s="55" t="str">
        <f t="shared" si="1"/>
        <v/>
      </c>
      <c r="C131" s="31"/>
      <c r="D131" s="31"/>
      <c r="E131" s="31"/>
      <c r="F131" s="31"/>
      <c r="G131" s="59"/>
      <c r="H131" s="61"/>
      <c r="I131" s="47"/>
    </row>
    <row r="132" spans="2:9" x14ac:dyDescent="0.25">
      <c r="B132" s="55" t="str">
        <f t="shared" si="1"/>
        <v/>
      </c>
      <c r="C132" s="31"/>
      <c r="D132" s="31"/>
      <c r="E132" s="31"/>
      <c r="F132" s="31"/>
      <c r="G132" s="59"/>
      <c r="H132" s="61"/>
      <c r="I132" s="47"/>
    </row>
    <row r="133" spans="2:9" x14ac:dyDescent="0.25">
      <c r="B133" s="55" t="str">
        <f t="shared" si="1"/>
        <v/>
      </c>
      <c r="C133" s="31"/>
      <c r="D133" s="31"/>
      <c r="E133" s="31"/>
      <c r="F133" s="31"/>
      <c r="G133" s="59"/>
      <c r="H133" s="61"/>
      <c r="I133" s="47"/>
    </row>
    <row r="134" spans="2:9" x14ac:dyDescent="0.25">
      <c r="B134" s="55" t="str">
        <f t="shared" ref="B134:B197" si="2">IF(C134="","",B133+1)</f>
        <v/>
      </c>
      <c r="C134" s="31"/>
      <c r="D134" s="31"/>
      <c r="E134" s="31"/>
      <c r="F134" s="31"/>
      <c r="G134" s="59"/>
      <c r="H134" s="61"/>
      <c r="I134" s="47"/>
    </row>
    <row r="135" spans="2:9" x14ac:dyDescent="0.25">
      <c r="B135" s="55" t="str">
        <f t="shared" si="2"/>
        <v/>
      </c>
      <c r="C135" s="31"/>
      <c r="D135" s="31"/>
      <c r="E135" s="31"/>
      <c r="F135" s="31"/>
      <c r="G135" s="59"/>
      <c r="H135" s="61"/>
      <c r="I135" s="47"/>
    </row>
    <row r="136" spans="2:9" x14ac:dyDescent="0.25">
      <c r="B136" s="55" t="str">
        <f t="shared" si="2"/>
        <v/>
      </c>
      <c r="C136" s="31"/>
      <c r="D136" s="31"/>
      <c r="E136" s="31"/>
      <c r="F136" s="31"/>
      <c r="G136" s="59"/>
      <c r="H136" s="61"/>
      <c r="I136" s="47"/>
    </row>
    <row r="137" spans="2:9" x14ac:dyDescent="0.25">
      <c r="B137" s="55" t="str">
        <f t="shared" si="2"/>
        <v/>
      </c>
      <c r="C137" s="31"/>
      <c r="D137" s="31"/>
      <c r="E137" s="31"/>
      <c r="F137" s="31"/>
      <c r="G137" s="59"/>
      <c r="H137" s="61"/>
      <c r="I137" s="47"/>
    </row>
    <row r="138" spans="2:9" x14ac:dyDescent="0.25">
      <c r="B138" s="55" t="str">
        <f t="shared" si="2"/>
        <v/>
      </c>
      <c r="C138" s="31"/>
      <c r="D138" s="31"/>
      <c r="E138" s="31"/>
      <c r="F138" s="31"/>
      <c r="G138" s="59"/>
      <c r="H138" s="61"/>
      <c r="I138" s="47"/>
    </row>
    <row r="139" spans="2:9" x14ac:dyDescent="0.25">
      <c r="B139" s="55" t="str">
        <f t="shared" si="2"/>
        <v/>
      </c>
      <c r="C139" s="31"/>
      <c r="D139" s="31"/>
      <c r="E139" s="31"/>
      <c r="F139" s="31"/>
      <c r="G139" s="59"/>
      <c r="H139" s="61"/>
      <c r="I139" s="47"/>
    </row>
    <row r="140" spans="2:9" x14ac:dyDescent="0.25">
      <c r="B140" s="55" t="str">
        <f t="shared" si="2"/>
        <v/>
      </c>
      <c r="C140" s="31"/>
      <c r="D140" s="31"/>
      <c r="E140" s="31"/>
      <c r="F140" s="31"/>
      <c r="G140" s="59"/>
      <c r="H140" s="61"/>
      <c r="I140" s="47"/>
    </row>
    <row r="141" spans="2:9" x14ac:dyDescent="0.25">
      <c r="B141" s="55" t="str">
        <f t="shared" si="2"/>
        <v/>
      </c>
      <c r="C141" s="31"/>
      <c r="D141" s="31"/>
      <c r="E141" s="31"/>
      <c r="F141" s="31"/>
      <c r="G141" s="59"/>
      <c r="H141" s="61"/>
      <c r="I141" s="47"/>
    </row>
    <row r="142" spans="2:9" x14ac:dyDescent="0.25">
      <c r="B142" s="55" t="str">
        <f t="shared" si="2"/>
        <v/>
      </c>
      <c r="C142" s="31"/>
      <c r="D142" s="31"/>
      <c r="E142" s="31"/>
      <c r="F142" s="31"/>
      <c r="G142" s="59"/>
      <c r="H142" s="61"/>
      <c r="I142" s="47"/>
    </row>
    <row r="143" spans="2:9" x14ac:dyDescent="0.25">
      <c r="B143" s="55" t="str">
        <f t="shared" si="2"/>
        <v/>
      </c>
      <c r="C143" s="31"/>
      <c r="D143" s="31"/>
      <c r="E143" s="31"/>
      <c r="F143" s="31"/>
      <c r="G143" s="59"/>
      <c r="H143" s="61"/>
      <c r="I143" s="47"/>
    </row>
    <row r="144" spans="2:9" x14ac:dyDescent="0.25">
      <c r="B144" s="55" t="str">
        <f t="shared" si="2"/>
        <v/>
      </c>
      <c r="C144" s="31"/>
      <c r="D144" s="31"/>
      <c r="E144" s="31"/>
      <c r="F144" s="31"/>
      <c r="G144" s="59"/>
      <c r="H144" s="61"/>
      <c r="I144" s="47"/>
    </row>
    <row r="145" spans="2:9" x14ac:dyDescent="0.25">
      <c r="B145" s="55" t="str">
        <f t="shared" si="2"/>
        <v/>
      </c>
      <c r="C145" s="31"/>
      <c r="D145" s="31"/>
      <c r="E145" s="31"/>
      <c r="F145" s="31"/>
      <c r="G145" s="59"/>
      <c r="H145" s="61"/>
      <c r="I145" s="47"/>
    </row>
    <row r="146" spans="2:9" x14ac:dyDescent="0.25">
      <c r="B146" s="55" t="str">
        <f t="shared" si="2"/>
        <v/>
      </c>
      <c r="C146" s="31"/>
      <c r="D146" s="31"/>
      <c r="E146" s="31"/>
      <c r="F146" s="31"/>
      <c r="G146" s="59"/>
      <c r="H146" s="61"/>
      <c r="I146" s="47"/>
    </row>
    <row r="147" spans="2:9" x14ac:dyDescent="0.25">
      <c r="B147" s="55" t="str">
        <f t="shared" si="2"/>
        <v/>
      </c>
      <c r="C147" s="31"/>
      <c r="D147" s="31"/>
      <c r="E147" s="31"/>
      <c r="F147" s="31"/>
      <c r="G147" s="59"/>
      <c r="H147" s="61"/>
      <c r="I147" s="47"/>
    </row>
    <row r="148" spans="2:9" x14ac:dyDescent="0.25">
      <c r="B148" s="55" t="str">
        <f t="shared" si="2"/>
        <v/>
      </c>
      <c r="C148" s="31"/>
      <c r="D148" s="31"/>
      <c r="E148" s="31"/>
      <c r="F148" s="31"/>
      <c r="G148" s="59"/>
      <c r="H148" s="61"/>
      <c r="I148" s="47"/>
    </row>
    <row r="149" spans="2:9" x14ac:dyDescent="0.25">
      <c r="B149" s="55" t="str">
        <f t="shared" si="2"/>
        <v/>
      </c>
      <c r="C149" s="31"/>
      <c r="D149" s="31"/>
      <c r="E149" s="31"/>
      <c r="F149" s="31"/>
      <c r="G149" s="59"/>
      <c r="H149" s="61"/>
      <c r="I149" s="47"/>
    </row>
    <row r="150" spans="2:9" x14ac:dyDescent="0.25">
      <c r="B150" s="55" t="str">
        <f t="shared" si="2"/>
        <v/>
      </c>
      <c r="C150" s="31"/>
      <c r="D150" s="31"/>
      <c r="E150" s="31"/>
      <c r="F150" s="31"/>
      <c r="G150" s="59"/>
      <c r="H150" s="61"/>
      <c r="I150" s="47"/>
    </row>
    <row r="151" spans="2:9" x14ac:dyDescent="0.25">
      <c r="B151" s="55" t="str">
        <f t="shared" si="2"/>
        <v/>
      </c>
      <c r="C151" s="31"/>
      <c r="D151" s="31"/>
      <c r="E151" s="31"/>
      <c r="F151" s="31"/>
      <c r="G151" s="59"/>
      <c r="H151" s="61"/>
      <c r="I151" s="47"/>
    </row>
    <row r="152" spans="2:9" x14ac:dyDescent="0.25">
      <c r="B152" s="55" t="str">
        <f t="shared" si="2"/>
        <v/>
      </c>
      <c r="C152" s="31"/>
      <c r="D152" s="31"/>
      <c r="E152" s="31"/>
      <c r="F152" s="31"/>
      <c r="G152" s="59"/>
      <c r="H152" s="61"/>
      <c r="I152" s="47"/>
    </row>
    <row r="153" spans="2:9" x14ac:dyDescent="0.25">
      <c r="B153" s="55" t="str">
        <f t="shared" si="2"/>
        <v/>
      </c>
      <c r="C153" s="31"/>
      <c r="D153" s="31"/>
      <c r="E153" s="31"/>
      <c r="F153" s="31"/>
      <c r="G153" s="59"/>
      <c r="H153" s="61"/>
      <c r="I153" s="47"/>
    </row>
    <row r="154" spans="2:9" x14ac:dyDescent="0.25">
      <c r="B154" s="55" t="str">
        <f t="shared" si="2"/>
        <v/>
      </c>
      <c r="C154" s="31"/>
      <c r="D154" s="31"/>
      <c r="E154" s="31"/>
      <c r="F154" s="31"/>
      <c r="G154" s="59"/>
      <c r="H154" s="61"/>
      <c r="I154" s="47"/>
    </row>
    <row r="155" spans="2:9" x14ac:dyDescent="0.25">
      <c r="B155" s="55" t="str">
        <f t="shared" si="2"/>
        <v/>
      </c>
      <c r="C155" s="31"/>
      <c r="D155" s="31"/>
      <c r="E155" s="31"/>
      <c r="F155" s="31"/>
      <c r="G155" s="59"/>
      <c r="H155" s="61"/>
      <c r="I155" s="47"/>
    </row>
    <row r="156" spans="2:9" x14ac:dyDescent="0.25">
      <c r="B156" s="55" t="str">
        <f t="shared" si="2"/>
        <v/>
      </c>
      <c r="C156" s="31"/>
      <c r="D156" s="31"/>
      <c r="E156" s="31"/>
      <c r="F156" s="31"/>
      <c r="G156" s="59"/>
      <c r="H156" s="61"/>
      <c r="I156" s="47"/>
    </row>
    <row r="157" spans="2:9" x14ac:dyDescent="0.25">
      <c r="B157" s="55" t="str">
        <f t="shared" si="2"/>
        <v/>
      </c>
      <c r="C157" s="31"/>
      <c r="D157" s="31"/>
      <c r="E157" s="31"/>
      <c r="F157" s="31"/>
      <c r="G157" s="59"/>
      <c r="H157" s="61"/>
      <c r="I157" s="47"/>
    </row>
    <row r="158" spans="2:9" x14ac:dyDescent="0.25">
      <c r="B158" s="55" t="str">
        <f t="shared" si="2"/>
        <v/>
      </c>
      <c r="C158" s="31"/>
      <c r="D158" s="31"/>
      <c r="E158" s="31"/>
      <c r="F158" s="31"/>
      <c r="G158" s="59"/>
      <c r="H158" s="61"/>
      <c r="I158" s="47"/>
    </row>
    <row r="159" spans="2:9" x14ac:dyDescent="0.25">
      <c r="B159" s="55" t="str">
        <f t="shared" si="2"/>
        <v/>
      </c>
      <c r="C159" s="31"/>
      <c r="D159" s="31"/>
      <c r="E159" s="31"/>
      <c r="F159" s="31"/>
      <c r="G159" s="59"/>
      <c r="H159" s="61"/>
      <c r="I159" s="47"/>
    </row>
    <row r="160" spans="2:9" x14ac:dyDescent="0.25">
      <c r="B160" s="55" t="str">
        <f t="shared" si="2"/>
        <v/>
      </c>
      <c r="C160" s="31"/>
      <c r="D160" s="31"/>
      <c r="E160" s="31"/>
      <c r="F160" s="31"/>
      <c r="G160" s="59"/>
      <c r="H160" s="61"/>
      <c r="I160" s="47"/>
    </row>
    <row r="161" spans="2:9" x14ac:dyDescent="0.25">
      <c r="B161" s="55" t="str">
        <f t="shared" si="2"/>
        <v/>
      </c>
      <c r="C161" s="31"/>
      <c r="D161" s="31"/>
      <c r="E161" s="31"/>
      <c r="F161" s="31"/>
      <c r="G161" s="59"/>
      <c r="H161" s="61"/>
      <c r="I161" s="47"/>
    </row>
    <row r="162" spans="2:9" x14ac:dyDescent="0.25">
      <c r="B162" s="55" t="str">
        <f t="shared" si="2"/>
        <v/>
      </c>
      <c r="C162" s="31"/>
      <c r="D162" s="31"/>
      <c r="E162" s="31"/>
      <c r="F162" s="31"/>
      <c r="G162" s="59"/>
      <c r="H162" s="61"/>
      <c r="I162" s="47"/>
    </row>
    <row r="163" spans="2:9" x14ac:dyDescent="0.25">
      <c r="B163" s="55" t="str">
        <f t="shared" si="2"/>
        <v/>
      </c>
      <c r="C163" s="31"/>
      <c r="D163" s="31"/>
      <c r="E163" s="31"/>
      <c r="F163" s="31"/>
      <c r="G163" s="59"/>
      <c r="H163" s="61"/>
      <c r="I163" s="47"/>
    </row>
    <row r="164" spans="2:9" x14ac:dyDescent="0.25">
      <c r="B164" s="55" t="str">
        <f t="shared" si="2"/>
        <v/>
      </c>
      <c r="C164" s="31"/>
      <c r="D164" s="31"/>
      <c r="E164" s="31"/>
      <c r="F164" s="31"/>
      <c r="G164" s="59"/>
      <c r="H164" s="61"/>
      <c r="I164" s="47"/>
    </row>
    <row r="165" spans="2:9" x14ac:dyDescent="0.25">
      <c r="B165" s="55" t="str">
        <f t="shared" si="2"/>
        <v/>
      </c>
      <c r="C165" s="31"/>
      <c r="D165" s="31"/>
      <c r="E165" s="31"/>
      <c r="F165" s="31"/>
      <c r="G165" s="59"/>
      <c r="H165" s="61"/>
      <c r="I165" s="47"/>
    </row>
    <row r="166" spans="2:9" x14ac:dyDescent="0.25">
      <c r="B166" s="55" t="str">
        <f t="shared" si="2"/>
        <v/>
      </c>
      <c r="C166" s="31"/>
      <c r="D166" s="31"/>
      <c r="E166" s="31"/>
      <c r="F166" s="31"/>
      <c r="G166" s="59"/>
      <c r="H166" s="61"/>
      <c r="I166" s="47"/>
    </row>
    <row r="167" spans="2:9" x14ac:dyDescent="0.25">
      <c r="B167" s="55" t="str">
        <f t="shared" si="2"/>
        <v/>
      </c>
      <c r="C167" s="31"/>
      <c r="D167" s="31"/>
      <c r="E167" s="31"/>
      <c r="F167" s="31"/>
      <c r="G167" s="59"/>
      <c r="H167" s="61"/>
      <c r="I167" s="47"/>
    </row>
    <row r="168" spans="2:9" x14ac:dyDescent="0.25">
      <c r="B168" s="55" t="str">
        <f t="shared" si="2"/>
        <v/>
      </c>
      <c r="C168" s="31"/>
      <c r="D168" s="31"/>
      <c r="E168" s="31"/>
      <c r="F168" s="31"/>
      <c r="G168" s="59"/>
      <c r="H168" s="61"/>
      <c r="I168" s="47"/>
    </row>
    <row r="169" spans="2:9" x14ac:dyDescent="0.25">
      <c r="B169" s="55" t="str">
        <f t="shared" si="2"/>
        <v/>
      </c>
      <c r="C169" s="31"/>
      <c r="D169" s="31"/>
      <c r="E169" s="31"/>
      <c r="F169" s="31"/>
      <c r="G169" s="59"/>
      <c r="H169" s="61"/>
      <c r="I169" s="47"/>
    </row>
    <row r="170" spans="2:9" x14ac:dyDescent="0.25">
      <c r="B170" s="55" t="str">
        <f t="shared" si="2"/>
        <v/>
      </c>
      <c r="C170" s="31"/>
      <c r="D170" s="31"/>
      <c r="E170" s="31"/>
      <c r="F170" s="31"/>
      <c r="G170" s="59"/>
      <c r="H170" s="61"/>
      <c r="I170" s="47"/>
    </row>
    <row r="171" spans="2:9" x14ac:dyDescent="0.25">
      <c r="B171" s="55" t="str">
        <f t="shared" si="2"/>
        <v/>
      </c>
      <c r="C171" s="31"/>
      <c r="D171" s="31"/>
      <c r="E171" s="31"/>
      <c r="F171" s="31"/>
      <c r="G171" s="59"/>
      <c r="H171" s="61"/>
      <c r="I171" s="47"/>
    </row>
    <row r="172" spans="2:9" x14ac:dyDescent="0.25">
      <c r="B172" s="55" t="str">
        <f t="shared" si="2"/>
        <v/>
      </c>
      <c r="C172" s="31"/>
      <c r="D172" s="31"/>
      <c r="E172" s="31"/>
      <c r="F172" s="31"/>
      <c r="G172" s="59"/>
      <c r="H172" s="61"/>
      <c r="I172" s="47"/>
    </row>
    <row r="173" spans="2:9" x14ac:dyDescent="0.25">
      <c r="B173" s="55" t="str">
        <f t="shared" si="2"/>
        <v/>
      </c>
      <c r="C173" s="31"/>
      <c r="D173" s="31"/>
      <c r="E173" s="31"/>
      <c r="F173" s="31"/>
      <c r="G173" s="59"/>
      <c r="H173" s="61"/>
      <c r="I173" s="47"/>
    </row>
    <row r="174" spans="2:9" x14ac:dyDescent="0.25">
      <c r="B174" s="55" t="str">
        <f t="shared" si="2"/>
        <v/>
      </c>
      <c r="C174" s="31"/>
      <c r="D174" s="31"/>
      <c r="E174" s="31"/>
      <c r="F174" s="31"/>
      <c r="G174" s="59"/>
      <c r="H174" s="61"/>
      <c r="I174" s="47"/>
    </row>
    <row r="175" spans="2:9" x14ac:dyDescent="0.25">
      <c r="B175" s="55" t="str">
        <f t="shared" si="2"/>
        <v/>
      </c>
      <c r="C175" s="31"/>
      <c r="D175" s="31"/>
      <c r="E175" s="31"/>
      <c r="F175" s="31"/>
      <c r="G175" s="59"/>
      <c r="H175" s="61"/>
      <c r="I175" s="47"/>
    </row>
    <row r="176" spans="2:9" x14ac:dyDescent="0.25">
      <c r="B176" s="55" t="str">
        <f t="shared" si="2"/>
        <v/>
      </c>
      <c r="C176" s="31"/>
      <c r="D176" s="31"/>
      <c r="E176" s="31"/>
      <c r="F176" s="31"/>
      <c r="G176" s="59"/>
      <c r="H176" s="61"/>
      <c r="I176" s="47"/>
    </row>
    <row r="177" spans="2:9" x14ac:dyDescent="0.25">
      <c r="B177" s="55" t="str">
        <f t="shared" si="2"/>
        <v/>
      </c>
      <c r="C177" s="31"/>
      <c r="D177" s="31"/>
      <c r="E177" s="31"/>
      <c r="F177" s="31"/>
      <c r="G177" s="59"/>
      <c r="H177" s="61"/>
      <c r="I177" s="47"/>
    </row>
    <row r="178" spans="2:9" x14ac:dyDescent="0.25">
      <c r="B178" s="55" t="str">
        <f t="shared" si="2"/>
        <v/>
      </c>
      <c r="C178" s="31"/>
      <c r="D178" s="31"/>
      <c r="E178" s="31"/>
      <c r="F178" s="31"/>
      <c r="G178" s="59"/>
      <c r="H178" s="61"/>
      <c r="I178" s="47"/>
    </row>
    <row r="179" spans="2:9" x14ac:dyDescent="0.25">
      <c r="B179" s="55" t="str">
        <f t="shared" si="2"/>
        <v/>
      </c>
      <c r="C179" s="31"/>
      <c r="D179" s="31"/>
      <c r="E179" s="31"/>
      <c r="F179" s="31"/>
      <c r="G179" s="59"/>
      <c r="H179" s="61"/>
      <c r="I179" s="47"/>
    </row>
    <row r="180" spans="2:9" x14ac:dyDescent="0.25">
      <c r="B180" s="55" t="str">
        <f t="shared" si="2"/>
        <v/>
      </c>
      <c r="C180" s="31"/>
      <c r="D180" s="31"/>
      <c r="E180" s="31"/>
      <c r="F180" s="31"/>
      <c r="G180" s="59"/>
      <c r="H180" s="61"/>
      <c r="I180" s="47"/>
    </row>
    <row r="181" spans="2:9" x14ac:dyDescent="0.25">
      <c r="B181" s="55" t="str">
        <f t="shared" si="2"/>
        <v/>
      </c>
      <c r="C181" s="31"/>
      <c r="D181" s="31"/>
      <c r="E181" s="31"/>
      <c r="F181" s="31"/>
      <c r="G181" s="59"/>
      <c r="H181" s="61"/>
      <c r="I181" s="47"/>
    </row>
    <row r="182" spans="2:9" x14ac:dyDescent="0.25">
      <c r="B182" s="55" t="str">
        <f t="shared" si="2"/>
        <v/>
      </c>
      <c r="C182" s="31"/>
      <c r="D182" s="31"/>
      <c r="E182" s="31"/>
      <c r="F182" s="31"/>
      <c r="G182" s="59"/>
      <c r="H182" s="61"/>
      <c r="I182" s="47"/>
    </row>
    <row r="183" spans="2:9" x14ac:dyDescent="0.25">
      <c r="B183" s="55" t="str">
        <f t="shared" si="2"/>
        <v/>
      </c>
      <c r="C183" s="31"/>
      <c r="D183" s="31"/>
      <c r="E183" s="31"/>
      <c r="F183" s="31"/>
      <c r="G183" s="59"/>
      <c r="H183" s="61"/>
      <c r="I183" s="47"/>
    </row>
    <row r="184" spans="2:9" x14ac:dyDescent="0.25">
      <c r="B184" s="55" t="str">
        <f t="shared" si="2"/>
        <v/>
      </c>
      <c r="C184" s="31"/>
      <c r="D184" s="31"/>
      <c r="E184" s="31"/>
      <c r="F184" s="31"/>
      <c r="G184" s="59"/>
      <c r="H184" s="61"/>
      <c r="I184" s="47"/>
    </row>
    <row r="185" spans="2:9" x14ac:dyDescent="0.25">
      <c r="B185" s="55" t="str">
        <f t="shared" si="2"/>
        <v/>
      </c>
      <c r="C185" s="31"/>
      <c r="D185" s="31"/>
      <c r="E185" s="31"/>
      <c r="F185" s="31"/>
      <c r="G185" s="59"/>
      <c r="H185" s="61"/>
      <c r="I185" s="47"/>
    </row>
    <row r="186" spans="2:9" x14ac:dyDescent="0.25">
      <c r="B186" s="55" t="str">
        <f t="shared" si="2"/>
        <v/>
      </c>
      <c r="C186" s="31"/>
      <c r="D186" s="31"/>
      <c r="E186" s="31"/>
      <c r="F186" s="31"/>
      <c r="G186" s="59"/>
      <c r="H186" s="61"/>
      <c r="I186" s="47"/>
    </row>
    <row r="187" spans="2:9" x14ac:dyDescent="0.25">
      <c r="B187" s="55" t="str">
        <f t="shared" si="2"/>
        <v/>
      </c>
      <c r="C187" s="31"/>
      <c r="D187" s="31"/>
      <c r="E187" s="31"/>
      <c r="F187" s="31"/>
      <c r="G187" s="59"/>
      <c r="H187" s="61"/>
      <c r="I187" s="47"/>
    </row>
    <row r="188" spans="2:9" x14ac:dyDescent="0.25">
      <c r="B188" s="55" t="str">
        <f t="shared" si="2"/>
        <v/>
      </c>
      <c r="C188" s="31"/>
      <c r="D188" s="31"/>
      <c r="E188" s="31"/>
      <c r="F188" s="31"/>
      <c r="G188" s="59"/>
      <c r="H188" s="61"/>
      <c r="I188" s="47"/>
    </row>
    <row r="189" spans="2:9" x14ac:dyDescent="0.25">
      <c r="B189" s="55" t="str">
        <f t="shared" si="2"/>
        <v/>
      </c>
      <c r="C189" s="31"/>
      <c r="D189" s="31"/>
      <c r="E189" s="31"/>
      <c r="F189" s="31"/>
      <c r="G189" s="59"/>
      <c r="H189" s="61"/>
      <c r="I189" s="47"/>
    </row>
    <row r="190" spans="2:9" x14ac:dyDescent="0.25">
      <c r="B190" s="55" t="str">
        <f t="shared" si="2"/>
        <v/>
      </c>
      <c r="C190" s="31"/>
      <c r="D190" s="31"/>
      <c r="E190" s="31"/>
      <c r="F190" s="31"/>
      <c r="G190" s="59"/>
      <c r="H190" s="61"/>
      <c r="I190" s="47"/>
    </row>
    <row r="191" spans="2:9" x14ac:dyDescent="0.25">
      <c r="B191" s="55" t="str">
        <f t="shared" si="2"/>
        <v/>
      </c>
      <c r="C191" s="31"/>
      <c r="D191" s="31"/>
      <c r="E191" s="31"/>
      <c r="F191" s="31"/>
      <c r="G191" s="59"/>
      <c r="H191" s="61"/>
      <c r="I191" s="47"/>
    </row>
    <row r="192" spans="2:9" x14ac:dyDescent="0.25">
      <c r="B192" s="55" t="str">
        <f t="shared" si="2"/>
        <v/>
      </c>
      <c r="C192" s="31"/>
      <c r="D192" s="31"/>
      <c r="E192" s="31"/>
      <c r="F192" s="31"/>
      <c r="G192" s="59"/>
      <c r="H192" s="61"/>
      <c r="I192" s="47"/>
    </row>
    <row r="193" spans="2:9" x14ac:dyDescent="0.25">
      <c r="B193" s="55" t="str">
        <f t="shared" si="2"/>
        <v/>
      </c>
      <c r="C193" s="31"/>
      <c r="D193" s="31"/>
      <c r="E193" s="31"/>
      <c r="F193" s="31"/>
      <c r="G193" s="59"/>
      <c r="H193" s="61"/>
      <c r="I193" s="47"/>
    </row>
    <row r="194" spans="2:9" x14ac:dyDescent="0.25">
      <c r="B194" s="55" t="str">
        <f t="shared" si="2"/>
        <v/>
      </c>
      <c r="C194" s="31"/>
      <c r="D194" s="31"/>
      <c r="E194" s="31"/>
      <c r="F194" s="31"/>
      <c r="G194" s="59"/>
      <c r="H194" s="61"/>
      <c r="I194" s="47"/>
    </row>
    <row r="195" spans="2:9" x14ac:dyDescent="0.25">
      <c r="B195" s="55" t="str">
        <f t="shared" si="2"/>
        <v/>
      </c>
      <c r="C195" s="31"/>
      <c r="D195" s="31"/>
      <c r="E195" s="31"/>
      <c r="F195" s="31"/>
      <c r="G195" s="59"/>
      <c r="H195" s="61"/>
      <c r="I195" s="47"/>
    </row>
    <row r="196" spans="2:9" x14ac:dyDescent="0.25">
      <c r="B196" s="55" t="str">
        <f t="shared" si="2"/>
        <v/>
      </c>
      <c r="C196" s="31"/>
      <c r="D196" s="31"/>
      <c r="E196" s="31"/>
      <c r="F196" s="31"/>
      <c r="G196" s="59"/>
      <c r="H196" s="61"/>
      <c r="I196" s="47"/>
    </row>
    <row r="197" spans="2:9" x14ac:dyDescent="0.25">
      <c r="B197" s="55" t="str">
        <f t="shared" si="2"/>
        <v/>
      </c>
      <c r="C197" s="31"/>
      <c r="D197" s="31"/>
      <c r="E197" s="31"/>
      <c r="F197" s="31"/>
      <c r="G197" s="59"/>
      <c r="H197" s="61"/>
      <c r="I197" s="47"/>
    </row>
    <row r="198" spans="2:9" x14ac:dyDescent="0.25">
      <c r="B198" s="55" t="str">
        <f t="shared" ref="B198:B261" si="3">IF(C198="","",B197+1)</f>
        <v/>
      </c>
      <c r="C198" s="31"/>
      <c r="D198" s="31"/>
      <c r="E198" s="31"/>
      <c r="F198" s="31"/>
      <c r="G198" s="59"/>
      <c r="H198" s="61"/>
      <c r="I198" s="47"/>
    </row>
    <row r="199" spans="2:9" x14ac:dyDescent="0.25">
      <c r="B199" s="55" t="str">
        <f t="shared" si="3"/>
        <v/>
      </c>
      <c r="C199" s="31"/>
      <c r="D199" s="31"/>
      <c r="E199" s="31"/>
      <c r="F199" s="31"/>
      <c r="G199" s="59"/>
      <c r="H199" s="61"/>
      <c r="I199" s="47"/>
    </row>
    <row r="200" spans="2:9" x14ac:dyDescent="0.25">
      <c r="B200" s="55" t="str">
        <f t="shared" si="3"/>
        <v/>
      </c>
      <c r="C200" s="31"/>
      <c r="D200" s="31"/>
      <c r="E200" s="31"/>
      <c r="F200" s="31"/>
      <c r="G200" s="59"/>
      <c r="H200" s="61"/>
      <c r="I200" s="47"/>
    </row>
    <row r="201" spans="2:9" x14ac:dyDescent="0.25">
      <c r="B201" s="55" t="str">
        <f t="shared" si="3"/>
        <v/>
      </c>
      <c r="C201" s="31"/>
      <c r="D201" s="31"/>
      <c r="E201" s="31"/>
      <c r="F201" s="31"/>
      <c r="G201" s="59"/>
      <c r="H201" s="61"/>
      <c r="I201" s="47"/>
    </row>
    <row r="202" spans="2:9" x14ac:dyDescent="0.25">
      <c r="B202" s="55" t="str">
        <f t="shared" si="3"/>
        <v/>
      </c>
      <c r="C202" s="31"/>
      <c r="D202" s="31"/>
      <c r="E202" s="31"/>
      <c r="F202" s="31"/>
      <c r="G202" s="59"/>
      <c r="H202" s="61"/>
      <c r="I202" s="47"/>
    </row>
    <row r="203" spans="2:9" x14ac:dyDescent="0.25">
      <c r="B203" s="55" t="str">
        <f t="shared" si="3"/>
        <v/>
      </c>
      <c r="C203" s="31"/>
      <c r="D203" s="31"/>
      <c r="E203" s="31"/>
      <c r="F203" s="31"/>
      <c r="G203" s="59"/>
      <c r="H203" s="61"/>
      <c r="I203" s="47"/>
    </row>
    <row r="204" spans="2:9" x14ac:dyDescent="0.25">
      <c r="B204" s="55" t="str">
        <f t="shared" si="3"/>
        <v/>
      </c>
      <c r="C204" s="31"/>
      <c r="D204" s="31"/>
      <c r="E204" s="31"/>
      <c r="F204" s="31"/>
      <c r="G204" s="59"/>
      <c r="H204" s="61"/>
      <c r="I204" s="47"/>
    </row>
    <row r="205" spans="2:9" x14ac:dyDescent="0.25">
      <c r="B205" s="55" t="str">
        <f t="shared" si="3"/>
        <v/>
      </c>
      <c r="C205" s="31"/>
      <c r="D205" s="31"/>
      <c r="E205" s="31"/>
      <c r="F205" s="31"/>
      <c r="G205" s="59"/>
      <c r="H205" s="61"/>
      <c r="I205" s="47"/>
    </row>
    <row r="206" spans="2:9" x14ac:dyDescent="0.25">
      <c r="B206" s="55" t="str">
        <f t="shared" si="3"/>
        <v/>
      </c>
      <c r="C206" s="31"/>
      <c r="D206" s="31"/>
      <c r="E206" s="31"/>
      <c r="F206" s="31"/>
      <c r="G206" s="59"/>
      <c r="H206" s="61"/>
      <c r="I206" s="47"/>
    </row>
    <row r="207" spans="2:9" x14ac:dyDescent="0.25">
      <c r="B207" s="55" t="str">
        <f t="shared" si="3"/>
        <v/>
      </c>
      <c r="C207" s="31"/>
      <c r="D207" s="31"/>
      <c r="E207" s="31"/>
      <c r="F207" s="31"/>
      <c r="G207" s="59"/>
      <c r="H207" s="61"/>
      <c r="I207" s="47"/>
    </row>
    <row r="208" spans="2:9" x14ac:dyDescent="0.25">
      <c r="B208" s="55" t="str">
        <f t="shared" si="3"/>
        <v/>
      </c>
      <c r="C208" s="31"/>
      <c r="D208" s="31"/>
      <c r="E208" s="31"/>
      <c r="F208" s="31"/>
      <c r="G208" s="59"/>
      <c r="H208" s="61"/>
      <c r="I208" s="47"/>
    </row>
    <row r="209" spans="2:9" x14ac:dyDescent="0.25">
      <c r="B209" s="55" t="str">
        <f t="shared" si="3"/>
        <v/>
      </c>
      <c r="C209" s="31"/>
      <c r="D209" s="31"/>
      <c r="E209" s="31"/>
      <c r="F209" s="31"/>
      <c r="G209" s="59"/>
      <c r="H209" s="61"/>
      <c r="I209" s="47"/>
    </row>
    <row r="210" spans="2:9" x14ac:dyDescent="0.25">
      <c r="B210" s="55" t="str">
        <f t="shared" si="3"/>
        <v/>
      </c>
      <c r="C210" s="31"/>
      <c r="D210" s="31"/>
      <c r="E210" s="31"/>
      <c r="F210" s="31"/>
      <c r="G210" s="59"/>
      <c r="H210" s="61"/>
      <c r="I210" s="47"/>
    </row>
    <row r="211" spans="2:9" x14ac:dyDescent="0.25">
      <c r="B211" s="55" t="str">
        <f t="shared" si="3"/>
        <v/>
      </c>
      <c r="C211" s="31"/>
      <c r="D211" s="31"/>
      <c r="E211" s="31"/>
      <c r="F211" s="31"/>
      <c r="G211" s="59"/>
      <c r="H211" s="61"/>
      <c r="I211" s="47"/>
    </row>
    <row r="212" spans="2:9" x14ac:dyDescent="0.25">
      <c r="B212" s="55" t="str">
        <f t="shared" si="3"/>
        <v/>
      </c>
      <c r="C212" s="31"/>
      <c r="D212" s="31"/>
      <c r="E212" s="31"/>
      <c r="F212" s="31"/>
      <c r="G212" s="59"/>
      <c r="H212" s="61"/>
      <c r="I212" s="47"/>
    </row>
    <row r="213" spans="2:9" x14ac:dyDescent="0.25">
      <c r="B213" s="55" t="str">
        <f t="shared" si="3"/>
        <v/>
      </c>
      <c r="C213" s="31"/>
      <c r="D213" s="31"/>
      <c r="E213" s="31"/>
      <c r="F213" s="31"/>
      <c r="G213" s="59"/>
      <c r="H213" s="61"/>
      <c r="I213" s="47"/>
    </row>
    <row r="214" spans="2:9" x14ac:dyDescent="0.25">
      <c r="B214" s="55" t="str">
        <f t="shared" si="3"/>
        <v/>
      </c>
      <c r="C214" s="31"/>
      <c r="D214" s="31"/>
      <c r="E214" s="31"/>
      <c r="F214" s="31"/>
      <c r="G214" s="59"/>
      <c r="H214" s="61"/>
      <c r="I214" s="47"/>
    </row>
    <row r="215" spans="2:9" x14ac:dyDescent="0.25">
      <c r="B215" s="55" t="str">
        <f t="shared" si="3"/>
        <v/>
      </c>
      <c r="C215" s="31"/>
      <c r="D215" s="31"/>
      <c r="E215" s="31"/>
      <c r="F215" s="31"/>
      <c r="G215" s="59"/>
      <c r="H215" s="61"/>
      <c r="I215" s="47"/>
    </row>
    <row r="216" spans="2:9" x14ac:dyDescent="0.25">
      <c r="B216" s="55" t="str">
        <f t="shared" si="3"/>
        <v/>
      </c>
      <c r="C216" s="31"/>
      <c r="D216" s="31"/>
      <c r="E216" s="31"/>
      <c r="F216" s="31"/>
      <c r="G216" s="59"/>
      <c r="H216" s="61"/>
      <c r="I216" s="47"/>
    </row>
    <row r="217" spans="2:9" x14ac:dyDescent="0.25">
      <c r="B217" s="55" t="str">
        <f t="shared" si="3"/>
        <v/>
      </c>
      <c r="C217" s="31"/>
      <c r="D217" s="31"/>
      <c r="E217" s="31"/>
      <c r="F217" s="31"/>
      <c r="G217" s="59"/>
      <c r="H217" s="61"/>
      <c r="I217" s="47"/>
    </row>
    <row r="218" spans="2:9" x14ac:dyDescent="0.25">
      <c r="B218" s="55" t="str">
        <f t="shared" si="3"/>
        <v/>
      </c>
      <c r="C218" s="31"/>
      <c r="D218" s="31"/>
      <c r="E218" s="31"/>
      <c r="F218" s="31"/>
      <c r="G218" s="59"/>
      <c r="H218" s="61"/>
      <c r="I218" s="47"/>
    </row>
    <row r="219" spans="2:9" x14ac:dyDescent="0.25">
      <c r="B219" s="55" t="str">
        <f t="shared" si="3"/>
        <v/>
      </c>
      <c r="C219" s="31"/>
      <c r="D219" s="31"/>
      <c r="E219" s="31"/>
      <c r="F219" s="31"/>
      <c r="G219" s="59"/>
      <c r="H219" s="61"/>
      <c r="I219" s="47"/>
    </row>
    <row r="220" spans="2:9" x14ac:dyDescent="0.25">
      <c r="B220" s="55" t="str">
        <f t="shared" si="3"/>
        <v/>
      </c>
      <c r="C220" s="31"/>
      <c r="D220" s="31"/>
      <c r="E220" s="31"/>
      <c r="F220" s="31"/>
      <c r="G220" s="59"/>
      <c r="H220" s="61"/>
      <c r="I220" s="47"/>
    </row>
    <row r="221" spans="2:9" x14ac:dyDescent="0.25">
      <c r="B221" s="55" t="str">
        <f t="shared" si="3"/>
        <v/>
      </c>
      <c r="C221" s="31"/>
      <c r="D221" s="31"/>
      <c r="E221" s="31"/>
      <c r="F221" s="31"/>
      <c r="G221" s="59"/>
      <c r="H221" s="61"/>
      <c r="I221" s="47"/>
    </row>
    <row r="222" spans="2:9" x14ac:dyDescent="0.25">
      <c r="B222" s="55" t="str">
        <f t="shared" si="3"/>
        <v/>
      </c>
      <c r="C222" s="31"/>
      <c r="D222" s="31"/>
      <c r="E222" s="31"/>
      <c r="F222" s="31"/>
      <c r="G222" s="59"/>
      <c r="H222" s="61"/>
      <c r="I222" s="47"/>
    </row>
    <row r="223" spans="2:9" x14ac:dyDescent="0.25">
      <c r="B223" s="55" t="str">
        <f t="shared" si="3"/>
        <v/>
      </c>
      <c r="C223" s="31"/>
      <c r="D223" s="31"/>
      <c r="E223" s="31"/>
      <c r="F223" s="31"/>
      <c r="G223" s="59"/>
      <c r="H223" s="61"/>
      <c r="I223" s="47"/>
    </row>
    <row r="224" spans="2:9" x14ac:dyDescent="0.25">
      <c r="B224" s="55" t="str">
        <f t="shared" si="3"/>
        <v/>
      </c>
      <c r="C224" s="31"/>
      <c r="D224" s="31"/>
      <c r="E224" s="31"/>
      <c r="F224" s="31"/>
      <c r="G224" s="59"/>
      <c r="H224" s="61"/>
      <c r="I224" s="47"/>
    </row>
    <row r="225" spans="2:9" x14ac:dyDescent="0.25">
      <c r="B225" s="55" t="str">
        <f t="shared" si="3"/>
        <v/>
      </c>
      <c r="C225" s="31"/>
      <c r="D225" s="31"/>
      <c r="E225" s="31"/>
      <c r="F225" s="31"/>
      <c r="G225" s="59"/>
      <c r="H225" s="61"/>
      <c r="I225" s="47"/>
    </row>
    <row r="226" spans="2:9" x14ac:dyDescent="0.25">
      <c r="B226" s="55" t="str">
        <f t="shared" si="3"/>
        <v/>
      </c>
      <c r="C226" s="31"/>
      <c r="D226" s="31"/>
      <c r="E226" s="31"/>
      <c r="F226" s="31"/>
      <c r="G226" s="59"/>
      <c r="H226" s="61"/>
      <c r="I226" s="47"/>
    </row>
    <row r="227" spans="2:9" x14ac:dyDescent="0.25">
      <c r="B227" s="55" t="str">
        <f t="shared" si="3"/>
        <v/>
      </c>
      <c r="C227" s="31"/>
      <c r="D227" s="31"/>
      <c r="E227" s="31"/>
      <c r="F227" s="31"/>
      <c r="G227" s="59"/>
      <c r="H227" s="61"/>
      <c r="I227" s="47"/>
    </row>
    <row r="228" spans="2:9" x14ac:dyDescent="0.25">
      <c r="B228" s="55" t="str">
        <f t="shared" si="3"/>
        <v/>
      </c>
      <c r="C228" s="31"/>
      <c r="D228" s="31"/>
      <c r="E228" s="31"/>
      <c r="F228" s="31"/>
      <c r="G228" s="59"/>
      <c r="H228" s="61"/>
      <c r="I228" s="47"/>
    </row>
    <row r="229" spans="2:9" x14ac:dyDescent="0.25">
      <c r="B229" s="55" t="str">
        <f t="shared" si="3"/>
        <v/>
      </c>
      <c r="C229" s="31"/>
      <c r="D229" s="31"/>
      <c r="E229" s="31"/>
      <c r="F229" s="31"/>
      <c r="G229" s="59"/>
      <c r="H229" s="61"/>
      <c r="I229" s="47"/>
    </row>
    <row r="230" spans="2:9" x14ac:dyDescent="0.25">
      <c r="B230" s="55" t="str">
        <f t="shared" si="3"/>
        <v/>
      </c>
      <c r="C230" s="31"/>
      <c r="D230" s="31"/>
      <c r="E230" s="31"/>
      <c r="F230" s="31"/>
      <c r="G230" s="59"/>
      <c r="H230" s="61"/>
      <c r="I230" s="47"/>
    </row>
    <row r="231" spans="2:9" x14ac:dyDescent="0.25">
      <c r="B231" s="55" t="str">
        <f t="shared" si="3"/>
        <v/>
      </c>
      <c r="C231" s="31"/>
      <c r="D231" s="31"/>
      <c r="E231" s="31"/>
      <c r="F231" s="31"/>
      <c r="G231" s="59"/>
      <c r="H231" s="61"/>
      <c r="I231" s="47"/>
    </row>
    <row r="232" spans="2:9" x14ac:dyDescent="0.25">
      <c r="B232" s="55" t="str">
        <f t="shared" si="3"/>
        <v/>
      </c>
      <c r="C232" s="31"/>
      <c r="D232" s="31"/>
      <c r="E232" s="31"/>
      <c r="F232" s="31"/>
      <c r="G232" s="59"/>
      <c r="H232" s="61"/>
      <c r="I232" s="47"/>
    </row>
    <row r="233" spans="2:9" x14ac:dyDescent="0.25">
      <c r="B233" s="55" t="str">
        <f t="shared" si="3"/>
        <v/>
      </c>
      <c r="C233" s="31"/>
      <c r="D233" s="31"/>
      <c r="E233" s="31"/>
      <c r="F233" s="31"/>
      <c r="G233" s="59"/>
      <c r="H233" s="61"/>
      <c r="I233" s="47"/>
    </row>
    <row r="234" spans="2:9" x14ac:dyDescent="0.25">
      <c r="B234" s="55" t="str">
        <f t="shared" si="3"/>
        <v/>
      </c>
      <c r="C234" s="31"/>
      <c r="D234" s="31"/>
      <c r="E234" s="31"/>
      <c r="F234" s="31"/>
      <c r="G234" s="59"/>
      <c r="H234" s="61"/>
      <c r="I234" s="47"/>
    </row>
    <row r="235" spans="2:9" x14ac:dyDescent="0.25">
      <c r="B235" s="55" t="str">
        <f t="shared" si="3"/>
        <v/>
      </c>
      <c r="C235" s="31"/>
      <c r="D235" s="31"/>
      <c r="E235" s="31"/>
      <c r="F235" s="31"/>
      <c r="G235" s="59"/>
      <c r="H235" s="61"/>
      <c r="I235" s="47"/>
    </row>
    <row r="236" spans="2:9" x14ac:dyDescent="0.25">
      <c r="B236" s="55" t="str">
        <f t="shared" si="3"/>
        <v/>
      </c>
      <c r="C236" s="31"/>
      <c r="D236" s="31"/>
      <c r="E236" s="31"/>
      <c r="F236" s="31"/>
      <c r="G236" s="59"/>
      <c r="H236" s="61"/>
      <c r="I236" s="47"/>
    </row>
    <row r="237" spans="2:9" x14ac:dyDescent="0.25">
      <c r="B237" s="55" t="str">
        <f t="shared" si="3"/>
        <v/>
      </c>
      <c r="C237" s="31"/>
      <c r="D237" s="31"/>
      <c r="E237" s="31"/>
      <c r="F237" s="31"/>
      <c r="G237" s="59"/>
      <c r="H237" s="61"/>
      <c r="I237" s="47"/>
    </row>
    <row r="238" spans="2:9" x14ac:dyDescent="0.25">
      <c r="B238" s="55" t="str">
        <f t="shared" si="3"/>
        <v/>
      </c>
      <c r="C238" s="31"/>
      <c r="D238" s="31"/>
      <c r="E238" s="31"/>
      <c r="F238" s="31"/>
      <c r="G238" s="59"/>
      <c r="H238" s="61"/>
      <c r="I238" s="47"/>
    </row>
    <row r="239" spans="2:9" x14ac:dyDescent="0.25">
      <c r="B239" s="55" t="str">
        <f t="shared" si="3"/>
        <v/>
      </c>
      <c r="C239" s="31"/>
      <c r="D239" s="31"/>
      <c r="E239" s="31"/>
      <c r="F239" s="31"/>
      <c r="G239" s="59"/>
      <c r="H239" s="61"/>
      <c r="I239" s="47"/>
    </row>
    <row r="240" spans="2:9" x14ac:dyDescent="0.25">
      <c r="B240" s="55" t="str">
        <f t="shared" si="3"/>
        <v/>
      </c>
      <c r="C240" s="31"/>
      <c r="D240" s="31"/>
      <c r="E240" s="31"/>
      <c r="F240" s="31"/>
      <c r="G240" s="59"/>
      <c r="H240" s="61"/>
      <c r="I240" s="47"/>
    </row>
    <row r="241" spans="2:9" x14ac:dyDescent="0.25">
      <c r="B241" s="55" t="str">
        <f t="shared" si="3"/>
        <v/>
      </c>
      <c r="C241" s="31"/>
      <c r="D241" s="31"/>
      <c r="E241" s="31"/>
      <c r="F241" s="31"/>
      <c r="G241" s="59"/>
      <c r="H241" s="61"/>
      <c r="I241" s="47"/>
    </row>
    <row r="242" spans="2:9" x14ac:dyDescent="0.25">
      <c r="B242" s="55" t="str">
        <f t="shared" si="3"/>
        <v/>
      </c>
      <c r="C242" s="31"/>
      <c r="D242" s="31"/>
      <c r="E242" s="31"/>
      <c r="F242" s="31"/>
      <c r="G242" s="59"/>
      <c r="H242" s="61"/>
      <c r="I242" s="47"/>
    </row>
    <row r="243" spans="2:9" x14ac:dyDescent="0.25">
      <c r="B243" s="55" t="str">
        <f t="shared" si="3"/>
        <v/>
      </c>
      <c r="C243" s="31"/>
      <c r="D243" s="31"/>
      <c r="E243" s="31"/>
      <c r="F243" s="31"/>
      <c r="G243" s="59"/>
      <c r="H243" s="61"/>
      <c r="I243" s="47"/>
    </row>
    <row r="244" spans="2:9" x14ac:dyDescent="0.25">
      <c r="B244" s="55" t="str">
        <f t="shared" si="3"/>
        <v/>
      </c>
      <c r="C244" s="31"/>
      <c r="D244" s="31"/>
      <c r="E244" s="31"/>
      <c r="F244" s="31"/>
      <c r="G244" s="59"/>
      <c r="H244" s="61"/>
      <c r="I244" s="47"/>
    </row>
    <row r="245" spans="2:9" x14ac:dyDescent="0.25">
      <c r="B245" s="55" t="str">
        <f t="shared" si="3"/>
        <v/>
      </c>
      <c r="C245" s="31"/>
      <c r="D245" s="31"/>
      <c r="E245" s="31"/>
      <c r="F245" s="31"/>
      <c r="G245" s="59"/>
      <c r="H245" s="61"/>
      <c r="I245" s="47"/>
    </row>
    <row r="246" spans="2:9" x14ac:dyDescent="0.25">
      <c r="B246" s="55" t="str">
        <f t="shared" si="3"/>
        <v/>
      </c>
      <c r="C246" s="31"/>
      <c r="D246" s="31"/>
      <c r="E246" s="31"/>
      <c r="F246" s="31"/>
      <c r="G246" s="59"/>
      <c r="H246" s="61"/>
      <c r="I246" s="47"/>
    </row>
    <row r="247" spans="2:9" x14ac:dyDescent="0.25">
      <c r="B247" s="55" t="str">
        <f t="shared" si="3"/>
        <v/>
      </c>
      <c r="C247" s="31"/>
      <c r="D247" s="31"/>
      <c r="E247" s="31"/>
      <c r="F247" s="31"/>
      <c r="G247" s="59"/>
      <c r="H247" s="61"/>
      <c r="I247" s="47"/>
    </row>
    <row r="248" spans="2:9" x14ac:dyDescent="0.25">
      <c r="B248" s="55" t="str">
        <f t="shared" si="3"/>
        <v/>
      </c>
      <c r="C248" s="31"/>
      <c r="D248" s="31"/>
      <c r="E248" s="31"/>
      <c r="F248" s="31"/>
      <c r="G248" s="59"/>
      <c r="H248" s="61"/>
      <c r="I248" s="47"/>
    </row>
    <row r="249" spans="2:9" x14ac:dyDescent="0.25">
      <c r="B249" s="55" t="str">
        <f t="shared" si="3"/>
        <v/>
      </c>
      <c r="C249" s="31"/>
      <c r="D249" s="31"/>
      <c r="E249" s="31"/>
      <c r="F249" s="31"/>
      <c r="G249" s="59"/>
      <c r="H249" s="61"/>
      <c r="I249" s="47"/>
    </row>
    <row r="250" spans="2:9" x14ac:dyDescent="0.25">
      <c r="B250" s="55" t="str">
        <f t="shared" si="3"/>
        <v/>
      </c>
      <c r="C250" s="31"/>
      <c r="D250" s="31"/>
      <c r="E250" s="31"/>
      <c r="F250" s="31"/>
      <c r="G250" s="59"/>
      <c r="H250" s="61"/>
      <c r="I250" s="47"/>
    </row>
    <row r="251" spans="2:9" x14ac:dyDescent="0.25">
      <c r="B251" s="55" t="str">
        <f t="shared" si="3"/>
        <v/>
      </c>
      <c r="C251" s="31"/>
      <c r="D251" s="31"/>
      <c r="E251" s="31"/>
      <c r="F251" s="31"/>
      <c r="G251" s="59"/>
      <c r="H251" s="61"/>
      <c r="I251" s="47"/>
    </row>
    <row r="252" spans="2:9" x14ac:dyDescent="0.25">
      <c r="B252" s="55" t="str">
        <f t="shared" si="3"/>
        <v/>
      </c>
      <c r="C252" s="31"/>
      <c r="D252" s="31"/>
      <c r="E252" s="31"/>
      <c r="F252" s="31"/>
      <c r="G252" s="59"/>
      <c r="H252" s="61"/>
      <c r="I252" s="47"/>
    </row>
    <row r="253" spans="2:9" x14ac:dyDescent="0.25">
      <c r="B253" s="55" t="str">
        <f t="shared" si="3"/>
        <v/>
      </c>
      <c r="C253" s="31"/>
      <c r="D253" s="31"/>
      <c r="E253" s="31"/>
      <c r="F253" s="31"/>
      <c r="G253" s="59"/>
      <c r="H253" s="61"/>
      <c r="I253" s="47"/>
    </row>
    <row r="254" spans="2:9" x14ac:dyDescent="0.25">
      <c r="B254" s="55" t="str">
        <f t="shared" si="3"/>
        <v/>
      </c>
      <c r="C254" s="31"/>
      <c r="D254" s="31"/>
      <c r="E254" s="31"/>
      <c r="F254" s="31"/>
      <c r="G254" s="59"/>
      <c r="H254" s="61"/>
      <c r="I254" s="47"/>
    </row>
    <row r="255" spans="2:9" x14ac:dyDescent="0.25">
      <c r="B255" s="55" t="str">
        <f t="shared" si="3"/>
        <v/>
      </c>
      <c r="C255" s="31"/>
      <c r="D255" s="31"/>
      <c r="E255" s="31"/>
      <c r="F255" s="31"/>
      <c r="G255" s="59"/>
      <c r="H255" s="61"/>
      <c r="I255" s="47"/>
    </row>
    <row r="256" spans="2:9" x14ac:dyDescent="0.25">
      <c r="B256" s="55" t="str">
        <f t="shared" si="3"/>
        <v/>
      </c>
      <c r="C256" s="31"/>
      <c r="D256" s="31"/>
      <c r="E256" s="31"/>
      <c r="F256" s="31"/>
      <c r="G256" s="59"/>
      <c r="H256" s="61"/>
      <c r="I256" s="47"/>
    </row>
    <row r="257" spans="2:9" x14ac:dyDescent="0.25">
      <c r="B257" s="55" t="str">
        <f t="shared" si="3"/>
        <v/>
      </c>
      <c r="C257" s="31"/>
      <c r="D257" s="31"/>
      <c r="E257" s="31"/>
      <c r="F257" s="31"/>
      <c r="G257" s="59"/>
      <c r="H257" s="61"/>
      <c r="I257" s="47"/>
    </row>
    <row r="258" spans="2:9" x14ac:dyDescent="0.25">
      <c r="B258" s="55" t="str">
        <f t="shared" si="3"/>
        <v/>
      </c>
      <c r="C258" s="31"/>
      <c r="D258" s="31"/>
      <c r="E258" s="31"/>
      <c r="F258" s="31"/>
      <c r="G258" s="59"/>
      <c r="H258" s="61"/>
      <c r="I258" s="47"/>
    </row>
    <row r="259" spans="2:9" x14ac:dyDescent="0.25">
      <c r="B259" s="55" t="str">
        <f t="shared" si="3"/>
        <v/>
      </c>
      <c r="C259" s="31"/>
      <c r="D259" s="31"/>
      <c r="E259" s="31"/>
      <c r="F259" s="31"/>
      <c r="G259" s="59"/>
      <c r="H259" s="61"/>
      <c r="I259" s="47"/>
    </row>
    <row r="260" spans="2:9" x14ac:dyDescent="0.25">
      <c r="B260" s="55" t="str">
        <f t="shared" si="3"/>
        <v/>
      </c>
      <c r="C260" s="31"/>
      <c r="D260" s="31"/>
      <c r="E260" s="31"/>
      <c r="F260" s="31"/>
      <c r="G260" s="59"/>
      <c r="H260" s="61"/>
      <c r="I260" s="47"/>
    </row>
    <row r="261" spans="2:9" x14ac:dyDescent="0.25">
      <c r="B261" s="55" t="str">
        <f t="shared" si="3"/>
        <v/>
      </c>
      <c r="C261" s="31"/>
      <c r="D261" s="31"/>
      <c r="E261" s="31"/>
      <c r="F261" s="31"/>
      <c r="G261" s="59"/>
      <c r="H261" s="61"/>
      <c r="I261" s="47"/>
    </row>
    <row r="262" spans="2:9" x14ac:dyDescent="0.25">
      <c r="B262" s="55" t="str">
        <f t="shared" ref="B262:B325" si="4">IF(C262="","",B261+1)</f>
        <v/>
      </c>
      <c r="C262" s="31"/>
      <c r="D262" s="31"/>
      <c r="E262" s="31"/>
      <c r="F262" s="31"/>
      <c r="G262" s="59"/>
      <c r="H262" s="61"/>
      <c r="I262" s="47"/>
    </row>
    <row r="263" spans="2:9" x14ac:dyDescent="0.25">
      <c r="B263" s="55" t="str">
        <f t="shared" si="4"/>
        <v/>
      </c>
      <c r="C263" s="31"/>
      <c r="D263" s="31"/>
      <c r="E263" s="31"/>
      <c r="F263" s="31"/>
      <c r="G263" s="59"/>
      <c r="H263" s="61"/>
      <c r="I263" s="47"/>
    </row>
    <row r="264" spans="2:9" x14ac:dyDescent="0.25">
      <c r="B264" s="55" t="str">
        <f t="shared" si="4"/>
        <v/>
      </c>
      <c r="C264" s="31"/>
      <c r="D264" s="31"/>
      <c r="E264" s="31"/>
      <c r="F264" s="31"/>
      <c r="G264" s="59"/>
      <c r="H264" s="61"/>
      <c r="I264" s="47"/>
    </row>
    <row r="265" spans="2:9" x14ac:dyDescent="0.25">
      <c r="B265" s="55" t="str">
        <f t="shared" si="4"/>
        <v/>
      </c>
      <c r="C265" s="31"/>
      <c r="D265" s="31"/>
      <c r="E265" s="31"/>
      <c r="F265" s="31"/>
      <c r="G265" s="59"/>
      <c r="H265" s="61"/>
      <c r="I265" s="47"/>
    </row>
    <row r="266" spans="2:9" x14ac:dyDescent="0.25">
      <c r="B266" s="55" t="str">
        <f t="shared" si="4"/>
        <v/>
      </c>
      <c r="C266" s="31"/>
      <c r="D266" s="31"/>
      <c r="E266" s="31"/>
      <c r="F266" s="31"/>
      <c r="G266" s="59"/>
      <c r="H266" s="61"/>
      <c r="I266" s="47"/>
    </row>
    <row r="267" spans="2:9" x14ac:dyDescent="0.25">
      <c r="B267" s="55" t="str">
        <f t="shared" si="4"/>
        <v/>
      </c>
      <c r="C267" s="31"/>
      <c r="D267" s="31"/>
      <c r="E267" s="31"/>
      <c r="F267" s="31"/>
      <c r="G267" s="59"/>
      <c r="H267" s="61"/>
      <c r="I267" s="47"/>
    </row>
    <row r="268" spans="2:9" x14ac:dyDescent="0.25">
      <c r="B268" s="55" t="str">
        <f t="shared" si="4"/>
        <v/>
      </c>
      <c r="C268" s="31"/>
      <c r="D268" s="31"/>
      <c r="E268" s="31"/>
      <c r="F268" s="31"/>
      <c r="G268" s="59"/>
      <c r="H268" s="61"/>
      <c r="I268" s="47"/>
    </row>
    <row r="269" spans="2:9" x14ac:dyDescent="0.25">
      <c r="B269" s="55" t="str">
        <f t="shared" si="4"/>
        <v/>
      </c>
      <c r="C269" s="31"/>
      <c r="D269" s="31"/>
      <c r="E269" s="31"/>
      <c r="F269" s="31"/>
      <c r="G269" s="59"/>
      <c r="H269" s="61"/>
      <c r="I269" s="47"/>
    </row>
    <row r="270" spans="2:9" x14ac:dyDescent="0.25">
      <c r="B270" s="55" t="str">
        <f t="shared" si="4"/>
        <v/>
      </c>
      <c r="C270" s="31"/>
      <c r="D270" s="31"/>
      <c r="E270" s="31"/>
      <c r="F270" s="31"/>
      <c r="G270" s="59"/>
      <c r="H270" s="61"/>
      <c r="I270" s="47"/>
    </row>
    <row r="271" spans="2:9" x14ac:dyDescent="0.25">
      <c r="B271" s="55" t="str">
        <f t="shared" si="4"/>
        <v/>
      </c>
      <c r="C271" s="31"/>
      <c r="D271" s="31"/>
      <c r="E271" s="31"/>
      <c r="F271" s="31"/>
      <c r="G271" s="59"/>
      <c r="H271" s="61"/>
      <c r="I271" s="47"/>
    </row>
    <row r="272" spans="2:9" x14ac:dyDescent="0.25">
      <c r="B272" s="55" t="str">
        <f t="shared" si="4"/>
        <v/>
      </c>
      <c r="C272" s="31"/>
      <c r="D272" s="31"/>
      <c r="E272" s="31"/>
      <c r="F272" s="31"/>
      <c r="G272" s="59"/>
      <c r="H272" s="61"/>
      <c r="I272" s="47"/>
    </row>
    <row r="273" spans="2:9" x14ac:dyDescent="0.25">
      <c r="B273" s="55" t="str">
        <f t="shared" si="4"/>
        <v/>
      </c>
      <c r="C273" s="31"/>
      <c r="D273" s="31"/>
      <c r="E273" s="31"/>
      <c r="F273" s="31"/>
      <c r="G273" s="59"/>
      <c r="H273" s="61"/>
      <c r="I273" s="47"/>
    </row>
    <row r="274" spans="2:9" x14ac:dyDescent="0.25">
      <c r="B274" s="55" t="str">
        <f t="shared" si="4"/>
        <v/>
      </c>
      <c r="C274" s="31"/>
      <c r="D274" s="31"/>
      <c r="E274" s="31"/>
      <c r="F274" s="31"/>
      <c r="G274" s="59"/>
      <c r="H274" s="61"/>
      <c r="I274" s="47"/>
    </row>
    <row r="275" spans="2:9" x14ac:dyDescent="0.25">
      <c r="B275" s="55" t="str">
        <f t="shared" si="4"/>
        <v/>
      </c>
      <c r="C275" s="31"/>
      <c r="D275" s="31"/>
      <c r="E275" s="31"/>
      <c r="F275" s="31"/>
      <c r="G275" s="59"/>
      <c r="H275" s="61"/>
      <c r="I275" s="47"/>
    </row>
    <row r="276" spans="2:9" x14ac:dyDescent="0.25">
      <c r="B276" s="55" t="str">
        <f t="shared" si="4"/>
        <v/>
      </c>
      <c r="C276" s="31"/>
      <c r="D276" s="31"/>
      <c r="E276" s="31"/>
      <c r="F276" s="31"/>
      <c r="G276" s="59"/>
      <c r="H276" s="61"/>
      <c r="I276" s="47"/>
    </row>
    <row r="277" spans="2:9" x14ac:dyDescent="0.25">
      <c r="B277" s="55" t="str">
        <f t="shared" si="4"/>
        <v/>
      </c>
      <c r="C277" s="31"/>
      <c r="D277" s="31"/>
      <c r="E277" s="31"/>
      <c r="F277" s="31"/>
      <c r="G277" s="59"/>
      <c r="H277" s="61"/>
      <c r="I277" s="47"/>
    </row>
    <row r="278" spans="2:9" x14ac:dyDescent="0.25">
      <c r="B278" s="55" t="str">
        <f t="shared" si="4"/>
        <v/>
      </c>
      <c r="C278" s="31"/>
      <c r="D278" s="31"/>
      <c r="E278" s="31"/>
      <c r="F278" s="31"/>
      <c r="G278" s="59"/>
      <c r="H278" s="61"/>
      <c r="I278" s="47"/>
    </row>
    <row r="279" spans="2:9" x14ac:dyDescent="0.25">
      <c r="B279" s="55" t="str">
        <f t="shared" si="4"/>
        <v/>
      </c>
      <c r="C279" s="31"/>
      <c r="D279" s="31"/>
      <c r="E279" s="31"/>
      <c r="F279" s="31"/>
      <c r="G279" s="59"/>
      <c r="H279" s="61"/>
      <c r="I279" s="47"/>
    </row>
    <row r="280" spans="2:9" x14ac:dyDescent="0.25">
      <c r="B280" s="55" t="str">
        <f t="shared" si="4"/>
        <v/>
      </c>
      <c r="C280" s="31"/>
      <c r="D280" s="31"/>
      <c r="E280" s="31"/>
      <c r="F280" s="31"/>
      <c r="G280" s="59"/>
      <c r="H280" s="61"/>
      <c r="I280" s="47"/>
    </row>
    <row r="281" spans="2:9" x14ac:dyDescent="0.25">
      <c r="B281" s="55" t="str">
        <f t="shared" si="4"/>
        <v/>
      </c>
      <c r="C281" s="31"/>
      <c r="D281" s="31"/>
      <c r="E281" s="31"/>
      <c r="F281" s="31"/>
      <c r="G281" s="59"/>
      <c r="H281" s="61"/>
      <c r="I281" s="47"/>
    </row>
    <row r="282" spans="2:9" x14ac:dyDescent="0.25">
      <c r="B282" s="55" t="str">
        <f t="shared" si="4"/>
        <v/>
      </c>
      <c r="C282" s="31"/>
      <c r="D282" s="31"/>
      <c r="E282" s="31"/>
      <c r="F282" s="31"/>
      <c r="G282" s="59"/>
      <c r="H282" s="61"/>
      <c r="I282" s="47"/>
    </row>
    <row r="283" spans="2:9" x14ac:dyDescent="0.25">
      <c r="B283" s="55" t="str">
        <f t="shared" si="4"/>
        <v/>
      </c>
      <c r="C283" s="31"/>
      <c r="D283" s="31"/>
      <c r="E283" s="31"/>
      <c r="F283" s="31"/>
      <c r="G283" s="59"/>
      <c r="H283" s="61"/>
      <c r="I283" s="47"/>
    </row>
    <row r="284" spans="2:9" x14ac:dyDescent="0.25">
      <c r="B284" s="55" t="str">
        <f t="shared" si="4"/>
        <v/>
      </c>
      <c r="C284" s="31"/>
      <c r="D284" s="31"/>
      <c r="E284" s="31"/>
      <c r="F284" s="31"/>
      <c r="G284" s="59"/>
      <c r="H284" s="61"/>
      <c r="I284" s="47"/>
    </row>
    <row r="285" spans="2:9" x14ac:dyDescent="0.25">
      <c r="B285" s="55" t="str">
        <f t="shared" si="4"/>
        <v/>
      </c>
      <c r="C285" s="31"/>
      <c r="D285" s="31"/>
      <c r="E285" s="31"/>
      <c r="F285" s="31"/>
      <c r="G285" s="59"/>
      <c r="H285" s="61"/>
      <c r="I285" s="47"/>
    </row>
    <row r="286" spans="2:9" x14ac:dyDescent="0.25">
      <c r="B286" s="55" t="str">
        <f t="shared" si="4"/>
        <v/>
      </c>
      <c r="C286" s="31"/>
      <c r="D286" s="31"/>
      <c r="E286" s="31"/>
      <c r="F286" s="31"/>
      <c r="G286" s="59"/>
      <c r="H286" s="61"/>
      <c r="I286" s="47"/>
    </row>
    <row r="287" spans="2:9" x14ac:dyDescent="0.25">
      <c r="B287" s="55" t="str">
        <f t="shared" si="4"/>
        <v/>
      </c>
      <c r="C287" s="31"/>
      <c r="D287" s="31"/>
      <c r="E287" s="31"/>
      <c r="F287" s="31"/>
      <c r="G287" s="59"/>
      <c r="H287" s="61"/>
      <c r="I287" s="47"/>
    </row>
    <row r="288" spans="2:9" x14ac:dyDescent="0.25">
      <c r="B288" s="55" t="str">
        <f t="shared" si="4"/>
        <v/>
      </c>
      <c r="C288" s="31"/>
      <c r="D288" s="31"/>
      <c r="E288" s="31"/>
      <c r="F288" s="31"/>
      <c r="G288" s="59"/>
      <c r="H288" s="61"/>
      <c r="I288" s="47"/>
    </row>
    <row r="289" spans="2:9" x14ac:dyDescent="0.25">
      <c r="B289" s="55" t="str">
        <f t="shared" si="4"/>
        <v/>
      </c>
      <c r="C289" s="31"/>
      <c r="D289" s="31"/>
      <c r="E289" s="31"/>
      <c r="F289" s="31"/>
      <c r="G289" s="59"/>
      <c r="H289" s="61"/>
      <c r="I289" s="47"/>
    </row>
    <row r="290" spans="2:9" x14ac:dyDescent="0.25">
      <c r="B290" s="55" t="str">
        <f t="shared" si="4"/>
        <v/>
      </c>
      <c r="C290" s="31"/>
      <c r="D290" s="31"/>
      <c r="E290" s="31"/>
      <c r="F290" s="31"/>
      <c r="G290" s="59"/>
      <c r="H290" s="61"/>
      <c r="I290" s="47"/>
    </row>
    <row r="291" spans="2:9" x14ac:dyDescent="0.25">
      <c r="B291" s="55" t="str">
        <f t="shared" si="4"/>
        <v/>
      </c>
      <c r="C291" s="31"/>
      <c r="D291" s="31"/>
      <c r="E291" s="31"/>
      <c r="F291" s="31"/>
      <c r="G291" s="59"/>
      <c r="H291" s="61"/>
      <c r="I291" s="47"/>
    </row>
    <row r="292" spans="2:9" x14ac:dyDescent="0.25">
      <c r="B292" s="55" t="str">
        <f t="shared" si="4"/>
        <v/>
      </c>
      <c r="C292" s="31"/>
      <c r="D292" s="31"/>
      <c r="E292" s="31"/>
      <c r="F292" s="31"/>
      <c r="G292" s="59"/>
      <c r="H292" s="61"/>
      <c r="I292" s="47"/>
    </row>
    <row r="293" spans="2:9" x14ac:dyDescent="0.25">
      <c r="B293" s="55" t="str">
        <f t="shared" si="4"/>
        <v/>
      </c>
      <c r="C293" s="31"/>
      <c r="D293" s="31"/>
      <c r="E293" s="31"/>
      <c r="F293" s="31"/>
      <c r="G293" s="59"/>
      <c r="H293" s="61"/>
      <c r="I293" s="47"/>
    </row>
    <row r="294" spans="2:9" x14ac:dyDescent="0.25">
      <c r="B294" s="55" t="str">
        <f t="shared" si="4"/>
        <v/>
      </c>
      <c r="C294" s="31"/>
      <c r="D294" s="31"/>
      <c r="E294" s="31"/>
      <c r="F294" s="31"/>
      <c r="G294" s="59"/>
      <c r="H294" s="61"/>
      <c r="I294" s="47"/>
    </row>
    <row r="295" spans="2:9" x14ac:dyDescent="0.25">
      <c r="B295" s="55" t="str">
        <f t="shared" si="4"/>
        <v/>
      </c>
      <c r="C295" s="31"/>
      <c r="D295" s="31"/>
      <c r="E295" s="31"/>
      <c r="F295" s="31"/>
      <c r="G295" s="59"/>
      <c r="H295" s="61"/>
      <c r="I295" s="47"/>
    </row>
    <row r="296" spans="2:9" x14ac:dyDescent="0.25">
      <c r="B296" s="55" t="str">
        <f t="shared" si="4"/>
        <v/>
      </c>
      <c r="C296" s="31"/>
      <c r="D296" s="31"/>
      <c r="E296" s="31"/>
      <c r="F296" s="31"/>
      <c r="G296" s="59"/>
      <c r="H296" s="61"/>
      <c r="I296" s="47"/>
    </row>
    <row r="297" spans="2:9" x14ac:dyDescent="0.25">
      <c r="B297" s="55" t="str">
        <f t="shared" si="4"/>
        <v/>
      </c>
      <c r="C297" s="31"/>
      <c r="D297" s="31"/>
      <c r="E297" s="31"/>
      <c r="F297" s="31"/>
      <c r="G297" s="59"/>
      <c r="H297" s="61"/>
      <c r="I297" s="47"/>
    </row>
    <row r="298" spans="2:9" x14ac:dyDescent="0.25">
      <c r="B298" s="55" t="str">
        <f t="shared" si="4"/>
        <v/>
      </c>
      <c r="C298" s="31"/>
      <c r="D298" s="31"/>
      <c r="E298" s="31"/>
      <c r="F298" s="31"/>
      <c r="G298" s="59"/>
      <c r="H298" s="61"/>
      <c r="I298" s="47"/>
    </row>
    <row r="299" spans="2:9" x14ac:dyDescent="0.25">
      <c r="B299" s="55" t="str">
        <f t="shared" si="4"/>
        <v/>
      </c>
      <c r="C299" s="31"/>
      <c r="D299" s="31"/>
      <c r="E299" s="31"/>
      <c r="F299" s="31"/>
      <c r="G299" s="59"/>
      <c r="H299" s="61"/>
      <c r="I299" s="47"/>
    </row>
    <row r="300" spans="2:9" x14ac:dyDescent="0.25">
      <c r="B300" s="55" t="str">
        <f t="shared" si="4"/>
        <v/>
      </c>
      <c r="C300" s="31"/>
      <c r="D300" s="31"/>
      <c r="E300" s="31"/>
      <c r="F300" s="31"/>
      <c r="G300" s="59"/>
      <c r="H300" s="61"/>
      <c r="I300" s="47"/>
    </row>
    <row r="301" spans="2:9" x14ac:dyDescent="0.25">
      <c r="B301" s="55" t="str">
        <f t="shared" si="4"/>
        <v/>
      </c>
      <c r="C301" s="31"/>
      <c r="D301" s="31"/>
      <c r="E301" s="31"/>
      <c r="F301" s="31"/>
      <c r="G301" s="59"/>
      <c r="H301" s="61"/>
      <c r="I301" s="47"/>
    </row>
    <row r="302" spans="2:9" x14ac:dyDescent="0.25">
      <c r="B302" s="55" t="str">
        <f t="shared" si="4"/>
        <v/>
      </c>
      <c r="C302" s="31"/>
      <c r="D302" s="31"/>
      <c r="E302" s="31"/>
      <c r="F302" s="31"/>
      <c r="G302" s="59"/>
      <c r="H302" s="61"/>
      <c r="I302" s="47"/>
    </row>
    <row r="303" spans="2:9" x14ac:dyDescent="0.25">
      <c r="B303" s="55" t="str">
        <f t="shared" si="4"/>
        <v/>
      </c>
      <c r="C303" s="31"/>
      <c r="D303" s="31"/>
      <c r="E303" s="31"/>
      <c r="F303" s="31"/>
      <c r="G303" s="59"/>
      <c r="H303" s="61"/>
      <c r="I303" s="47"/>
    </row>
    <row r="304" spans="2:9" x14ac:dyDescent="0.25">
      <c r="B304" s="55" t="str">
        <f t="shared" si="4"/>
        <v/>
      </c>
      <c r="C304" s="31"/>
      <c r="D304" s="31"/>
      <c r="E304" s="31"/>
      <c r="F304" s="31"/>
      <c r="G304" s="59"/>
      <c r="H304" s="61"/>
      <c r="I304" s="47"/>
    </row>
    <row r="305" spans="2:9" x14ac:dyDescent="0.25">
      <c r="B305" s="55" t="str">
        <f t="shared" si="4"/>
        <v/>
      </c>
      <c r="C305" s="31"/>
      <c r="D305" s="31"/>
      <c r="E305" s="31"/>
      <c r="F305" s="31"/>
      <c r="G305" s="59"/>
      <c r="H305" s="61"/>
      <c r="I305" s="47"/>
    </row>
    <row r="306" spans="2:9" x14ac:dyDescent="0.25">
      <c r="B306" s="55" t="str">
        <f t="shared" si="4"/>
        <v/>
      </c>
      <c r="C306" s="31"/>
      <c r="D306" s="31"/>
      <c r="E306" s="31"/>
      <c r="F306" s="31"/>
      <c r="G306" s="59"/>
      <c r="H306" s="61"/>
      <c r="I306" s="47"/>
    </row>
    <row r="307" spans="2:9" x14ac:dyDescent="0.25">
      <c r="B307" s="55" t="str">
        <f t="shared" si="4"/>
        <v/>
      </c>
      <c r="C307" s="31"/>
      <c r="D307" s="31"/>
      <c r="E307" s="31"/>
      <c r="F307" s="31"/>
      <c r="G307" s="59"/>
      <c r="H307" s="61"/>
      <c r="I307" s="47"/>
    </row>
    <row r="308" spans="2:9" x14ac:dyDescent="0.25">
      <c r="B308" s="55" t="str">
        <f t="shared" si="4"/>
        <v/>
      </c>
      <c r="C308" s="31"/>
      <c r="D308" s="31"/>
      <c r="E308" s="31"/>
      <c r="F308" s="31"/>
      <c r="G308" s="59"/>
      <c r="H308" s="61"/>
      <c r="I308" s="47"/>
    </row>
    <row r="309" spans="2:9" x14ac:dyDescent="0.25">
      <c r="B309" s="55" t="str">
        <f t="shared" si="4"/>
        <v/>
      </c>
      <c r="C309" s="31"/>
      <c r="D309" s="31"/>
      <c r="E309" s="31"/>
      <c r="F309" s="31"/>
      <c r="G309" s="59"/>
      <c r="H309" s="61"/>
      <c r="I309" s="47"/>
    </row>
    <row r="310" spans="2:9" x14ac:dyDescent="0.25">
      <c r="B310" s="55" t="str">
        <f t="shared" si="4"/>
        <v/>
      </c>
      <c r="C310" s="31"/>
      <c r="D310" s="31"/>
      <c r="E310" s="31"/>
      <c r="F310" s="31"/>
      <c r="G310" s="59"/>
      <c r="H310" s="61"/>
      <c r="I310" s="47"/>
    </row>
    <row r="311" spans="2:9" x14ac:dyDescent="0.25">
      <c r="B311" s="55" t="str">
        <f t="shared" si="4"/>
        <v/>
      </c>
      <c r="C311" s="31"/>
      <c r="D311" s="31"/>
      <c r="E311" s="31"/>
      <c r="F311" s="31"/>
      <c r="G311" s="59"/>
      <c r="H311" s="61"/>
      <c r="I311" s="47"/>
    </row>
    <row r="312" spans="2:9" x14ac:dyDescent="0.25">
      <c r="B312" s="55" t="str">
        <f t="shared" si="4"/>
        <v/>
      </c>
      <c r="C312" s="31"/>
      <c r="D312" s="31"/>
      <c r="E312" s="31"/>
      <c r="F312" s="31"/>
      <c r="G312" s="59"/>
      <c r="H312" s="61"/>
      <c r="I312" s="47"/>
    </row>
    <row r="313" spans="2:9" x14ac:dyDescent="0.25">
      <c r="B313" s="55" t="str">
        <f t="shared" si="4"/>
        <v/>
      </c>
      <c r="C313" s="31"/>
      <c r="D313" s="31"/>
      <c r="E313" s="31"/>
      <c r="F313" s="31"/>
      <c r="G313" s="59"/>
      <c r="H313" s="61"/>
      <c r="I313" s="47"/>
    </row>
    <row r="314" spans="2:9" x14ac:dyDescent="0.25">
      <c r="B314" s="55" t="str">
        <f t="shared" si="4"/>
        <v/>
      </c>
      <c r="C314" s="31"/>
      <c r="D314" s="31"/>
      <c r="E314" s="31"/>
      <c r="F314" s="31"/>
      <c r="G314" s="59"/>
      <c r="H314" s="61"/>
      <c r="I314" s="47"/>
    </row>
    <row r="315" spans="2:9" x14ac:dyDescent="0.25">
      <c r="B315" s="55" t="str">
        <f t="shared" si="4"/>
        <v/>
      </c>
      <c r="C315" s="31"/>
      <c r="D315" s="31"/>
      <c r="E315" s="31"/>
      <c r="F315" s="31"/>
      <c r="G315" s="59"/>
      <c r="H315" s="61"/>
      <c r="I315" s="47"/>
    </row>
    <row r="316" spans="2:9" x14ac:dyDescent="0.25">
      <c r="B316" s="55" t="str">
        <f t="shared" si="4"/>
        <v/>
      </c>
      <c r="C316" s="31"/>
      <c r="D316" s="31"/>
      <c r="E316" s="31"/>
      <c r="F316" s="31"/>
      <c r="G316" s="59"/>
      <c r="H316" s="61"/>
      <c r="I316" s="47"/>
    </row>
    <row r="317" spans="2:9" x14ac:dyDescent="0.25">
      <c r="B317" s="55" t="str">
        <f t="shared" si="4"/>
        <v/>
      </c>
      <c r="C317" s="31"/>
      <c r="D317" s="31"/>
      <c r="E317" s="31"/>
      <c r="F317" s="31"/>
      <c r="G317" s="59"/>
      <c r="H317" s="61"/>
      <c r="I317" s="47"/>
    </row>
    <row r="318" spans="2:9" x14ac:dyDescent="0.25">
      <c r="B318" s="55" t="str">
        <f t="shared" si="4"/>
        <v/>
      </c>
      <c r="C318" s="31"/>
      <c r="D318" s="31"/>
      <c r="E318" s="31"/>
      <c r="F318" s="31"/>
      <c r="G318" s="59"/>
      <c r="H318" s="61"/>
      <c r="I318" s="47"/>
    </row>
    <row r="319" spans="2:9" x14ac:dyDescent="0.25">
      <c r="B319" s="55" t="str">
        <f t="shared" si="4"/>
        <v/>
      </c>
      <c r="C319" s="31"/>
      <c r="D319" s="31"/>
      <c r="E319" s="31"/>
      <c r="F319" s="31"/>
      <c r="G319" s="59"/>
      <c r="H319" s="61"/>
      <c r="I319" s="47"/>
    </row>
    <row r="320" spans="2:9" x14ac:dyDescent="0.25">
      <c r="B320" s="55" t="str">
        <f t="shared" si="4"/>
        <v/>
      </c>
      <c r="C320" s="31"/>
      <c r="D320" s="31"/>
      <c r="E320" s="31"/>
      <c r="F320" s="31"/>
      <c r="G320" s="59"/>
      <c r="H320" s="61"/>
      <c r="I320" s="47"/>
    </row>
    <row r="321" spans="2:9" x14ac:dyDescent="0.25">
      <c r="B321" s="55" t="str">
        <f t="shared" si="4"/>
        <v/>
      </c>
      <c r="C321" s="31"/>
      <c r="D321" s="31"/>
      <c r="E321" s="31"/>
      <c r="F321" s="31"/>
      <c r="G321" s="59"/>
      <c r="H321" s="61"/>
      <c r="I321" s="47"/>
    </row>
    <row r="322" spans="2:9" x14ac:dyDescent="0.25">
      <c r="B322" s="55" t="str">
        <f t="shared" si="4"/>
        <v/>
      </c>
      <c r="C322" s="31"/>
      <c r="D322" s="31"/>
      <c r="E322" s="31"/>
      <c r="F322" s="31"/>
      <c r="G322" s="59"/>
      <c r="H322" s="61"/>
      <c r="I322" s="47"/>
    </row>
    <row r="323" spans="2:9" x14ac:dyDescent="0.25">
      <c r="B323" s="55" t="str">
        <f t="shared" si="4"/>
        <v/>
      </c>
      <c r="C323" s="31"/>
      <c r="D323" s="31"/>
      <c r="E323" s="31"/>
      <c r="F323" s="31"/>
      <c r="G323" s="59"/>
      <c r="H323" s="61"/>
      <c r="I323" s="47"/>
    </row>
    <row r="324" spans="2:9" x14ac:dyDescent="0.25">
      <c r="B324" s="55" t="str">
        <f t="shared" si="4"/>
        <v/>
      </c>
      <c r="C324" s="31"/>
      <c r="D324" s="31"/>
      <c r="E324" s="31"/>
      <c r="F324" s="31"/>
      <c r="G324" s="59"/>
      <c r="H324" s="61"/>
      <c r="I324" s="47"/>
    </row>
    <row r="325" spans="2:9" x14ac:dyDescent="0.25">
      <c r="B325" s="55" t="str">
        <f t="shared" si="4"/>
        <v/>
      </c>
      <c r="C325" s="31"/>
      <c r="D325" s="31"/>
      <c r="E325" s="31"/>
      <c r="F325" s="31"/>
      <c r="G325" s="59"/>
      <c r="H325" s="61"/>
      <c r="I325" s="47"/>
    </row>
    <row r="326" spans="2:9" x14ac:dyDescent="0.25">
      <c r="B326" s="55" t="str">
        <f t="shared" ref="B326:B389" si="5">IF(C326="","",B325+1)</f>
        <v/>
      </c>
      <c r="C326" s="31"/>
      <c r="D326" s="31"/>
      <c r="E326" s="31"/>
      <c r="F326" s="31"/>
      <c r="G326" s="59"/>
      <c r="H326" s="61"/>
      <c r="I326" s="47"/>
    </row>
    <row r="327" spans="2:9" x14ac:dyDescent="0.25">
      <c r="B327" s="55" t="str">
        <f t="shared" si="5"/>
        <v/>
      </c>
      <c r="C327" s="31"/>
      <c r="D327" s="31"/>
      <c r="E327" s="31"/>
      <c r="F327" s="31"/>
      <c r="G327" s="59"/>
      <c r="H327" s="61"/>
      <c r="I327" s="47"/>
    </row>
    <row r="328" spans="2:9" x14ac:dyDescent="0.25">
      <c r="B328" s="55" t="str">
        <f t="shared" si="5"/>
        <v/>
      </c>
      <c r="C328" s="31"/>
      <c r="D328" s="31"/>
      <c r="E328" s="31"/>
      <c r="F328" s="31"/>
      <c r="G328" s="59"/>
      <c r="H328" s="61"/>
      <c r="I328" s="47"/>
    </row>
    <row r="329" spans="2:9" x14ac:dyDescent="0.25">
      <c r="B329" s="55" t="str">
        <f t="shared" si="5"/>
        <v/>
      </c>
      <c r="C329" s="31"/>
      <c r="D329" s="31"/>
      <c r="E329" s="31"/>
      <c r="F329" s="31"/>
      <c r="G329" s="59"/>
      <c r="H329" s="61"/>
      <c r="I329" s="47"/>
    </row>
    <row r="330" spans="2:9" x14ac:dyDescent="0.25">
      <c r="B330" s="55" t="str">
        <f t="shared" si="5"/>
        <v/>
      </c>
      <c r="C330" s="31"/>
      <c r="D330" s="31"/>
      <c r="E330" s="31"/>
      <c r="F330" s="31"/>
      <c r="G330" s="59"/>
      <c r="H330" s="61"/>
      <c r="I330" s="47"/>
    </row>
    <row r="331" spans="2:9" x14ac:dyDescent="0.25">
      <c r="B331" s="55" t="str">
        <f t="shared" si="5"/>
        <v/>
      </c>
      <c r="C331" s="31"/>
      <c r="D331" s="31"/>
      <c r="E331" s="31"/>
      <c r="F331" s="31"/>
      <c r="G331" s="59"/>
      <c r="H331" s="61"/>
      <c r="I331" s="47"/>
    </row>
    <row r="332" spans="2:9" x14ac:dyDescent="0.25">
      <c r="B332" s="55" t="str">
        <f t="shared" si="5"/>
        <v/>
      </c>
      <c r="C332" s="31"/>
      <c r="D332" s="31"/>
      <c r="E332" s="31"/>
      <c r="F332" s="31"/>
      <c r="G332" s="59"/>
      <c r="H332" s="61"/>
      <c r="I332" s="47"/>
    </row>
    <row r="333" spans="2:9" x14ac:dyDescent="0.25">
      <c r="B333" s="55" t="str">
        <f t="shared" si="5"/>
        <v/>
      </c>
      <c r="C333" s="31"/>
      <c r="D333" s="31"/>
      <c r="E333" s="31"/>
      <c r="F333" s="31"/>
      <c r="G333" s="59"/>
      <c r="H333" s="61"/>
      <c r="I333" s="47"/>
    </row>
    <row r="334" spans="2:9" x14ac:dyDescent="0.25">
      <c r="B334" s="55" t="str">
        <f t="shared" si="5"/>
        <v/>
      </c>
      <c r="C334" s="31"/>
      <c r="D334" s="31"/>
      <c r="E334" s="31"/>
      <c r="F334" s="31"/>
      <c r="G334" s="59"/>
      <c r="H334" s="61"/>
      <c r="I334" s="47"/>
    </row>
    <row r="335" spans="2:9" x14ac:dyDescent="0.25">
      <c r="B335" s="55" t="str">
        <f t="shared" si="5"/>
        <v/>
      </c>
      <c r="C335" s="31"/>
      <c r="D335" s="31"/>
      <c r="E335" s="31"/>
      <c r="F335" s="31"/>
      <c r="G335" s="59"/>
      <c r="H335" s="61"/>
      <c r="I335" s="47"/>
    </row>
    <row r="336" spans="2:9" x14ac:dyDescent="0.25">
      <c r="B336" s="55" t="str">
        <f t="shared" si="5"/>
        <v/>
      </c>
      <c r="C336" s="31"/>
      <c r="D336" s="31"/>
      <c r="E336" s="31"/>
      <c r="F336" s="31"/>
      <c r="G336" s="59"/>
      <c r="H336" s="61"/>
      <c r="I336" s="47"/>
    </row>
    <row r="337" spans="2:9" x14ac:dyDescent="0.25">
      <c r="B337" s="55" t="str">
        <f t="shared" si="5"/>
        <v/>
      </c>
      <c r="C337" s="31"/>
      <c r="D337" s="31"/>
      <c r="E337" s="31"/>
      <c r="F337" s="31"/>
      <c r="G337" s="59"/>
      <c r="H337" s="61"/>
      <c r="I337" s="47"/>
    </row>
    <row r="338" spans="2:9" x14ac:dyDescent="0.25">
      <c r="B338" s="55" t="str">
        <f t="shared" si="5"/>
        <v/>
      </c>
      <c r="C338" s="31"/>
      <c r="D338" s="31"/>
      <c r="E338" s="31"/>
      <c r="F338" s="31"/>
      <c r="G338" s="59"/>
      <c r="H338" s="61"/>
      <c r="I338" s="47"/>
    </row>
    <row r="339" spans="2:9" x14ac:dyDescent="0.25">
      <c r="B339" s="55" t="str">
        <f t="shared" si="5"/>
        <v/>
      </c>
      <c r="C339" s="31"/>
      <c r="D339" s="31"/>
      <c r="E339" s="31"/>
      <c r="F339" s="31"/>
      <c r="G339" s="59"/>
      <c r="H339" s="61"/>
      <c r="I339" s="47"/>
    </row>
    <row r="340" spans="2:9" x14ac:dyDescent="0.25">
      <c r="B340" s="55" t="str">
        <f t="shared" si="5"/>
        <v/>
      </c>
      <c r="C340" s="31"/>
      <c r="D340" s="31"/>
      <c r="E340" s="31"/>
      <c r="F340" s="31"/>
      <c r="G340" s="59"/>
      <c r="H340" s="61"/>
      <c r="I340" s="47"/>
    </row>
    <row r="341" spans="2:9" x14ac:dyDescent="0.25">
      <c r="B341" s="55" t="str">
        <f t="shared" si="5"/>
        <v/>
      </c>
      <c r="C341" s="31"/>
      <c r="D341" s="31"/>
      <c r="E341" s="31"/>
      <c r="F341" s="31"/>
      <c r="G341" s="59"/>
      <c r="H341" s="61"/>
      <c r="I341" s="47"/>
    </row>
    <row r="342" spans="2:9" x14ac:dyDescent="0.25">
      <c r="B342" s="55" t="str">
        <f t="shared" si="5"/>
        <v/>
      </c>
      <c r="C342" s="31"/>
      <c r="D342" s="31"/>
      <c r="E342" s="31"/>
      <c r="F342" s="31"/>
      <c r="G342" s="59"/>
      <c r="H342" s="61"/>
      <c r="I342" s="47"/>
    </row>
    <row r="343" spans="2:9" x14ac:dyDescent="0.25">
      <c r="B343" s="55" t="str">
        <f t="shared" si="5"/>
        <v/>
      </c>
      <c r="C343" s="31"/>
      <c r="D343" s="31"/>
      <c r="E343" s="31"/>
      <c r="F343" s="31"/>
      <c r="G343" s="59"/>
      <c r="H343" s="61"/>
      <c r="I343" s="47"/>
    </row>
    <row r="344" spans="2:9" x14ac:dyDescent="0.25">
      <c r="B344" s="55" t="str">
        <f t="shared" si="5"/>
        <v/>
      </c>
      <c r="C344" s="31"/>
      <c r="D344" s="31"/>
      <c r="E344" s="31"/>
      <c r="F344" s="31"/>
      <c r="G344" s="59"/>
      <c r="H344" s="61"/>
      <c r="I344" s="47"/>
    </row>
    <row r="345" spans="2:9" x14ac:dyDescent="0.25">
      <c r="B345" s="55" t="str">
        <f t="shared" si="5"/>
        <v/>
      </c>
      <c r="C345" s="31"/>
      <c r="D345" s="31"/>
      <c r="E345" s="31"/>
      <c r="F345" s="31"/>
      <c r="G345" s="59"/>
      <c r="H345" s="61"/>
      <c r="I345" s="47"/>
    </row>
    <row r="346" spans="2:9" x14ac:dyDescent="0.25">
      <c r="B346" s="55" t="str">
        <f t="shared" si="5"/>
        <v/>
      </c>
      <c r="C346" s="31"/>
      <c r="D346" s="31"/>
      <c r="E346" s="31"/>
      <c r="F346" s="31"/>
      <c r="G346" s="59"/>
      <c r="H346" s="61"/>
      <c r="I346" s="47"/>
    </row>
    <row r="347" spans="2:9" x14ac:dyDescent="0.25">
      <c r="B347" s="55" t="str">
        <f t="shared" si="5"/>
        <v/>
      </c>
      <c r="C347" s="31"/>
      <c r="D347" s="31"/>
      <c r="E347" s="31"/>
      <c r="F347" s="31"/>
      <c r="G347" s="59"/>
      <c r="H347" s="61"/>
      <c r="I347" s="47"/>
    </row>
    <row r="348" spans="2:9" x14ac:dyDescent="0.25">
      <c r="B348" s="55" t="str">
        <f t="shared" si="5"/>
        <v/>
      </c>
      <c r="C348" s="31"/>
      <c r="D348" s="31"/>
      <c r="E348" s="31"/>
      <c r="F348" s="31"/>
      <c r="G348" s="59"/>
      <c r="H348" s="61"/>
      <c r="I348" s="47"/>
    </row>
    <row r="349" spans="2:9" x14ac:dyDescent="0.25">
      <c r="B349" s="55" t="str">
        <f t="shared" si="5"/>
        <v/>
      </c>
      <c r="C349" s="31"/>
      <c r="D349" s="31"/>
      <c r="E349" s="31"/>
      <c r="F349" s="31"/>
      <c r="G349" s="59"/>
      <c r="H349" s="61"/>
      <c r="I349" s="47"/>
    </row>
    <row r="350" spans="2:9" x14ac:dyDescent="0.25">
      <c r="B350" s="55" t="str">
        <f t="shared" si="5"/>
        <v/>
      </c>
      <c r="C350" s="31"/>
      <c r="D350" s="31"/>
      <c r="E350" s="31"/>
      <c r="F350" s="31"/>
      <c r="G350" s="59"/>
      <c r="H350" s="61"/>
      <c r="I350" s="47"/>
    </row>
    <row r="351" spans="2:9" x14ac:dyDescent="0.25">
      <c r="B351" s="55" t="str">
        <f t="shared" si="5"/>
        <v/>
      </c>
      <c r="C351" s="31"/>
      <c r="D351" s="31"/>
      <c r="E351" s="31"/>
      <c r="F351" s="31"/>
      <c r="G351" s="59"/>
      <c r="H351" s="61"/>
      <c r="I351" s="47"/>
    </row>
    <row r="352" spans="2:9" x14ac:dyDescent="0.25">
      <c r="B352" s="55" t="str">
        <f t="shared" si="5"/>
        <v/>
      </c>
      <c r="C352" s="31"/>
      <c r="D352" s="31"/>
      <c r="E352" s="31"/>
      <c r="F352" s="31"/>
      <c r="G352" s="59"/>
      <c r="H352" s="61"/>
      <c r="I352" s="47"/>
    </row>
    <row r="353" spans="2:9" x14ac:dyDescent="0.25">
      <c r="B353" s="55" t="str">
        <f t="shared" si="5"/>
        <v/>
      </c>
      <c r="C353" s="31"/>
      <c r="D353" s="31"/>
      <c r="E353" s="31"/>
      <c r="F353" s="31"/>
      <c r="G353" s="59"/>
      <c r="H353" s="61"/>
      <c r="I353" s="47"/>
    </row>
    <row r="354" spans="2:9" x14ac:dyDescent="0.25">
      <c r="B354" s="55" t="str">
        <f t="shared" si="5"/>
        <v/>
      </c>
      <c r="C354" s="31"/>
      <c r="D354" s="31"/>
      <c r="E354" s="31"/>
      <c r="F354" s="31"/>
      <c r="G354" s="59"/>
      <c r="H354" s="61"/>
      <c r="I354" s="47"/>
    </row>
    <row r="355" spans="2:9" x14ac:dyDescent="0.25">
      <c r="B355" s="55" t="str">
        <f t="shared" si="5"/>
        <v/>
      </c>
      <c r="C355" s="31"/>
      <c r="D355" s="31"/>
      <c r="E355" s="31"/>
      <c r="F355" s="31"/>
      <c r="G355" s="59"/>
      <c r="H355" s="61"/>
      <c r="I355" s="47"/>
    </row>
    <row r="356" spans="2:9" x14ac:dyDescent="0.25">
      <c r="B356" s="55" t="str">
        <f t="shared" si="5"/>
        <v/>
      </c>
      <c r="C356" s="31"/>
      <c r="D356" s="31"/>
      <c r="E356" s="31"/>
      <c r="F356" s="31"/>
      <c r="G356" s="59"/>
      <c r="H356" s="61"/>
      <c r="I356" s="47"/>
    </row>
    <row r="357" spans="2:9" x14ac:dyDescent="0.25">
      <c r="B357" s="55" t="str">
        <f t="shared" si="5"/>
        <v/>
      </c>
      <c r="C357" s="31"/>
      <c r="D357" s="31"/>
      <c r="E357" s="31"/>
      <c r="F357" s="31"/>
      <c r="G357" s="59"/>
      <c r="H357" s="61"/>
      <c r="I357" s="47"/>
    </row>
    <row r="358" spans="2:9" x14ac:dyDescent="0.25">
      <c r="B358" s="55" t="str">
        <f t="shared" si="5"/>
        <v/>
      </c>
      <c r="C358" s="31"/>
      <c r="D358" s="31"/>
      <c r="E358" s="31"/>
      <c r="F358" s="31"/>
      <c r="G358" s="59"/>
      <c r="H358" s="61"/>
      <c r="I358" s="47"/>
    </row>
    <row r="359" spans="2:9" x14ac:dyDescent="0.25">
      <c r="B359" s="55" t="str">
        <f t="shared" si="5"/>
        <v/>
      </c>
      <c r="C359" s="31"/>
      <c r="D359" s="31"/>
      <c r="E359" s="31"/>
      <c r="F359" s="31"/>
      <c r="G359" s="59"/>
      <c r="H359" s="61"/>
      <c r="I359" s="47"/>
    </row>
    <row r="360" spans="2:9" x14ac:dyDescent="0.25">
      <c r="B360" s="55" t="str">
        <f t="shared" si="5"/>
        <v/>
      </c>
      <c r="C360" s="31"/>
      <c r="D360" s="31"/>
      <c r="E360" s="31"/>
      <c r="F360" s="31"/>
      <c r="G360" s="59"/>
      <c r="H360" s="61"/>
      <c r="I360" s="47"/>
    </row>
    <row r="361" spans="2:9" x14ac:dyDescent="0.25">
      <c r="B361" s="55" t="str">
        <f t="shared" si="5"/>
        <v/>
      </c>
      <c r="C361" s="31"/>
      <c r="D361" s="31"/>
      <c r="E361" s="31"/>
      <c r="F361" s="31"/>
      <c r="G361" s="59"/>
      <c r="H361" s="61"/>
      <c r="I361" s="47"/>
    </row>
    <row r="362" spans="2:9" x14ac:dyDescent="0.25">
      <c r="B362" s="55" t="str">
        <f t="shared" si="5"/>
        <v/>
      </c>
      <c r="C362" s="31"/>
      <c r="D362" s="31"/>
      <c r="E362" s="31"/>
      <c r="F362" s="31"/>
      <c r="G362" s="59"/>
      <c r="H362" s="61"/>
      <c r="I362" s="47"/>
    </row>
    <row r="363" spans="2:9" x14ac:dyDescent="0.25">
      <c r="B363" s="55" t="str">
        <f t="shared" si="5"/>
        <v/>
      </c>
      <c r="C363" s="31"/>
      <c r="D363" s="31"/>
      <c r="E363" s="31"/>
      <c r="F363" s="31"/>
      <c r="G363" s="59"/>
      <c r="H363" s="61"/>
      <c r="I363" s="47"/>
    </row>
    <row r="364" spans="2:9" x14ac:dyDescent="0.25">
      <c r="B364" s="55" t="str">
        <f t="shared" si="5"/>
        <v/>
      </c>
      <c r="C364" s="31"/>
      <c r="D364" s="31"/>
      <c r="E364" s="31"/>
      <c r="F364" s="31"/>
      <c r="G364" s="59"/>
      <c r="H364" s="61"/>
      <c r="I364" s="47"/>
    </row>
    <row r="365" spans="2:9" x14ac:dyDescent="0.25">
      <c r="B365" s="55" t="str">
        <f t="shared" si="5"/>
        <v/>
      </c>
      <c r="C365" s="31"/>
      <c r="D365" s="31"/>
      <c r="E365" s="31"/>
      <c r="F365" s="31"/>
      <c r="G365" s="59"/>
      <c r="H365" s="61"/>
      <c r="I365" s="47"/>
    </row>
    <row r="366" spans="2:9" x14ac:dyDescent="0.25">
      <c r="B366" s="55" t="str">
        <f t="shared" si="5"/>
        <v/>
      </c>
      <c r="C366" s="31"/>
      <c r="D366" s="31"/>
      <c r="E366" s="31"/>
      <c r="F366" s="31"/>
      <c r="G366" s="59"/>
      <c r="H366" s="61"/>
      <c r="I366" s="47"/>
    </row>
    <row r="367" spans="2:9" x14ac:dyDescent="0.25">
      <c r="B367" s="55" t="str">
        <f t="shared" si="5"/>
        <v/>
      </c>
      <c r="C367" s="31"/>
      <c r="D367" s="31"/>
      <c r="E367" s="31"/>
      <c r="F367" s="31"/>
      <c r="G367" s="59"/>
      <c r="H367" s="61"/>
      <c r="I367" s="47"/>
    </row>
    <row r="368" spans="2:9" x14ac:dyDescent="0.25">
      <c r="B368" s="55" t="str">
        <f t="shared" si="5"/>
        <v/>
      </c>
      <c r="C368" s="31"/>
      <c r="D368" s="31"/>
      <c r="E368" s="31"/>
      <c r="F368" s="31"/>
      <c r="G368" s="59"/>
      <c r="H368" s="61"/>
      <c r="I368" s="47"/>
    </row>
    <row r="369" spans="2:9" x14ac:dyDescent="0.25">
      <c r="B369" s="55" t="str">
        <f t="shared" si="5"/>
        <v/>
      </c>
      <c r="C369" s="31"/>
      <c r="D369" s="31"/>
      <c r="E369" s="31"/>
      <c r="F369" s="31"/>
      <c r="G369" s="59"/>
      <c r="H369" s="61"/>
      <c r="I369" s="47"/>
    </row>
    <row r="370" spans="2:9" x14ac:dyDescent="0.25">
      <c r="B370" s="55" t="str">
        <f t="shared" si="5"/>
        <v/>
      </c>
      <c r="C370" s="31"/>
      <c r="D370" s="31"/>
      <c r="E370" s="31"/>
      <c r="F370" s="31"/>
      <c r="G370" s="59"/>
      <c r="H370" s="61"/>
      <c r="I370" s="47"/>
    </row>
    <row r="371" spans="2:9" x14ac:dyDescent="0.25">
      <c r="B371" s="55" t="str">
        <f t="shared" si="5"/>
        <v/>
      </c>
      <c r="C371" s="31"/>
      <c r="D371" s="31"/>
      <c r="E371" s="31"/>
      <c r="F371" s="31"/>
      <c r="G371" s="59"/>
      <c r="H371" s="61"/>
      <c r="I371" s="47"/>
    </row>
    <row r="372" spans="2:9" x14ac:dyDescent="0.25">
      <c r="B372" s="55" t="str">
        <f t="shared" si="5"/>
        <v/>
      </c>
      <c r="C372" s="31"/>
      <c r="D372" s="31"/>
      <c r="E372" s="31"/>
      <c r="F372" s="31"/>
      <c r="G372" s="59"/>
      <c r="H372" s="61"/>
      <c r="I372" s="47"/>
    </row>
    <row r="373" spans="2:9" x14ac:dyDescent="0.25">
      <c r="B373" s="55" t="str">
        <f t="shared" si="5"/>
        <v/>
      </c>
      <c r="C373" s="31"/>
      <c r="D373" s="31"/>
      <c r="E373" s="31"/>
      <c r="F373" s="31"/>
      <c r="G373" s="59"/>
      <c r="H373" s="61"/>
      <c r="I373" s="47"/>
    </row>
    <row r="374" spans="2:9" x14ac:dyDescent="0.25">
      <c r="B374" s="55" t="str">
        <f t="shared" si="5"/>
        <v/>
      </c>
      <c r="C374" s="31"/>
      <c r="D374" s="31"/>
      <c r="E374" s="31"/>
      <c r="F374" s="31"/>
      <c r="G374" s="59"/>
      <c r="H374" s="61"/>
      <c r="I374" s="47"/>
    </row>
    <row r="375" spans="2:9" x14ac:dyDescent="0.25">
      <c r="B375" s="55" t="str">
        <f t="shared" si="5"/>
        <v/>
      </c>
      <c r="C375" s="31"/>
      <c r="D375" s="31"/>
      <c r="E375" s="31"/>
      <c r="F375" s="31"/>
      <c r="G375" s="59"/>
      <c r="H375" s="61"/>
      <c r="I375" s="47"/>
    </row>
    <row r="376" spans="2:9" x14ac:dyDescent="0.25">
      <c r="B376" s="55" t="str">
        <f t="shared" si="5"/>
        <v/>
      </c>
      <c r="C376" s="31"/>
      <c r="D376" s="31"/>
      <c r="E376" s="31"/>
      <c r="F376" s="31"/>
      <c r="G376" s="59"/>
      <c r="H376" s="61"/>
      <c r="I376" s="47"/>
    </row>
    <row r="377" spans="2:9" x14ac:dyDescent="0.25">
      <c r="B377" s="55" t="str">
        <f t="shared" si="5"/>
        <v/>
      </c>
      <c r="C377" s="31"/>
      <c r="D377" s="31"/>
      <c r="E377" s="31"/>
      <c r="F377" s="31"/>
      <c r="G377" s="59"/>
      <c r="H377" s="61"/>
      <c r="I377" s="47"/>
    </row>
    <row r="378" spans="2:9" x14ac:dyDescent="0.25">
      <c r="B378" s="55" t="str">
        <f t="shared" si="5"/>
        <v/>
      </c>
      <c r="C378" s="31"/>
      <c r="D378" s="31"/>
      <c r="E378" s="31"/>
      <c r="F378" s="31"/>
      <c r="G378" s="59"/>
      <c r="H378" s="61"/>
      <c r="I378" s="47"/>
    </row>
    <row r="379" spans="2:9" x14ac:dyDescent="0.25">
      <c r="B379" s="55" t="str">
        <f t="shared" si="5"/>
        <v/>
      </c>
      <c r="C379" s="31"/>
      <c r="D379" s="31"/>
      <c r="E379" s="31"/>
      <c r="F379" s="31"/>
      <c r="G379" s="59"/>
      <c r="H379" s="61"/>
      <c r="I379" s="47"/>
    </row>
    <row r="380" spans="2:9" x14ac:dyDescent="0.25">
      <c r="B380" s="55" t="str">
        <f t="shared" si="5"/>
        <v/>
      </c>
      <c r="C380" s="31"/>
      <c r="D380" s="31"/>
      <c r="E380" s="31"/>
      <c r="F380" s="31"/>
      <c r="G380" s="59"/>
      <c r="H380" s="61"/>
      <c r="I380" s="47"/>
    </row>
    <row r="381" spans="2:9" x14ac:dyDescent="0.25">
      <c r="B381" s="55" t="str">
        <f t="shared" si="5"/>
        <v/>
      </c>
      <c r="C381" s="31"/>
      <c r="D381" s="31"/>
      <c r="E381" s="31"/>
      <c r="F381" s="31"/>
      <c r="G381" s="59"/>
      <c r="H381" s="61"/>
      <c r="I381" s="47"/>
    </row>
    <row r="382" spans="2:9" x14ac:dyDescent="0.25">
      <c r="B382" s="55" t="str">
        <f t="shared" si="5"/>
        <v/>
      </c>
      <c r="C382" s="31"/>
      <c r="D382" s="31"/>
      <c r="E382" s="31"/>
      <c r="F382" s="31"/>
      <c r="G382" s="59"/>
      <c r="H382" s="61"/>
      <c r="I382" s="47"/>
    </row>
    <row r="383" spans="2:9" x14ac:dyDescent="0.25">
      <c r="B383" s="55" t="str">
        <f t="shared" si="5"/>
        <v/>
      </c>
      <c r="C383" s="31"/>
      <c r="D383" s="31"/>
      <c r="E383" s="31"/>
      <c r="F383" s="31"/>
      <c r="G383" s="59"/>
      <c r="H383" s="61"/>
      <c r="I383" s="47"/>
    </row>
    <row r="384" spans="2:9" x14ac:dyDescent="0.25">
      <c r="B384" s="55" t="str">
        <f t="shared" si="5"/>
        <v/>
      </c>
      <c r="C384" s="31"/>
      <c r="D384" s="31"/>
      <c r="E384" s="31"/>
      <c r="F384" s="31"/>
      <c r="G384" s="59"/>
      <c r="H384" s="61"/>
      <c r="I384" s="47"/>
    </row>
    <row r="385" spans="2:9" x14ac:dyDescent="0.25">
      <c r="B385" s="55" t="str">
        <f t="shared" si="5"/>
        <v/>
      </c>
      <c r="C385" s="31"/>
      <c r="D385" s="31"/>
      <c r="E385" s="31"/>
      <c r="F385" s="31"/>
      <c r="G385" s="59"/>
      <c r="H385" s="61"/>
      <c r="I385" s="47"/>
    </row>
    <row r="386" spans="2:9" x14ac:dyDescent="0.25">
      <c r="B386" s="55" t="str">
        <f t="shared" si="5"/>
        <v/>
      </c>
      <c r="C386" s="31"/>
      <c r="D386" s="31"/>
      <c r="E386" s="31"/>
      <c r="F386" s="31"/>
      <c r="G386" s="59"/>
      <c r="H386" s="61"/>
      <c r="I386" s="47"/>
    </row>
    <row r="387" spans="2:9" x14ac:dyDescent="0.25">
      <c r="B387" s="55" t="str">
        <f t="shared" si="5"/>
        <v/>
      </c>
      <c r="C387" s="31"/>
      <c r="D387" s="31"/>
      <c r="E387" s="31"/>
      <c r="F387" s="31"/>
      <c r="G387" s="59"/>
      <c r="H387" s="61"/>
      <c r="I387" s="47"/>
    </row>
    <row r="388" spans="2:9" x14ac:dyDescent="0.25">
      <c r="B388" s="55" t="str">
        <f t="shared" si="5"/>
        <v/>
      </c>
      <c r="C388" s="31"/>
      <c r="D388" s="31"/>
      <c r="E388" s="31"/>
      <c r="F388" s="31"/>
      <c r="G388" s="59"/>
      <c r="H388" s="61"/>
      <c r="I388" s="47"/>
    </row>
    <row r="389" spans="2:9" x14ac:dyDescent="0.25">
      <c r="B389" s="55" t="str">
        <f t="shared" si="5"/>
        <v/>
      </c>
      <c r="C389" s="31"/>
      <c r="D389" s="31"/>
      <c r="E389" s="31"/>
      <c r="F389" s="31"/>
      <c r="G389" s="59"/>
      <c r="H389" s="61"/>
      <c r="I389" s="47"/>
    </row>
    <row r="390" spans="2:9" x14ac:dyDescent="0.25">
      <c r="B390" s="55" t="str">
        <f t="shared" ref="B390:B453" si="6">IF(C390="","",B389+1)</f>
        <v/>
      </c>
      <c r="C390" s="31"/>
      <c r="D390" s="31"/>
      <c r="E390" s="31"/>
      <c r="F390" s="31"/>
      <c r="G390" s="59"/>
      <c r="H390" s="61"/>
      <c r="I390" s="47"/>
    </row>
    <row r="391" spans="2:9" x14ac:dyDescent="0.25">
      <c r="B391" s="55" t="str">
        <f t="shared" si="6"/>
        <v/>
      </c>
      <c r="C391" s="31"/>
      <c r="D391" s="31"/>
      <c r="E391" s="31"/>
      <c r="F391" s="31"/>
      <c r="G391" s="59"/>
      <c r="H391" s="61"/>
      <c r="I391" s="47"/>
    </row>
    <row r="392" spans="2:9" x14ac:dyDescent="0.25">
      <c r="B392" s="55" t="str">
        <f t="shared" si="6"/>
        <v/>
      </c>
      <c r="C392" s="31"/>
      <c r="D392" s="31"/>
      <c r="E392" s="31"/>
      <c r="F392" s="31"/>
      <c r="G392" s="59"/>
      <c r="H392" s="61"/>
      <c r="I392" s="47"/>
    </row>
    <row r="393" spans="2:9" x14ac:dyDescent="0.25">
      <c r="B393" s="55" t="str">
        <f t="shared" si="6"/>
        <v/>
      </c>
      <c r="C393" s="31"/>
      <c r="D393" s="31"/>
      <c r="E393" s="31"/>
      <c r="F393" s="31"/>
      <c r="G393" s="59"/>
      <c r="H393" s="61"/>
      <c r="I393" s="47"/>
    </row>
    <row r="394" spans="2:9" x14ac:dyDescent="0.25">
      <c r="B394" s="55" t="str">
        <f t="shared" si="6"/>
        <v/>
      </c>
      <c r="C394" s="31"/>
      <c r="D394" s="31"/>
      <c r="E394" s="31"/>
      <c r="F394" s="31"/>
      <c r="G394" s="59"/>
      <c r="H394" s="61"/>
      <c r="I394" s="47"/>
    </row>
    <row r="395" spans="2:9" x14ac:dyDescent="0.25">
      <c r="B395" s="55" t="str">
        <f t="shared" si="6"/>
        <v/>
      </c>
      <c r="C395" s="31"/>
      <c r="D395" s="31"/>
      <c r="E395" s="31"/>
      <c r="F395" s="31"/>
      <c r="G395" s="59"/>
      <c r="H395" s="61"/>
      <c r="I395" s="47"/>
    </row>
    <row r="396" spans="2:9" x14ac:dyDescent="0.25">
      <c r="B396" s="55" t="str">
        <f t="shared" si="6"/>
        <v/>
      </c>
      <c r="C396" s="31"/>
      <c r="D396" s="31"/>
      <c r="E396" s="31"/>
      <c r="F396" s="31"/>
      <c r="G396" s="59"/>
      <c r="H396" s="61"/>
      <c r="I396" s="47"/>
    </row>
    <row r="397" spans="2:9" x14ac:dyDescent="0.25">
      <c r="B397" s="55" t="str">
        <f t="shared" si="6"/>
        <v/>
      </c>
      <c r="C397" s="31"/>
      <c r="D397" s="31"/>
      <c r="E397" s="31"/>
      <c r="F397" s="31"/>
      <c r="G397" s="59"/>
      <c r="H397" s="61"/>
      <c r="I397" s="47"/>
    </row>
    <row r="398" spans="2:9" x14ac:dyDescent="0.25">
      <c r="B398" s="55" t="str">
        <f t="shared" si="6"/>
        <v/>
      </c>
      <c r="C398" s="31"/>
      <c r="D398" s="31"/>
      <c r="E398" s="31"/>
      <c r="F398" s="31"/>
      <c r="G398" s="59"/>
      <c r="H398" s="61"/>
      <c r="I398" s="47"/>
    </row>
    <row r="399" spans="2:9" x14ac:dyDescent="0.25">
      <c r="B399" s="55" t="str">
        <f t="shared" si="6"/>
        <v/>
      </c>
      <c r="C399" s="31"/>
      <c r="D399" s="31"/>
      <c r="E399" s="31"/>
      <c r="F399" s="31"/>
      <c r="G399" s="59"/>
      <c r="H399" s="61"/>
      <c r="I399" s="47"/>
    </row>
    <row r="400" spans="2:9" x14ac:dyDescent="0.25">
      <c r="B400" s="55" t="str">
        <f t="shared" si="6"/>
        <v/>
      </c>
      <c r="C400" s="31"/>
      <c r="D400" s="31"/>
      <c r="E400" s="31"/>
      <c r="F400" s="31"/>
      <c r="G400" s="59"/>
      <c r="H400" s="61"/>
      <c r="I400" s="47"/>
    </row>
    <row r="401" spans="2:9" x14ac:dyDescent="0.25">
      <c r="B401" s="55" t="str">
        <f t="shared" si="6"/>
        <v/>
      </c>
      <c r="C401" s="31"/>
      <c r="D401" s="31"/>
      <c r="E401" s="31"/>
      <c r="F401" s="31"/>
      <c r="G401" s="59"/>
      <c r="H401" s="61"/>
      <c r="I401" s="47"/>
    </row>
    <row r="402" spans="2:9" x14ac:dyDescent="0.25">
      <c r="B402" s="55" t="str">
        <f t="shared" si="6"/>
        <v/>
      </c>
      <c r="C402" s="31"/>
      <c r="D402" s="31"/>
      <c r="E402" s="31"/>
      <c r="F402" s="31"/>
      <c r="G402" s="59"/>
      <c r="H402" s="61"/>
      <c r="I402" s="47"/>
    </row>
    <row r="403" spans="2:9" x14ac:dyDescent="0.25">
      <c r="B403" s="55" t="str">
        <f t="shared" si="6"/>
        <v/>
      </c>
      <c r="C403" s="31"/>
      <c r="D403" s="31"/>
      <c r="E403" s="31"/>
      <c r="F403" s="31"/>
      <c r="G403" s="59"/>
      <c r="H403" s="61"/>
      <c r="I403" s="47"/>
    </row>
    <row r="404" spans="2:9" x14ac:dyDescent="0.25">
      <c r="B404" s="55" t="str">
        <f t="shared" si="6"/>
        <v/>
      </c>
      <c r="C404" s="31"/>
      <c r="D404" s="31"/>
      <c r="E404" s="31"/>
      <c r="F404" s="31"/>
      <c r="G404" s="59"/>
      <c r="H404" s="61"/>
      <c r="I404" s="47"/>
    </row>
    <row r="405" spans="2:9" x14ac:dyDescent="0.25">
      <c r="B405" s="55" t="str">
        <f t="shared" si="6"/>
        <v/>
      </c>
      <c r="C405" s="31"/>
      <c r="D405" s="31"/>
      <c r="E405" s="31"/>
      <c r="F405" s="31"/>
      <c r="G405" s="59"/>
      <c r="H405" s="61"/>
      <c r="I405" s="47"/>
    </row>
    <row r="406" spans="2:9" x14ac:dyDescent="0.25">
      <c r="B406" s="55" t="str">
        <f t="shared" si="6"/>
        <v/>
      </c>
      <c r="C406" s="31"/>
      <c r="D406" s="31"/>
      <c r="E406" s="31"/>
      <c r="F406" s="31"/>
      <c r="G406" s="59"/>
      <c r="H406" s="61"/>
      <c r="I406" s="47"/>
    </row>
    <row r="407" spans="2:9" x14ac:dyDescent="0.25">
      <c r="B407" s="55" t="str">
        <f t="shared" si="6"/>
        <v/>
      </c>
      <c r="C407" s="31"/>
      <c r="D407" s="31"/>
      <c r="E407" s="31"/>
      <c r="F407" s="31"/>
      <c r="G407" s="59"/>
      <c r="H407" s="61"/>
      <c r="I407" s="47"/>
    </row>
    <row r="408" spans="2:9" x14ac:dyDescent="0.25">
      <c r="B408" s="55" t="str">
        <f t="shared" si="6"/>
        <v/>
      </c>
      <c r="C408" s="31"/>
      <c r="D408" s="31"/>
      <c r="E408" s="31"/>
      <c r="F408" s="31"/>
      <c r="G408" s="59"/>
      <c r="H408" s="61"/>
      <c r="I408" s="47"/>
    </row>
    <row r="409" spans="2:9" x14ac:dyDescent="0.25">
      <c r="B409" s="55" t="str">
        <f t="shared" si="6"/>
        <v/>
      </c>
      <c r="C409" s="31"/>
      <c r="D409" s="31"/>
      <c r="E409" s="31"/>
      <c r="F409" s="31"/>
      <c r="G409" s="59"/>
      <c r="H409" s="61"/>
      <c r="I409" s="47"/>
    </row>
    <row r="410" spans="2:9" x14ac:dyDescent="0.25">
      <c r="B410" s="55" t="str">
        <f t="shared" si="6"/>
        <v/>
      </c>
      <c r="C410" s="31"/>
      <c r="D410" s="31"/>
      <c r="E410" s="31"/>
      <c r="F410" s="31"/>
      <c r="G410" s="59"/>
      <c r="H410" s="61"/>
      <c r="I410" s="47"/>
    </row>
    <row r="411" spans="2:9" x14ac:dyDescent="0.25">
      <c r="B411" s="55" t="str">
        <f t="shared" si="6"/>
        <v/>
      </c>
      <c r="C411" s="31"/>
      <c r="D411" s="31"/>
      <c r="E411" s="31"/>
      <c r="F411" s="31"/>
      <c r="G411" s="59"/>
      <c r="H411" s="61"/>
      <c r="I411" s="47"/>
    </row>
    <row r="412" spans="2:9" x14ac:dyDescent="0.25">
      <c r="B412" s="55" t="str">
        <f t="shared" si="6"/>
        <v/>
      </c>
      <c r="C412" s="31"/>
      <c r="D412" s="31"/>
      <c r="E412" s="31"/>
      <c r="F412" s="31"/>
      <c r="G412" s="59"/>
      <c r="H412" s="61"/>
      <c r="I412" s="47"/>
    </row>
    <row r="413" spans="2:9" x14ac:dyDescent="0.25">
      <c r="B413" s="55" t="str">
        <f t="shared" si="6"/>
        <v/>
      </c>
      <c r="C413" s="31"/>
      <c r="D413" s="31"/>
      <c r="E413" s="31"/>
      <c r="F413" s="31"/>
      <c r="G413" s="59"/>
      <c r="H413" s="61"/>
      <c r="I413" s="47"/>
    </row>
    <row r="414" spans="2:9" x14ac:dyDescent="0.25">
      <c r="B414" s="55" t="str">
        <f t="shared" si="6"/>
        <v/>
      </c>
      <c r="C414" s="31"/>
      <c r="D414" s="31"/>
      <c r="E414" s="31"/>
      <c r="F414" s="31"/>
      <c r="G414" s="59"/>
      <c r="H414" s="61"/>
      <c r="I414" s="47"/>
    </row>
    <row r="415" spans="2:9" x14ac:dyDescent="0.25">
      <c r="B415" s="55" t="str">
        <f t="shared" si="6"/>
        <v/>
      </c>
      <c r="C415" s="31"/>
      <c r="D415" s="31"/>
      <c r="E415" s="31"/>
      <c r="F415" s="31"/>
      <c r="G415" s="59"/>
      <c r="H415" s="61"/>
      <c r="I415" s="47"/>
    </row>
    <row r="416" spans="2:9" x14ac:dyDescent="0.25">
      <c r="B416" s="55" t="str">
        <f t="shared" si="6"/>
        <v/>
      </c>
      <c r="C416" s="31"/>
      <c r="D416" s="31"/>
      <c r="E416" s="31"/>
      <c r="F416" s="31"/>
      <c r="G416" s="59"/>
      <c r="H416" s="61"/>
      <c r="I416" s="47"/>
    </row>
    <row r="417" spans="2:9" x14ac:dyDescent="0.25">
      <c r="B417" s="55" t="str">
        <f t="shared" si="6"/>
        <v/>
      </c>
      <c r="C417" s="31"/>
      <c r="D417" s="31"/>
      <c r="E417" s="31"/>
      <c r="F417" s="31"/>
      <c r="G417" s="59"/>
      <c r="H417" s="61"/>
      <c r="I417" s="47"/>
    </row>
    <row r="418" spans="2:9" x14ac:dyDescent="0.25">
      <c r="B418" s="55" t="str">
        <f t="shared" si="6"/>
        <v/>
      </c>
      <c r="C418" s="31"/>
      <c r="D418" s="31"/>
      <c r="E418" s="31"/>
      <c r="F418" s="31"/>
      <c r="G418" s="59"/>
      <c r="H418" s="61"/>
      <c r="I418" s="47"/>
    </row>
    <row r="419" spans="2:9" x14ac:dyDescent="0.25">
      <c r="B419" s="55" t="str">
        <f t="shared" si="6"/>
        <v/>
      </c>
      <c r="C419" s="31"/>
      <c r="D419" s="31"/>
      <c r="E419" s="31"/>
      <c r="F419" s="31"/>
      <c r="G419" s="59"/>
      <c r="H419" s="61"/>
      <c r="I419" s="47"/>
    </row>
    <row r="420" spans="2:9" x14ac:dyDescent="0.25">
      <c r="B420" s="55" t="str">
        <f t="shared" si="6"/>
        <v/>
      </c>
      <c r="C420" s="31"/>
      <c r="D420" s="31"/>
      <c r="E420" s="31"/>
      <c r="F420" s="31"/>
      <c r="G420" s="59"/>
      <c r="H420" s="61"/>
      <c r="I420" s="47"/>
    </row>
    <row r="421" spans="2:9" x14ac:dyDescent="0.25">
      <c r="B421" s="55" t="str">
        <f t="shared" si="6"/>
        <v/>
      </c>
      <c r="C421" s="31"/>
      <c r="D421" s="31"/>
      <c r="E421" s="31"/>
      <c r="F421" s="31"/>
      <c r="G421" s="59"/>
      <c r="H421" s="61"/>
      <c r="I421" s="47"/>
    </row>
    <row r="422" spans="2:9" x14ac:dyDescent="0.25">
      <c r="B422" s="55" t="str">
        <f t="shared" si="6"/>
        <v/>
      </c>
      <c r="C422" s="31"/>
      <c r="D422" s="31"/>
      <c r="E422" s="31"/>
      <c r="F422" s="31"/>
      <c r="G422" s="59"/>
      <c r="H422" s="61"/>
      <c r="I422" s="47"/>
    </row>
    <row r="423" spans="2:9" x14ac:dyDescent="0.25">
      <c r="B423" s="55" t="str">
        <f t="shared" si="6"/>
        <v/>
      </c>
      <c r="C423" s="31"/>
      <c r="D423" s="31"/>
      <c r="E423" s="31"/>
      <c r="F423" s="31"/>
      <c r="G423" s="59"/>
      <c r="H423" s="61"/>
      <c r="I423" s="47"/>
    </row>
    <row r="424" spans="2:9" x14ac:dyDescent="0.25">
      <c r="B424" s="55" t="str">
        <f t="shared" si="6"/>
        <v/>
      </c>
      <c r="C424" s="31"/>
      <c r="D424" s="31"/>
      <c r="E424" s="31"/>
      <c r="F424" s="31"/>
      <c r="G424" s="59"/>
      <c r="H424" s="61"/>
      <c r="I424" s="47"/>
    </row>
    <row r="425" spans="2:9" x14ac:dyDescent="0.25">
      <c r="B425" s="55" t="str">
        <f t="shared" si="6"/>
        <v/>
      </c>
      <c r="C425" s="31"/>
      <c r="D425" s="31"/>
      <c r="E425" s="31"/>
      <c r="F425" s="31"/>
      <c r="G425" s="59"/>
      <c r="H425" s="61"/>
      <c r="I425" s="47"/>
    </row>
    <row r="426" spans="2:9" x14ac:dyDescent="0.25">
      <c r="B426" s="55" t="str">
        <f t="shared" si="6"/>
        <v/>
      </c>
      <c r="C426" s="31"/>
      <c r="D426" s="31"/>
      <c r="E426" s="31"/>
      <c r="F426" s="31"/>
      <c r="G426" s="59"/>
      <c r="H426" s="61"/>
      <c r="I426" s="47"/>
    </row>
    <row r="427" spans="2:9" x14ac:dyDescent="0.25">
      <c r="B427" s="55" t="str">
        <f t="shared" si="6"/>
        <v/>
      </c>
      <c r="C427" s="31"/>
      <c r="D427" s="31"/>
      <c r="E427" s="31"/>
      <c r="F427" s="31"/>
      <c r="G427" s="59"/>
      <c r="H427" s="61"/>
      <c r="I427" s="47"/>
    </row>
    <row r="428" spans="2:9" x14ac:dyDescent="0.25">
      <c r="B428" s="55" t="str">
        <f t="shared" si="6"/>
        <v/>
      </c>
      <c r="C428" s="31"/>
      <c r="D428" s="31"/>
      <c r="E428" s="31"/>
      <c r="F428" s="31"/>
      <c r="G428" s="59"/>
      <c r="H428" s="61"/>
      <c r="I428" s="47"/>
    </row>
    <row r="429" spans="2:9" x14ac:dyDescent="0.25">
      <c r="B429" s="55" t="str">
        <f t="shared" si="6"/>
        <v/>
      </c>
      <c r="C429" s="31"/>
      <c r="D429" s="31"/>
      <c r="E429" s="31"/>
      <c r="F429" s="31"/>
      <c r="G429" s="59"/>
      <c r="H429" s="61"/>
      <c r="I429" s="47"/>
    </row>
    <row r="430" spans="2:9" x14ac:dyDescent="0.25">
      <c r="B430" s="55" t="str">
        <f t="shared" si="6"/>
        <v/>
      </c>
      <c r="C430" s="31"/>
      <c r="D430" s="31"/>
      <c r="E430" s="31"/>
      <c r="F430" s="31"/>
      <c r="G430" s="59"/>
      <c r="H430" s="61"/>
      <c r="I430" s="47"/>
    </row>
    <row r="431" spans="2:9" x14ac:dyDescent="0.25">
      <c r="B431" s="55" t="str">
        <f t="shared" si="6"/>
        <v/>
      </c>
      <c r="C431" s="31"/>
      <c r="D431" s="31"/>
      <c r="E431" s="31"/>
      <c r="F431" s="31"/>
      <c r="G431" s="59"/>
      <c r="H431" s="61"/>
      <c r="I431" s="47"/>
    </row>
    <row r="432" spans="2:9" x14ac:dyDescent="0.25">
      <c r="B432" s="55" t="str">
        <f t="shared" si="6"/>
        <v/>
      </c>
      <c r="C432" s="31"/>
      <c r="D432" s="31"/>
      <c r="E432" s="31"/>
      <c r="F432" s="31"/>
      <c r="G432" s="59"/>
      <c r="H432" s="61"/>
      <c r="I432" s="47"/>
    </row>
    <row r="433" spans="2:9" x14ac:dyDescent="0.25">
      <c r="B433" s="55" t="str">
        <f t="shared" si="6"/>
        <v/>
      </c>
      <c r="C433" s="31"/>
      <c r="D433" s="31"/>
      <c r="E433" s="31"/>
      <c r="F433" s="31"/>
      <c r="G433" s="59"/>
      <c r="H433" s="61"/>
      <c r="I433" s="47"/>
    </row>
    <row r="434" spans="2:9" x14ac:dyDescent="0.25">
      <c r="B434" s="55" t="str">
        <f t="shared" si="6"/>
        <v/>
      </c>
      <c r="C434" s="31"/>
      <c r="D434" s="31"/>
      <c r="E434" s="31"/>
      <c r="F434" s="31"/>
      <c r="G434" s="59"/>
      <c r="H434" s="61"/>
      <c r="I434" s="47"/>
    </row>
    <row r="435" spans="2:9" x14ac:dyDescent="0.25">
      <c r="B435" s="55" t="str">
        <f t="shared" si="6"/>
        <v/>
      </c>
      <c r="C435" s="31"/>
      <c r="D435" s="31"/>
      <c r="E435" s="31"/>
      <c r="F435" s="31"/>
      <c r="G435" s="59"/>
      <c r="H435" s="61"/>
      <c r="I435" s="47"/>
    </row>
    <row r="436" spans="2:9" x14ac:dyDescent="0.25">
      <c r="B436" s="55" t="str">
        <f t="shared" si="6"/>
        <v/>
      </c>
      <c r="C436" s="31"/>
      <c r="D436" s="31"/>
      <c r="E436" s="31"/>
      <c r="F436" s="31"/>
      <c r="G436" s="59"/>
      <c r="H436" s="61"/>
      <c r="I436" s="47"/>
    </row>
    <row r="437" spans="2:9" x14ac:dyDescent="0.25">
      <c r="B437" s="55" t="str">
        <f t="shared" si="6"/>
        <v/>
      </c>
      <c r="C437" s="31"/>
      <c r="D437" s="31"/>
      <c r="E437" s="31"/>
      <c r="F437" s="31"/>
      <c r="G437" s="59"/>
      <c r="H437" s="61"/>
      <c r="I437" s="47"/>
    </row>
    <row r="438" spans="2:9" x14ac:dyDescent="0.25">
      <c r="B438" s="55" t="str">
        <f t="shared" si="6"/>
        <v/>
      </c>
      <c r="C438" s="31"/>
      <c r="D438" s="31"/>
      <c r="E438" s="31"/>
      <c r="F438" s="31"/>
      <c r="G438" s="59"/>
      <c r="H438" s="61"/>
      <c r="I438" s="47"/>
    </row>
    <row r="439" spans="2:9" x14ac:dyDescent="0.25">
      <c r="B439" s="55" t="str">
        <f t="shared" si="6"/>
        <v/>
      </c>
      <c r="C439" s="31"/>
      <c r="D439" s="31"/>
      <c r="E439" s="31"/>
      <c r="F439" s="31"/>
      <c r="G439" s="59"/>
      <c r="H439" s="61"/>
      <c r="I439" s="47"/>
    </row>
    <row r="440" spans="2:9" x14ac:dyDescent="0.25">
      <c r="B440" s="55" t="str">
        <f t="shared" si="6"/>
        <v/>
      </c>
      <c r="C440" s="31"/>
      <c r="D440" s="31"/>
      <c r="E440" s="31"/>
      <c r="F440" s="31"/>
      <c r="G440" s="59"/>
      <c r="H440" s="61"/>
      <c r="I440" s="47"/>
    </row>
    <row r="441" spans="2:9" x14ac:dyDescent="0.25">
      <c r="B441" s="55" t="str">
        <f t="shared" si="6"/>
        <v/>
      </c>
      <c r="C441" s="31"/>
      <c r="D441" s="31"/>
      <c r="E441" s="31"/>
      <c r="F441" s="31"/>
      <c r="G441" s="59"/>
      <c r="H441" s="61"/>
      <c r="I441" s="47"/>
    </row>
    <row r="442" spans="2:9" x14ac:dyDescent="0.25">
      <c r="B442" s="55" t="str">
        <f t="shared" si="6"/>
        <v/>
      </c>
      <c r="C442" s="31"/>
      <c r="D442" s="31"/>
      <c r="E442" s="31"/>
      <c r="F442" s="31"/>
      <c r="G442" s="59"/>
      <c r="H442" s="61"/>
      <c r="I442" s="47"/>
    </row>
    <row r="443" spans="2:9" x14ac:dyDescent="0.25">
      <c r="B443" s="55" t="str">
        <f t="shared" si="6"/>
        <v/>
      </c>
      <c r="C443" s="31"/>
      <c r="D443" s="31"/>
      <c r="E443" s="31"/>
      <c r="F443" s="31"/>
      <c r="G443" s="59"/>
      <c r="H443" s="61"/>
      <c r="I443" s="47"/>
    </row>
    <row r="444" spans="2:9" x14ac:dyDescent="0.25">
      <c r="B444" s="55" t="str">
        <f t="shared" si="6"/>
        <v/>
      </c>
      <c r="C444" s="31"/>
      <c r="D444" s="31"/>
      <c r="E444" s="31"/>
      <c r="F444" s="31"/>
      <c r="G444" s="59"/>
      <c r="H444" s="61"/>
      <c r="I444" s="47"/>
    </row>
    <row r="445" spans="2:9" x14ac:dyDescent="0.25">
      <c r="B445" s="55" t="str">
        <f t="shared" si="6"/>
        <v/>
      </c>
      <c r="C445" s="31"/>
      <c r="D445" s="31"/>
      <c r="E445" s="31"/>
      <c r="F445" s="31"/>
      <c r="G445" s="59"/>
      <c r="H445" s="61"/>
      <c r="I445" s="47"/>
    </row>
    <row r="446" spans="2:9" x14ac:dyDescent="0.25">
      <c r="B446" s="55" t="str">
        <f t="shared" si="6"/>
        <v/>
      </c>
      <c r="C446" s="31"/>
      <c r="D446" s="31"/>
      <c r="E446" s="31"/>
      <c r="F446" s="31"/>
      <c r="G446" s="59"/>
      <c r="H446" s="61"/>
      <c r="I446" s="47"/>
    </row>
    <row r="447" spans="2:9" x14ac:dyDescent="0.25">
      <c r="B447" s="55" t="str">
        <f t="shared" si="6"/>
        <v/>
      </c>
      <c r="C447" s="31"/>
      <c r="D447" s="31"/>
      <c r="E447" s="31"/>
      <c r="F447" s="31"/>
      <c r="G447" s="59"/>
      <c r="H447" s="61"/>
      <c r="I447" s="47"/>
    </row>
    <row r="448" spans="2:9" x14ac:dyDescent="0.25">
      <c r="B448" s="55" t="str">
        <f t="shared" si="6"/>
        <v/>
      </c>
      <c r="C448" s="31"/>
      <c r="D448" s="31"/>
      <c r="E448" s="31"/>
      <c r="F448" s="31"/>
      <c r="G448" s="59"/>
      <c r="H448" s="61"/>
      <c r="I448" s="47"/>
    </row>
    <row r="449" spans="2:9" x14ac:dyDescent="0.25">
      <c r="B449" s="55" t="str">
        <f t="shared" si="6"/>
        <v/>
      </c>
      <c r="C449" s="31"/>
      <c r="D449" s="31"/>
      <c r="E449" s="31"/>
      <c r="F449" s="31"/>
      <c r="G449" s="59"/>
      <c r="H449" s="61"/>
      <c r="I449" s="47"/>
    </row>
    <row r="450" spans="2:9" x14ac:dyDescent="0.25">
      <c r="B450" s="55" t="str">
        <f t="shared" si="6"/>
        <v/>
      </c>
      <c r="C450" s="31"/>
      <c r="D450" s="31"/>
      <c r="E450" s="31"/>
      <c r="F450" s="31"/>
      <c r="G450" s="59"/>
      <c r="H450" s="61"/>
      <c r="I450" s="47"/>
    </row>
    <row r="451" spans="2:9" x14ac:dyDescent="0.25">
      <c r="B451" s="55" t="str">
        <f t="shared" si="6"/>
        <v/>
      </c>
      <c r="C451" s="31"/>
      <c r="D451" s="31"/>
      <c r="E451" s="31"/>
      <c r="F451" s="31"/>
      <c r="G451" s="59"/>
      <c r="H451" s="61"/>
      <c r="I451" s="47"/>
    </row>
    <row r="452" spans="2:9" x14ac:dyDescent="0.25">
      <c r="B452" s="55" t="str">
        <f t="shared" si="6"/>
        <v/>
      </c>
      <c r="C452" s="31"/>
      <c r="D452" s="31"/>
      <c r="E452" s="31"/>
      <c r="F452" s="31"/>
      <c r="G452" s="59"/>
      <c r="H452" s="61"/>
      <c r="I452" s="47"/>
    </row>
    <row r="453" spans="2:9" x14ac:dyDescent="0.25">
      <c r="B453" s="55" t="str">
        <f t="shared" si="6"/>
        <v/>
      </c>
      <c r="C453" s="31"/>
      <c r="D453" s="31"/>
      <c r="E453" s="31"/>
      <c r="F453" s="31"/>
      <c r="G453" s="59"/>
      <c r="H453" s="61"/>
      <c r="I453" s="47"/>
    </row>
    <row r="454" spans="2:9" x14ac:dyDescent="0.25">
      <c r="B454" s="55" t="str">
        <f t="shared" ref="B454:B517" si="7">IF(C454="","",B453+1)</f>
        <v/>
      </c>
      <c r="C454" s="31"/>
      <c r="D454" s="31"/>
      <c r="E454" s="31"/>
      <c r="F454" s="31"/>
      <c r="G454" s="59"/>
      <c r="H454" s="61"/>
      <c r="I454" s="47"/>
    </row>
    <row r="455" spans="2:9" x14ac:dyDescent="0.25">
      <c r="B455" s="55" t="str">
        <f t="shared" si="7"/>
        <v/>
      </c>
      <c r="C455" s="31"/>
      <c r="D455" s="31"/>
      <c r="E455" s="31"/>
      <c r="F455" s="31"/>
      <c r="G455" s="59"/>
      <c r="H455" s="61"/>
      <c r="I455" s="47"/>
    </row>
    <row r="456" spans="2:9" x14ac:dyDescent="0.25">
      <c r="B456" s="55" t="str">
        <f t="shared" si="7"/>
        <v/>
      </c>
      <c r="C456" s="31"/>
      <c r="D456" s="31"/>
      <c r="E456" s="31"/>
      <c r="F456" s="31"/>
      <c r="G456" s="59"/>
      <c r="H456" s="61"/>
      <c r="I456" s="47"/>
    </row>
    <row r="457" spans="2:9" x14ac:dyDescent="0.25">
      <c r="B457" s="55" t="str">
        <f t="shared" si="7"/>
        <v/>
      </c>
      <c r="C457" s="31"/>
      <c r="D457" s="31"/>
      <c r="E457" s="31"/>
      <c r="F457" s="31"/>
      <c r="G457" s="59"/>
      <c r="H457" s="61"/>
      <c r="I457" s="47"/>
    </row>
    <row r="458" spans="2:9" x14ac:dyDescent="0.25">
      <c r="B458" s="55" t="str">
        <f t="shared" si="7"/>
        <v/>
      </c>
      <c r="C458" s="31"/>
      <c r="D458" s="31"/>
      <c r="E458" s="31"/>
      <c r="F458" s="31"/>
      <c r="G458" s="59"/>
      <c r="H458" s="61"/>
      <c r="I458" s="47"/>
    </row>
    <row r="459" spans="2:9" x14ac:dyDescent="0.25">
      <c r="B459" s="55" t="str">
        <f t="shared" si="7"/>
        <v/>
      </c>
      <c r="C459" s="31"/>
      <c r="D459" s="31"/>
      <c r="E459" s="31"/>
      <c r="F459" s="31"/>
      <c r="G459" s="59"/>
      <c r="H459" s="61"/>
      <c r="I459" s="47"/>
    </row>
    <row r="460" spans="2:9" x14ac:dyDescent="0.25">
      <c r="B460" s="55" t="str">
        <f t="shared" si="7"/>
        <v/>
      </c>
      <c r="C460" s="31"/>
      <c r="D460" s="31"/>
      <c r="E460" s="31"/>
      <c r="F460" s="31"/>
      <c r="G460" s="59"/>
      <c r="H460" s="61"/>
      <c r="I460" s="47"/>
    </row>
    <row r="461" spans="2:9" x14ac:dyDescent="0.25">
      <c r="B461" s="55" t="str">
        <f t="shared" si="7"/>
        <v/>
      </c>
      <c r="C461" s="31"/>
      <c r="D461" s="31"/>
      <c r="E461" s="31"/>
      <c r="F461" s="31"/>
      <c r="G461" s="59"/>
      <c r="H461" s="61"/>
      <c r="I461" s="47"/>
    </row>
    <row r="462" spans="2:9" x14ac:dyDescent="0.25">
      <c r="B462" s="55" t="str">
        <f t="shared" si="7"/>
        <v/>
      </c>
      <c r="C462" s="31"/>
      <c r="D462" s="31"/>
      <c r="E462" s="31"/>
      <c r="F462" s="31"/>
      <c r="G462" s="59"/>
      <c r="H462" s="61"/>
      <c r="I462" s="47"/>
    </row>
    <row r="463" spans="2:9" x14ac:dyDescent="0.25">
      <c r="B463" s="55" t="str">
        <f t="shared" si="7"/>
        <v/>
      </c>
      <c r="C463" s="31"/>
      <c r="D463" s="31"/>
      <c r="E463" s="31"/>
      <c r="F463" s="31"/>
      <c r="G463" s="59"/>
      <c r="H463" s="61"/>
      <c r="I463" s="47"/>
    </row>
    <row r="464" spans="2:9" x14ac:dyDescent="0.25">
      <c r="B464" s="55" t="str">
        <f t="shared" si="7"/>
        <v/>
      </c>
      <c r="C464" s="31"/>
      <c r="D464" s="31"/>
      <c r="E464" s="31"/>
      <c r="F464" s="31"/>
      <c r="G464" s="59"/>
      <c r="H464" s="61"/>
      <c r="I464" s="47"/>
    </row>
    <row r="465" spans="2:9" x14ac:dyDescent="0.25">
      <c r="B465" s="55" t="str">
        <f t="shared" si="7"/>
        <v/>
      </c>
      <c r="C465" s="31"/>
      <c r="D465" s="31"/>
      <c r="E465" s="31"/>
      <c r="F465" s="31"/>
      <c r="G465" s="59"/>
      <c r="H465" s="61"/>
      <c r="I465" s="47"/>
    </row>
    <row r="466" spans="2:9" x14ac:dyDescent="0.25">
      <c r="B466" s="55" t="str">
        <f t="shared" si="7"/>
        <v/>
      </c>
      <c r="C466" s="31"/>
      <c r="D466" s="31"/>
      <c r="E466" s="31"/>
      <c r="F466" s="31"/>
      <c r="G466" s="59"/>
      <c r="H466" s="61"/>
      <c r="I466" s="47"/>
    </row>
    <row r="467" spans="2:9" x14ac:dyDescent="0.25">
      <c r="B467" s="55" t="str">
        <f t="shared" si="7"/>
        <v/>
      </c>
      <c r="C467" s="31"/>
      <c r="D467" s="31"/>
      <c r="E467" s="31"/>
      <c r="F467" s="31"/>
      <c r="G467" s="59"/>
      <c r="H467" s="61"/>
      <c r="I467" s="47"/>
    </row>
    <row r="468" spans="2:9" x14ac:dyDescent="0.25">
      <c r="B468" s="55" t="str">
        <f t="shared" si="7"/>
        <v/>
      </c>
      <c r="C468" s="31"/>
      <c r="D468" s="31"/>
      <c r="E468" s="31"/>
      <c r="F468" s="31"/>
      <c r="G468" s="59"/>
      <c r="H468" s="61"/>
      <c r="I468" s="47"/>
    </row>
    <row r="469" spans="2:9" x14ac:dyDescent="0.25">
      <c r="B469" s="55" t="str">
        <f t="shared" si="7"/>
        <v/>
      </c>
      <c r="C469" s="31"/>
      <c r="D469" s="31"/>
      <c r="E469" s="31"/>
      <c r="F469" s="31"/>
      <c r="G469" s="59"/>
      <c r="H469" s="61"/>
      <c r="I469" s="47"/>
    </row>
    <row r="470" spans="2:9" x14ac:dyDescent="0.25">
      <c r="B470" s="55" t="str">
        <f t="shared" si="7"/>
        <v/>
      </c>
      <c r="C470" s="31"/>
      <c r="D470" s="31"/>
      <c r="E470" s="31"/>
      <c r="F470" s="31"/>
      <c r="G470" s="59"/>
      <c r="H470" s="61"/>
      <c r="I470" s="47"/>
    </row>
    <row r="471" spans="2:9" x14ac:dyDescent="0.25">
      <c r="B471" s="55" t="str">
        <f t="shared" si="7"/>
        <v/>
      </c>
      <c r="C471" s="31"/>
      <c r="D471" s="31"/>
      <c r="E471" s="31"/>
      <c r="F471" s="31"/>
      <c r="G471" s="59"/>
      <c r="H471" s="61"/>
      <c r="I471" s="47"/>
    </row>
    <row r="472" spans="2:9" x14ac:dyDescent="0.25">
      <c r="B472" s="55" t="str">
        <f t="shared" si="7"/>
        <v/>
      </c>
      <c r="C472" s="31"/>
      <c r="D472" s="31"/>
      <c r="E472" s="31"/>
      <c r="F472" s="31"/>
      <c r="G472" s="59"/>
      <c r="H472" s="61"/>
      <c r="I472" s="47"/>
    </row>
    <row r="473" spans="2:9" x14ac:dyDescent="0.25">
      <c r="B473" s="55" t="str">
        <f t="shared" si="7"/>
        <v/>
      </c>
      <c r="C473" s="31"/>
      <c r="D473" s="31"/>
      <c r="E473" s="31"/>
      <c r="F473" s="31"/>
      <c r="G473" s="59"/>
      <c r="H473" s="61"/>
      <c r="I473" s="47"/>
    </row>
    <row r="474" spans="2:9" x14ac:dyDescent="0.25">
      <c r="B474" s="55" t="str">
        <f t="shared" si="7"/>
        <v/>
      </c>
      <c r="C474" s="31"/>
      <c r="D474" s="31"/>
      <c r="E474" s="31"/>
      <c r="F474" s="31"/>
      <c r="G474" s="59"/>
      <c r="H474" s="61"/>
      <c r="I474" s="47"/>
    </row>
    <row r="475" spans="2:9" x14ac:dyDescent="0.25">
      <c r="B475" s="55" t="str">
        <f t="shared" si="7"/>
        <v/>
      </c>
      <c r="C475" s="31"/>
      <c r="D475" s="31"/>
      <c r="E475" s="31"/>
      <c r="F475" s="31"/>
      <c r="G475" s="59"/>
      <c r="H475" s="61"/>
      <c r="I475" s="47"/>
    </row>
    <row r="476" spans="2:9" x14ac:dyDescent="0.25">
      <c r="B476" s="55" t="str">
        <f t="shared" si="7"/>
        <v/>
      </c>
      <c r="C476" s="31"/>
      <c r="D476" s="31"/>
      <c r="E476" s="31"/>
      <c r="F476" s="31"/>
      <c r="G476" s="59"/>
      <c r="H476" s="61"/>
      <c r="I476" s="47"/>
    </row>
    <row r="477" spans="2:9" x14ac:dyDescent="0.25">
      <c r="B477" s="55" t="str">
        <f t="shared" si="7"/>
        <v/>
      </c>
      <c r="C477" s="31"/>
      <c r="D477" s="31"/>
      <c r="E477" s="31"/>
      <c r="F477" s="31"/>
      <c r="G477" s="59"/>
      <c r="H477" s="61"/>
      <c r="I477" s="47"/>
    </row>
    <row r="478" spans="2:9" x14ac:dyDescent="0.25">
      <c r="B478" s="55" t="str">
        <f t="shared" si="7"/>
        <v/>
      </c>
      <c r="C478" s="31"/>
      <c r="D478" s="31"/>
      <c r="E478" s="31"/>
      <c r="F478" s="31"/>
      <c r="G478" s="59"/>
      <c r="H478" s="61"/>
      <c r="I478" s="47"/>
    </row>
    <row r="479" spans="2:9" x14ac:dyDescent="0.25">
      <c r="B479" s="55" t="str">
        <f t="shared" si="7"/>
        <v/>
      </c>
      <c r="C479" s="31"/>
      <c r="D479" s="31"/>
      <c r="E479" s="31"/>
      <c r="F479" s="31"/>
      <c r="G479" s="59"/>
      <c r="H479" s="61"/>
      <c r="I479" s="47"/>
    </row>
    <row r="480" spans="2:9" x14ac:dyDescent="0.25">
      <c r="B480" s="55" t="str">
        <f t="shared" si="7"/>
        <v/>
      </c>
      <c r="C480" s="31"/>
      <c r="D480" s="31"/>
      <c r="E480" s="31"/>
      <c r="F480" s="31"/>
      <c r="G480" s="59"/>
      <c r="H480" s="61"/>
      <c r="I480" s="47"/>
    </row>
    <row r="481" spans="2:9" x14ac:dyDescent="0.25">
      <c r="B481" s="55" t="str">
        <f t="shared" si="7"/>
        <v/>
      </c>
      <c r="C481" s="31"/>
      <c r="D481" s="31"/>
      <c r="E481" s="31"/>
      <c r="F481" s="31"/>
      <c r="G481" s="59"/>
      <c r="H481" s="61"/>
      <c r="I481" s="47"/>
    </row>
    <row r="482" spans="2:9" x14ac:dyDescent="0.25">
      <c r="B482" s="55" t="str">
        <f t="shared" si="7"/>
        <v/>
      </c>
      <c r="C482" s="31"/>
      <c r="D482" s="31"/>
      <c r="E482" s="31"/>
      <c r="F482" s="31"/>
      <c r="G482" s="59"/>
      <c r="H482" s="61"/>
      <c r="I482" s="47"/>
    </row>
    <row r="483" spans="2:9" x14ac:dyDescent="0.25">
      <c r="B483" s="55" t="str">
        <f t="shared" si="7"/>
        <v/>
      </c>
      <c r="C483" s="31"/>
      <c r="D483" s="31"/>
      <c r="E483" s="31"/>
      <c r="F483" s="31"/>
      <c r="G483" s="59"/>
      <c r="H483" s="61"/>
      <c r="I483" s="47"/>
    </row>
    <row r="484" spans="2:9" x14ac:dyDescent="0.25">
      <c r="B484" s="55" t="str">
        <f t="shared" si="7"/>
        <v/>
      </c>
      <c r="C484" s="31"/>
      <c r="D484" s="31"/>
      <c r="E484" s="31"/>
      <c r="F484" s="31"/>
      <c r="G484" s="59"/>
      <c r="H484" s="61"/>
      <c r="I484" s="47"/>
    </row>
    <row r="485" spans="2:9" x14ac:dyDescent="0.25">
      <c r="B485" s="55" t="str">
        <f t="shared" si="7"/>
        <v/>
      </c>
      <c r="C485" s="31"/>
      <c r="D485" s="31"/>
      <c r="E485" s="31"/>
      <c r="F485" s="31"/>
      <c r="G485" s="59"/>
      <c r="H485" s="61"/>
      <c r="I485" s="47"/>
    </row>
    <row r="486" spans="2:9" x14ac:dyDescent="0.25">
      <c r="B486" s="55" t="str">
        <f t="shared" si="7"/>
        <v/>
      </c>
      <c r="C486" s="31"/>
      <c r="D486" s="31"/>
      <c r="E486" s="31"/>
      <c r="F486" s="31"/>
      <c r="G486" s="59"/>
      <c r="H486" s="61"/>
      <c r="I486" s="47"/>
    </row>
    <row r="487" spans="2:9" x14ac:dyDescent="0.25">
      <c r="B487" s="55" t="str">
        <f t="shared" si="7"/>
        <v/>
      </c>
      <c r="C487" s="31"/>
      <c r="D487" s="31"/>
      <c r="E487" s="31"/>
      <c r="F487" s="31"/>
      <c r="G487" s="59"/>
      <c r="H487" s="61"/>
      <c r="I487" s="47"/>
    </row>
    <row r="488" spans="2:9" x14ac:dyDescent="0.25">
      <c r="B488" s="55" t="str">
        <f t="shared" si="7"/>
        <v/>
      </c>
      <c r="C488" s="31"/>
      <c r="D488" s="31"/>
      <c r="E488" s="31"/>
      <c r="F488" s="31"/>
      <c r="G488" s="59"/>
      <c r="H488" s="61"/>
      <c r="I488" s="47"/>
    </row>
    <row r="489" spans="2:9" x14ac:dyDescent="0.25">
      <c r="B489" s="55" t="str">
        <f t="shared" si="7"/>
        <v/>
      </c>
      <c r="C489" s="31"/>
      <c r="D489" s="31"/>
      <c r="E489" s="31"/>
      <c r="F489" s="31"/>
      <c r="G489" s="59"/>
      <c r="H489" s="61"/>
      <c r="I489" s="47"/>
    </row>
    <row r="490" spans="2:9" x14ac:dyDescent="0.25">
      <c r="B490" s="55" t="str">
        <f t="shared" si="7"/>
        <v/>
      </c>
      <c r="C490" s="31"/>
      <c r="D490" s="31"/>
      <c r="E490" s="31"/>
      <c r="F490" s="31"/>
      <c r="G490" s="59"/>
      <c r="H490" s="61"/>
      <c r="I490" s="47"/>
    </row>
    <row r="491" spans="2:9" x14ac:dyDescent="0.25">
      <c r="B491" s="55" t="str">
        <f t="shared" si="7"/>
        <v/>
      </c>
      <c r="C491" s="31"/>
      <c r="D491" s="31"/>
      <c r="E491" s="31"/>
      <c r="F491" s="31"/>
      <c r="G491" s="59"/>
      <c r="H491" s="61"/>
      <c r="I491" s="47"/>
    </row>
    <row r="492" spans="2:9" x14ac:dyDescent="0.25">
      <c r="B492" s="55" t="str">
        <f t="shared" si="7"/>
        <v/>
      </c>
      <c r="C492" s="31"/>
      <c r="D492" s="31"/>
      <c r="E492" s="31"/>
      <c r="F492" s="31"/>
      <c r="G492" s="59"/>
      <c r="H492" s="61"/>
      <c r="I492" s="47"/>
    </row>
    <row r="493" spans="2:9" x14ac:dyDescent="0.25">
      <c r="B493" s="55" t="str">
        <f t="shared" si="7"/>
        <v/>
      </c>
      <c r="C493" s="31"/>
      <c r="D493" s="31"/>
      <c r="E493" s="31"/>
      <c r="F493" s="31"/>
      <c r="G493" s="59"/>
      <c r="H493" s="61"/>
      <c r="I493" s="47"/>
    </row>
    <row r="494" spans="2:9" x14ac:dyDescent="0.25">
      <c r="B494" s="55" t="str">
        <f t="shared" si="7"/>
        <v/>
      </c>
      <c r="C494" s="31"/>
      <c r="D494" s="31"/>
      <c r="E494" s="31"/>
      <c r="F494" s="31"/>
      <c r="G494" s="59"/>
      <c r="H494" s="61"/>
      <c r="I494" s="47"/>
    </row>
    <row r="495" spans="2:9" x14ac:dyDescent="0.25">
      <c r="B495" s="55" t="str">
        <f t="shared" si="7"/>
        <v/>
      </c>
      <c r="C495" s="31"/>
      <c r="D495" s="31"/>
      <c r="E495" s="31"/>
      <c r="F495" s="31"/>
      <c r="G495" s="59"/>
      <c r="H495" s="61"/>
      <c r="I495" s="47"/>
    </row>
    <row r="496" spans="2:9" x14ac:dyDescent="0.25">
      <c r="B496" s="55" t="str">
        <f t="shared" si="7"/>
        <v/>
      </c>
      <c r="C496" s="31"/>
      <c r="D496" s="31"/>
      <c r="E496" s="31"/>
      <c r="F496" s="31"/>
      <c r="G496" s="59"/>
      <c r="H496" s="61"/>
      <c r="I496" s="47"/>
    </row>
    <row r="497" spans="2:9" x14ac:dyDescent="0.25">
      <c r="B497" s="55" t="str">
        <f t="shared" si="7"/>
        <v/>
      </c>
      <c r="C497" s="31"/>
      <c r="D497" s="31"/>
      <c r="E497" s="31"/>
      <c r="F497" s="31"/>
      <c r="G497" s="59"/>
      <c r="H497" s="61"/>
      <c r="I497" s="47"/>
    </row>
    <row r="498" spans="2:9" x14ac:dyDescent="0.25">
      <c r="B498" s="55" t="str">
        <f t="shared" si="7"/>
        <v/>
      </c>
      <c r="C498" s="31"/>
      <c r="D498" s="31"/>
      <c r="E498" s="31"/>
      <c r="F498" s="31"/>
      <c r="G498" s="59"/>
      <c r="H498" s="61"/>
      <c r="I498" s="47"/>
    </row>
    <row r="499" spans="2:9" x14ac:dyDescent="0.25">
      <c r="B499" s="55" t="str">
        <f t="shared" si="7"/>
        <v/>
      </c>
      <c r="C499" s="31"/>
      <c r="D499" s="31"/>
      <c r="E499" s="31"/>
      <c r="F499" s="31"/>
      <c r="G499" s="59"/>
      <c r="H499" s="61"/>
      <c r="I499" s="47"/>
    </row>
    <row r="500" spans="2:9" x14ac:dyDescent="0.25">
      <c r="B500" s="55" t="str">
        <f t="shared" si="7"/>
        <v/>
      </c>
      <c r="C500" s="31"/>
      <c r="D500" s="31"/>
      <c r="E500" s="31"/>
      <c r="F500" s="31"/>
      <c r="G500" s="59"/>
      <c r="H500" s="61"/>
      <c r="I500" s="47"/>
    </row>
    <row r="501" spans="2:9" x14ac:dyDescent="0.25">
      <c r="B501" s="55" t="str">
        <f t="shared" si="7"/>
        <v/>
      </c>
      <c r="C501" s="31"/>
      <c r="D501" s="31"/>
      <c r="E501" s="31"/>
      <c r="F501" s="31"/>
      <c r="G501" s="59"/>
      <c r="H501" s="61"/>
      <c r="I501" s="47"/>
    </row>
    <row r="502" spans="2:9" x14ac:dyDescent="0.25">
      <c r="B502" s="55" t="str">
        <f t="shared" si="7"/>
        <v/>
      </c>
      <c r="C502" s="31"/>
      <c r="D502" s="31"/>
      <c r="E502" s="31"/>
      <c r="F502" s="31"/>
      <c r="G502" s="59"/>
      <c r="H502" s="61"/>
      <c r="I502" s="47"/>
    </row>
    <row r="503" spans="2:9" x14ac:dyDescent="0.25">
      <c r="B503" s="55" t="str">
        <f t="shared" si="7"/>
        <v/>
      </c>
      <c r="C503" s="31"/>
      <c r="D503" s="31"/>
      <c r="E503" s="31"/>
      <c r="F503" s="31"/>
      <c r="G503" s="59"/>
      <c r="H503" s="61"/>
      <c r="I503" s="47"/>
    </row>
    <row r="504" spans="2:9" x14ac:dyDescent="0.25">
      <c r="B504" s="55" t="str">
        <f t="shared" si="7"/>
        <v/>
      </c>
      <c r="C504" s="31"/>
      <c r="D504" s="31"/>
      <c r="E504" s="31"/>
      <c r="F504" s="31"/>
      <c r="G504" s="59"/>
      <c r="H504" s="61"/>
      <c r="I504" s="47"/>
    </row>
    <row r="505" spans="2:9" x14ac:dyDescent="0.25">
      <c r="B505" s="55" t="str">
        <f t="shared" si="7"/>
        <v/>
      </c>
      <c r="C505" s="31"/>
      <c r="D505" s="31"/>
      <c r="E505" s="31"/>
      <c r="F505" s="31"/>
      <c r="G505" s="59"/>
      <c r="H505" s="61"/>
      <c r="I505" s="47"/>
    </row>
    <row r="506" spans="2:9" x14ac:dyDescent="0.25">
      <c r="B506" s="55" t="str">
        <f t="shared" si="7"/>
        <v/>
      </c>
      <c r="C506" s="31"/>
      <c r="D506" s="31"/>
      <c r="E506" s="31"/>
      <c r="F506" s="31"/>
      <c r="G506" s="59"/>
      <c r="H506" s="61"/>
      <c r="I506" s="47"/>
    </row>
    <row r="507" spans="2:9" x14ac:dyDescent="0.25">
      <c r="B507" s="55" t="str">
        <f t="shared" si="7"/>
        <v/>
      </c>
      <c r="C507" s="31"/>
      <c r="D507" s="31"/>
      <c r="E507" s="31"/>
      <c r="F507" s="31"/>
      <c r="G507" s="59"/>
      <c r="H507" s="61"/>
      <c r="I507" s="47"/>
    </row>
    <row r="508" spans="2:9" x14ac:dyDescent="0.25">
      <c r="B508" s="55" t="str">
        <f t="shared" si="7"/>
        <v/>
      </c>
      <c r="C508" s="31"/>
      <c r="D508" s="31"/>
      <c r="E508" s="31"/>
      <c r="F508" s="31"/>
      <c r="G508" s="59"/>
      <c r="H508" s="61"/>
      <c r="I508" s="47"/>
    </row>
    <row r="509" spans="2:9" x14ac:dyDescent="0.25">
      <c r="B509" s="55" t="str">
        <f t="shared" si="7"/>
        <v/>
      </c>
      <c r="C509" s="31"/>
      <c r="D509" s="31"/>
      <c r="E509" s="31"/>
      <c r="F509" s="31"/>
      <c r="G509" s="59"/>
      <c r="H509" s="61"/>
      <c r="I509" s="47"/>
    </row>
    <row r="510" spans="2:9" x14ac:dyDescent="0.25">
      <c r="B510" s="55" t="str">
        <f t="shared" si="7"/>
        <v/>
      </c>
      <c r="C510" s="31"/>
      <c r="D510" s="31"/>
      <c r="E510" s="31"/>
      <c r="F510" s="31"/>
      <c r="G510" s="59"/>
      <c r="H510" s="61"/>
      <c r="I510" s="47"/>
    </row>
    <row r="511" spans="2:9" x14ac:dyDescent="0.25">
      <c r="B511" s="55" t="str">
        <f t="shared" si="7"/>
        <v/>
      </c>
      <c r="C511" s="31"/>
      <c r="D511" s="31"/>
      <c r="E511" s="31"/>
      <c r="F511" s="31"/>
      <c r="G511" s="59"/>
      <c r="H511" s="61"/>
      <c r="I511" s="47"/>
    </row>
    <row r="512" spans="2:9" x14ac:dyDescent="0.25">
      <c r="B512" s="55" t="str">
        <f t="shared" si="7"/>
        <v/>
      </c>
      <c r="C512" s="31"/>
      <c r="D512" s="31"/>
      <c r="E512" s="31"/>
      <c r="F512" s="31"/>
      <c r="G512" s="59"/>
      <c r="H512" s="61"/>
      <c r="I512" s="47"/>
    </row>
    <row r="513" spans="2:9" x14ac:dyDescent="0.25">
      <c r="B513" s="55" t="str">
        <f t="shared" si="7"/>
        <v/>
      </c>
      <c r="C513" s="31"/>
      <c r="D513" s="31"/>
      <c r="E513" s="31"/>
      <c r="F513" s="31"/>
      <c r="G513" s="59"/>
      <c r="H513" s="61"/>
      <c r="I513" s="47"/>
    </row>
    <row r="514" spans="2:9" x14ac:dyDescent="0.25">
      <c r="B514" s="55" t="str">
        <f t="shared" si="7"/>
        <v/>
      </c>
      <c r="C514" s="31"/>
      <c r="D514" s="31"/>
      <c r="E514" s="31"/>
      <c r="F514" s="31"/>
      <c r="G514" s="59"/>
      <c r="H514" s="61"/>
      <c r="I514" s="47"/>
    </row>
    <row r="515" spans="2:9" x14ac:dyDescent="0.25">
      <c r="B515" s="55" t="str">
        <f t="shared" si="7"/>
        <v/>
      </c>
      <c r="C515" s="31"/>
      <c r="D515" s="31"/>
      <c r="E515" s="31"/>
      <c r="F515" s="31"/>
      <c r="G515" s="59"/>
      <c r="H515" s="61"/>
      <c r="I515" s="47"/>
    </row>
    <row r="516" spans="2:9" x14ac:dyDescent="0.25">
      <c r="B516" s="55" t="str">
        <f t="shared" si="7"/>
        <v/>
      </c>
      <c r="C516" s="31"/>
      <c r="D516" s="31"/>
      <c r="E516" s="31"/>
      <c r="F516" s="31"/>
      <c r="G516" s="59"/>
      <c r="H516" s="61"/>
      <c r="I516" s="47"/>
    </row>
    <row r="517" spans="2:9" x14ac:dyDescent="0.25">
      <c r="B517" s="55" t="str">
        <f t="shared" si="7"/>
        <v/>
      </c>
      <c r="C517" s="31"/>
      <c r="D517" s="31"/>
      <c r="E517" s="31"/>
      <c r="F517" s="31"/>
      <c r="G517" s="59"/>
      <c r="H517" s="61"/>
      <c r="I517" s="47"/>
    </row>
    <row r="518" spans="2:9" x14ac:dyDescent="0.25">
      <c r="B518" s="55" t="str">
        <f t="shared" ref="B518:B581" si="8">IF(C518="","",B517+1)</f>
        <v/>
      </c>
      <c r="C518" s="31"/>
      <c r="D518" s="31"/>
      <c r="E518" s="31"/>
      <c r="F518" s="31"/>
      <c r="G518" s="59"/>
      <c r="H518" s="61"/>
      <c r="I518" s="47"/>
    </row>
    <row r="519" spans="2:9" x14ac:dyDescent="0.25">
      <c r="B519" s="55" t="str">
        <f t="shared" si="8"/>
        <v/>
      </c>
      <c r="C519" s="31"/>
      <c r="D519" s="31"/>
      <c r="E519" s="31"/>
      <c r="F519" s="31"/>
      <c r="G519" s="59"/>
      <c r="H519" s="61"/>
      <c r="I519" s="47"/>
    </row>
    <row r="520" spans="2:9" x14ac:dyDescent="0.25">
      <c r="B520" s="55" t="str">
        <f t="shared" si="8"/>
        <v/>
      </c>
      <c r="C520" s="31"/>
      <c r="D520" s="31"/>
      <c r="E520" s="31"/>
      <c r="F520" s="31"/>
      <c r="G520" s="59"/>
      <c r="H520" s="61"/>
      <c r="I520" s="47"/>
    </row>
    <row r="521" spans="2:9" x14ac:dyDescent="0.25">
      <c r="B521" s="55" t="str">
        <f t="shared" si="8"/>
        <v/>
      </c>
      <c r="C521" s="31"/>
      <c r="D521" s="31"/>
      <c r="E521" s="31"/>
      <c r="F521" s="31"/>
      <c r="G521" s="59"/>
      <c r="H521" s="61"/>
      <c r="I521" s="47"/>
    </row>
    <row r="522" spans="2:9" x14ac:dyDescent="0.25">
      <c r="B522" s="55" t="str">
        <f t="shared" si="8"/>
        <v/>
      </c>
      <c r="C522" s="31"/>
      <c r="D522" s="31"/>
      <c r="E522" s="31"/>
      <c r="F522" s="31"/>
      <c r="G522" s="59"/>
      <c r="H522" s="61"/>
      <c r="I522" s="47"/>
    </row>
    <row r="523" spans="2:9" x14ac:dyDescent="0.25">
      <c r="B523" s="55" t="str">
        <f t="shared" si="8"/>
        <v/>
      </c>
      <c r="C523" s="31"/>
      <c r="D523" s="31"/>
      <c r="E523" s="31"/>
      <c r="F523" s="31"/>
      <c r="G523" s="59"/>
      <c r="H523" s="61"/>
      <c r="I523" s="47"/>
    </row>
    <row r="524" spans="2:9" x14ac:dyDescent="0.25">
      <c r="B524" s="55" t="str">
        <f t="shared" si="8"/>
        <v/>
      </c>
      <c r="C524" s="31"/>
      <c r="D524" s="31"/>
      <c r="E524" s="31"/>
      <c r="F524" s="31"/>
      <c r="G524" s="59"/>
      <c r="H524" s="61"/>
      <c r="I524" s="47"/>
    </row>
    <row r="525" spans="2:9" x14ac:dyDescent="0.25">
      <c r="B525" s="55" t="str">
        <f t="shared" si="8"/>
        <v/>
      </c>
      <c r="C525" s="31"/>
      <c r="D525" s="31"/>
      <c r="E525" s="31"/>
      <c r="F525" s="31"/>
      <c r="G525" s="59"/>
      <c r="H525" s="61"/>
      <c r="I525" s="47"/>
    </row>
    <row r="526" spans="2:9" x14ac:dyDescent="0.25">
      <c r="B526" s="55" t="str">
        <f t="shared" si="8"/>
        <v/>
      </c>
      <c r="C526" s="31"/>
      <c r="D526" s="31"/>
      <c r="E526" s="31"/>
      <c r="F526" s="31"/>
      <c r="G526" s="59"/>
      <c r="H526" s="61"/>
      <c r="I526" s="47"/>
    </row>
    <row r="527" spans="2:9" x14ac:dyDescent="0.25">
      <c r="B527" s="55" t="str">
        <f t="shared" si="8"/>
        <v/>
      </c>
      <c r="C527" s="31"/>
      <c r="D527" s="31"/>
      <c r="E527" s="31"/>
      <c r="F527" s="31"/>
      <c r="G527" s="59"/>
      <c r="H527" s="61"/>
      <c r="I527" s="47"/>
    </row>
    <row r="528" spans="2:9" x14ac:dyDescent="0.25">
      <c r="B528" s="55" t="str">
        <f t="shared" si="8"/>
        <v/>
      </c>
      <c r="C528" s="31"/>
      <c r="D528" s="31"/>
      <c r="E528" s="31"/>
      <c r="F528" s="31"/>
      <c r="G528" s="59"/>
      <c r="H528" s="61"/>
      <c r="I528" s="47"/>
    </row>
    <row r="529" spans="2:9" x14ac:dyDescent="0.25">
      <c r="B529" s="55" t="str">
        <f t="shared" si="8"/>
        <v/>
      </c>
      <c r="C529" s="31"/>
      <c r="D529" s="31"/>
      <c r="E529" s="31"/>
      <c r="F529" s="31"/>
      <c r="G529" s="59"/>
      <c r="H529" s="61"/>
      <c r="I529" s="47"/>
    </row>
    <row r="530" spans="2:9" x14ac:dyDescent="0.25">
      <c r="B530" s="55" t="str">
        <f t="shared" si="8"/>
        <v/>
      </c>
      <c r="C530" s="31"/>
      <c r="D530" s="31"/>
      <c r="E530" s="31"/>
      <c r="F530" s="31"/>
      <c r="G530" s="59"/>
      <c r="H530" s="61"/>
      <c r="I530" s="47"/>
    </row>
    <row r="531" spans="2:9" x14ac:dyDescent="0.25">
      <c r="B531" s="55" t="str">
        <f t="shared" si="8"/>
        <v/>
      </c>
      <c r="C531" s="31"/>
      <c r="D531" s="31"/>
      <c r="E531" s="31"/>
      <c r="F531" s="31"/>
      <c r="G531" s="59"/>
      <c r="H531" s="61"/>
      <c r="I531" s="47"/>
    </row>
    <row r="532" spans="2:9" x14ac:dyDescent="0.25">
      <c r="B532" s="55" t="str">
        <f t="shared" si="8"/>
        <v/>
      </c>
      <c r="C532" s="31"/>
      <c r="D532" s="31"/>
      <c r="E532" s="31"/>
      <c r="F532" s="31"/>
      <c r="G532" s="59"/>
      <c r="H532" s="61"/>
      <c r="I532" s="47"/>
    </row>
    <row r="533" spans="2:9" x14ac:dyDescent="0.25">
      <c r="B533" s="55" t="str">
        <f t="shared" si="8"/>
        <v/>
      </c>
      <c r="C533" s="31"/>
      <c r="D533" s="31"/>
      <c r="E533" s="31"/>
      <c r="F533" s="31"/>
      <c r="G533" s="59"/>
      <c r="H533" s="61"/>
      <c r="I533" s="47"/>
    </row>
    <row r="534" spans="2:9" x14ac:dyDescent="0.25">
      <c r="B534" s="55" t="str">
        <f t="shared" si="8"/>
        <v/>
      </c>
      <c r="C534" s="31"/>
      <c r="D534" s="31"/>
      <c r="E534" s="31"/>
      <c r="F534" s="31"/>
      <c r="G534" s="59"/>
      <c r="H534" s="61"/>
      <c r="I534" s="47"/>
    </row>
    <row r="535" spans="2:9" x14ac:dyDescent="0.25">
      <c r="B535" s="55" t="str">
        <f t="shared" si="8"/>
        <v/>
      </c>
      <c r="C535" s="31"/>
      <c r="D535" s="31"/>
      <c r="E535" s="31"/>
      <c r="F535" s="31"/>
      <c r="G535" s="59"/>
      <c r="H535" s="61"/>
      <c r="I535" s="47"/>
    </row>
    <row r="536" spans="2:9" x14ac:dyDescent="0.25">
      <c r="B536" s="55" t="str">
        <f t="shared" si="8"/>
        <v/>
      </c>
      <c r="C536" s="31"/>
      <c r="D536" s="31"/>
      <c r="E536" s="31"/>
      <c r="F536" s="31"/>
      <c r="G536" s="59"/>
      <c r="H536" s="61"/>
      <c r="I536" s="47"/>
    </row>
    <row r="537" spans="2:9" x14ac:dyDescent="0.25">
      <c r="B537" s="55" t="str">
        <f t="shared" si="8"/>
        <v/>
      </c>
      <c r="C537" s="31"/>
      <c r="D537" s="31"/>
      <c r="E537" s="31"/>
      <c r="F537" s="31"/>
      <c r="G537" s="59"/>
      <c r="H537" s="61"/>
      <c r="I537" s="47"/>
    </row>
    <row r="538" spans="2:9" x14ac:dyDescent="0.25">
      <c r="B538" s="55" t="str">
        <f t="shared" si="8"/>
        <v/>
      </c>
      <c r="C538" s="31"/>
      <c r="D538" s="31"/>
      <c r="E538" s="31"/>
      <c r="F538" s="31"/>
      <c r="G538" s="59"/>
      <c r="H538" s="61"/>
      <c r="I538" s="47"/>
    </row>
    <row r="539" spans="2:9" x14ac:dyDescent="0.25">
      <c r="B539" s="55" t="str">
        <f t="shared" si="8"/>
        <v/>
      </c>
      <c r="C539" s="31"/>
      <c r="D539" s="31"/>
      <c r="E539" s="31"/>
      <c r="F539" s="31"/>
      <c r="G539" s="59"/>
      <c r="H539" s="61"/>
      <c r="I539" s="47"/>
    </row>
    <row r="540" spans="2:9" x14ac:dyDescent="0.25">
      <c r="B540" s="55" t="str">
        <f t="shared" si="8"/>
        <v/>
      </c>
      <c r="C540" s="31"/>
      <c r="D540" s="31"/>
      <c r="E540" s="31"/>
      <c r="F540" s="31"/>
      <c r="G540" s="59"/>
      <c r="H540" s="61"/>
      <c r="I540" s="47"/>
    </row>
    <row r="541" spans="2:9" x14ac:dyDescent="0.25">
      <c r="B541" s="55" t="str">
        <f t="shared" si="8"/>
        <v/>
      </c>
      <c r="C541" s="31"/>
      <c r="D541" s="31"/>
      <c r="E541" s="31"/>
      <c r="F541" s="31"/>
      <c r="G541" s="59"/>
      <c r="H541" s="61"/>
      <c r="I541" s="47"/>
    </row>
    <row r="542" spans="2:9" x14ac:dyDescent="0.25">
      <c r="B542" s="55" t="str">
        <f t="shared" si="8"/>
        <v/>
      </c>
      <c r="C542" s="31"/>
      <c r="D542" s="31"/>
      <c r="E542" s="31"/>
      <c r="F542" s="31"/>
      <c r="G542" s="59"/>
      <c r="H542" s="61"/>
      <c r="I542" s="47"/>
    </row>
    <row r="543" spans="2:9" x14ac:dyDescent="0.25">
      <c r="B543" s="55" t="str">
        <f t="shared" si="8"/>
        <v/>
      </c>
      <c r="C543" s="31"/>
      <c r="D543" s="31"/>
      <c r="E543" s="31"/>
      <c r="F543" s="31"/>
      <c r="G543" s="59"/>
      <c r="H543" s="61"/>
      <c r="I543" s="47"/>
    </row>
    <row r="544" spans="2:9" x14ac:dyDescent="0.25">
      <c r="B544" s="55" t="str">
        <f t="shared" si="8"/>
        <v/>
      </c>
      <c r="C544" s="31"/>
      <c r="D544" s="31"/>
      <c r="E544" s="31"/>
      <c r="F544" s="31"/>
      <c r="G544" s="59"/>
      <c r="H544" s="61"/>
      <c r="I544" s="47"/>
    </row>
    <row r="545" spans="2:9" x14ac:dyDescent="0.25">
      <c r="B545" s="55" t="str">
        <f t="shared" si="8"/>
        <v/>
      </c>
      <c r="C545" s="31"/>
      <c r="D545" s="31"/>
      <c r="E545" s="31"/>
      <c r="F545" s="31"/>
      <c r="G545" s="59"/>
      <c r="H545" s="61"/>
      <c r="I545" s="47"/>
    </row>
    <row r="546" spans="2:9" x14ac:dyDescent="0.25">
      <c r="B546" s="55" t="str">
        <f t="shared" si="8"/>
        <v/>
      </c>
      <c r="C546" s="31"/>
      <c r="D546" s="31"/>
      <c r="E546" s="31"/>
      <c r="F546" s="31"/>
      <c r="G546" s="59"/>
      <c r="H546" s="61"/>
      <c r="I546" s="47"/>
    </row>
    <row r="547" spans="2:9" x14ac:dyDescent="0.25">
      <c r="B547" s="55" t="str">
        <f t="shared" si="8"/>
        <v/>
      </c>
      <c r="C547" s="31"/>
      <c r="D547" s="31"/>
      <c r="E547" s="31"/>
      <c r="F547" s="31"/>
      <c r="G547" s="59"/>
      <c r="H547" s="61"/>
      <c r="I547" s="47"/>
    </row>
    <row r="548" spans="2:9" x14ac:dyDescent="0.25">
      <c r="B548" s="55" t="str">
        <f t="shared" si="8"/>
        <v/>
      </c>
      <c r="C548" s="31"/>
      <c r="D548" s="31"/>
      <c r="E548" s="31"/>
      <c r="F548" s="31"/>
      <c r="G548" s="59"/>
      <c r="H548" s="61"/>
      <c r="I548" s="47"/>
    </row>
    <row r="549" spans="2:9" x14ac:dyDescent="0.25">
      <c r="B549" s="55" t="str">
        <f t="shared" si="8"/>
        <v/>
      </c>
      <c r="C549" s="31"/>
      <c r="D549" s="31"/>
      <c r="E549" s="31"/>
      <c r="F549" s="31"/>
      <c r="G549" s="59"/>
      <c r="H549" s="61"/>
      <c r="I549" s="47"/>
    </row>
    <row r="550" spans="2:9" x14ac:dyDescent="0.25">
      <c r="B550" s="55" t="str">
        <f t="shared" si="8"/>
        <v/>
      </c>
      <c r="C550" s="31"/>
      <c r="D550" s="31"/>
      <c r="E550" s="31"/>
      <c r="F550" s="31"/>
      <c r="G550" s="59"/>
      <c r="H550" s="61"/>
      <c r="I550" s="47"/>
    </row>
    <row r="551" spans="2:9" x14ac:dyDescent="0.25">
      <c r="B551" s="55" t="str">
        <f t="shared" si="8"/>
        <v/>
      </c>
      <c r="C551" s="31"/>
      <c r="D551" s="31"/>
      <c r="E551" s="31"/>
      <c r="F551" s="31"/>
      <c r="G551" s="59"/>
      <c r="H551" s="61"/>
      <c r="I551" s="47"/>
    </row>
    <row r="552" spans="2:9" x14ac:dyDescent="0.25">
      <c r="B552" s="55" t="str">
        <f t="shared" si="8"/>
        <v/>
      </c>
      <c r="C552" s="31"/>
      <c r="D552" s="31"/>
      <c r="E552" s="31"/>
      <c r="F552" s="31"/>
      <c r="G552" s="59"/>
      <c r="H552" s="61"/>
      <c r="I552" s="47"/>
    </row>
    <row r="553" spans="2:9" x14ac:dyDescent="0.25">
      <c r="B553" s="55" t="str">
        <f t="shared" si="8"/>
        <v/>
      </c>
      <c r="C553" s="31"/>
      <c r="D553" s="31"/>
      <c r="E553" s="31"/>
      <c r="F553" s="31"/>
      <c r="G553" s="59"/>
      <c r="H553" s="61"/>
      <c r="I553" s="47"/>
    </row>
    <row r="554" spans="2:9" x14ac:dyDescent="0.25">
      <c r="B554" s="55" t="str">
        <f t="shared" si="8"/>
        <v/>
      </c>
      <c r="C554" s="31"/>
      <c r="D554" s="31"/>
      <c r="E554" s="31"/>
      <c r="F554" s="31"/>
      <c r="G554" s="59"/>
      <c r="H554" s="61"/>
      <c r="I554" s="47"/>
    </row>
    <row r="555" spans="2:9" x14ac:dyDescent="0.25">
      <c r="B555" s="55" t="str">
        <f t="shared" si="8"/>
        <v/>
      </c>
      <c r="C555" s="31"/>
      <c r="D555" s="31"/>
      <c r="E555" s="31"/>
      <c r="F555" s="31"/>
      <c r="G555" s="59"/>
      <c r="H555" s="61"/>
      <c r="I555" s="47"/>
    </row>
    <row r="556" spans="2:9" x14ac:dyDescent="0.25">
      <c r="B556" s="55" t="str">
        <f t="shared" si="8"/>
        <v/>
      </c>
      <c r="C556" s="31"/>
      <c r="D556" s="31"/>
      <c r="E556" s="31"/>
      <c r="F556" s="31"/>
      <c r="G556" s="59"/>
      <c r="H556" s="61"/>
      <c r="I556" s="47"/>
    </row>
    <row r="557" spans="2:9" x14ac:dyDescent="0.25">
      <c r="B557" s="55" t="str">
        <f t="shared" si="8"/>
        <v/>
      </c>
      <c r="C557" s="31"/>
      <c r="D557" s="31"/>
      <c r="E557" s="31"/>
      <c r="F557" s="31"/>
      <c r="G557" s="59"/>
      <c r="H557" s="61"/>
      <c r="I557" s="47"/>
    </row>
    <row r="558" spans="2:9" x14ac:dyDescent="0.25">
      <c r="B558" s="55" t="str">
        <f t="shared" si="8"/>
        <v/>
      </c>
      <c r="C558" s="31"/>
      <c r="D558" s="31"/>
      <c r="E558" s="31"/>
      <c r="F558" s="31"/>
      <c r="G558" s="59"/>
      <c r="H558" s="61"/>
      <c r="I558" s="47"/>
    </row>
    <row r="559" spans="2:9" x14ac:dyDescent="0.25">
      <c r="B559" s="55" t="str">
        <f t="shared" si="8"/>
        <v/>
      </c>
      <c r="C559" s="31"/>
      <c r="D559" s="31"/>
      <c r="E559" s="31"/>
      <c r="F559" s="31"/>
      <c r="G559" s="59"/>
      <c r="H559" s="61"/>
      <c r="I559" s="47"/>
    </row>
    <row r="560" spans="2:9" x14ac:dyDescent="0.25">
      <c r="B560" s="55" t="str">
        <f t="shared" si="8"/>
        <v/>
      </c>
      <c r="C560" s="31"/>
      <c r="D560" s="31"/>
      <c r="E560" s="31"/>
      <c r="F560" s="31"/>
      <c r="G560" s="59"/>
      <c r="H560" s="61"/>
      <c r="I560" s="47"/>
    </row>
    <row r="561" spans="2:9" x14ac:dyDescent="0.25">
      <c r="B561" s="55" t="str">
        <f t="shared" si="8"/>
        <v/>
      </c>
      <c r="C561" s="31"/>
      <c r="D561" s="31"/>
      <c r="E561" s="31"/>
      <c r="F561" s="31"/>
      <c r="G561" s="59"/>
      <c r="H561" s="61"/>
      <c r="I561" s="47"/>
    </row>
    <row r="562" spans="2:9" x14ac:dyDescent="0.25">
      <c r="B562" s="55" t="str">
        <f t="shared" si="8"/>
        <v/>
      </c>
      <c r="C562" s="31"/>
      <c r="D562" s="31"/>
      <c r="E562" s="31"/>
      <c r="F562" s="31"/>
      <c r="G562" s="59"/>
      <c r="H562" s="61"/>
      <c r="I562" s="47"/>
    </row>
    <row r="563" spans="2:9" x14ac:dyDescent="0.25">
      <c r="B563" s="55" t="str">
        <f t="shared" si="8"/>
        <v/>
      </c>
      <c r="C563" s="31"/>
      <c r="D563" s="31"/>
      <c r="E563" s="31"/>
      <c r="F563" s="31"/>
      <c r="G563" s="59"/>
      <c r="H563" s="61"/>
      <c r="I563" s="47"/>
    </row>
    <row r="564" spans="2:9" x14ac:dyDescent="0.25">
      <c r="B564" s="55" t="str">
        <f t="shared" si="8"/>
        <v/>
      </c>
      <c r="C564" s="31"/>
      <c r="D564" s="31"/>
      <c r="E564" s="31"/>
      <c r="F564" s="31"/>
      <c r="G564" s="59"/>
      <c r="H564" s="61"/>
      <c r="I564" s="47"/>
    </row>
    <row r="565" spans="2:9" x14ac:dyDescent="0.25">
      <c r="B565" s="55" t="str">
        <f t="shared" si="8"/>
        <v/>
      </c>
      <c r="C565" s="31"/>
      <c r="D565" s="31"/>
      <c r="E565" s="31"/>
      <c r="F565" s="31"/>
      <c r="G565" s="59"/>
      <c r="H565" s="61"/>
      <c r="I565" s="47"/>
    </row>
    <row r="566" spans="2:9" x14ac:dyDescent="0.25">
      <c r="B566" s="55" t="str">
        <f t="shared" si="8"/>
        <v/>
      </c>
      <c r="C566" s="31"/>
      <c r="D566" s="31"/>
      <c r="E566" s="31"/>
      <c r="F566" s="31"/>
      <c r="G566" s="59"/>
      <c r="H566" s="61"/>
      <c r="I566" s="47"/>
    </row>
    <row r="567" spans="2:9" x14ac:dyDescent="0.25">
      <c r="B567" s="55" t="str">
        <f t="shared" si="8"/>
        <v/>
      </c>
      <c r="C567" s="31"/>
      <c r="D567" s="31"/>
      <c r="E567" s="31"/>
      <c r="F567" s="31"/>
      <c r="G567" s="59"/>
      <c r="H567" s="61"/>
      <c r="I567" s="47"/>
    </row>
    <row r="568" spans="2:9" x14ac:dyDescent="0.25">
      <c r="B568" s="55" t="str">
        <f t="shared" si="8"/>
        <v/>
      </c>
      <c r="C568" s="31"/>
      <c r="D568" s="31"/>
      <c r="E568" s="31"/>
      <c r="F568" s="31"/>
      <c r="G568" s="59"/>
      <c r="H568" s="61"/>
      <c r="I568" s="47"/>
    </row>
    <row r="569" spans="2:9" x14ac:dyDescent="0.25">
      <c r="B569" s="55" t="str">
        <f t="shared" si="8"/>
        <v/>
      </c>
      <c r="C569" s="31"/>
      <c r="D569" s="31"/>
      <c r="E569" s="31"/>
      <c r="F569" s="31"/>
      <c r="G569" s="59"/>
      <c r="H569" s="61"/>
      <c r="I569" s="47"/>
    </row>
    <row r="570" spans="2:9" x14ac:dyDescent="0.25">
      <c r="B570" s="55" t="str">
        <f t="shared" si="8"/>
        <v/>
      </c>
      <c r="C570" s="31"/>
      <c r="D570" s="31"/>
      <c r="E570" s="31"/>
      <c r="F570" s="31"/>
      <c r="G570" s="59"/>
      <c r="H570" s="61"/>
      <c r="I570" s="47"/>
    </row>
    <row r="571" spans="2:9" x14ac:dyDescent="0.25">
      <c r="B571" s="55" t="str">
        <f t="shared" si="8"/>
        <v/>
      </c>
      <c r="C571" s="31"/>
      <c r="D571" s="31"/>
      <c r="E571" s="31"/>
      <c r="F571" s="31"/>
      <c r="G571" s="59"/>
      <c r="H571" s="61"/>
      <c r="I571" s="47"/>
    </row>
    <row r="572" spans="2:9" x14ac:dyDescent="0.25">
      <c r="B572" s="55" t="str">
        <f t="shared" si="8"/>
        <v/>
      </c>
      <c r="C572" s="31"/>
      <c r="D572" s="31"/>
      <c r="E572" s="31"/>
      <c r="F572" s="31"/>
      <c r="G572" s="59"/>
      <c r="H572" s="61"/>
      <c r="I572" s="47"/>
    </row>
    <row r="573" spans="2:9" x14ac:dyDescent="0.25">
      <c r="B573" s="55" t="str">
        <f t="shared" si="8"/>
        <v/>
      </c>
      <c r="C573" s="31"/>
      <c r="D573" s="31"/>
      <c r="E573" s="31"/>
      <c r="F573" s="31"/>
      <c r="G573" s="59"/>
      <c r="H573" s="61"/>
      <c r="I573" s="47"/>
    </row>
    <row r="574" spans="2:9" x14ac:dyDescent="0.25">
      <c r="B574" s="55" t="str">
        <f t="shared" si="8"/>
        <v/>
      </c>
      <c r="C574" s="31"/>
      <c r="D574" s="31"/>
      <c r="E574" s="31"/>
      <c r="F574" s="31"/>
      <c r="G574" s="59"/>
      <c r="H574" s="61"/>
      <c r="I574" s="47"/>
    </row>
    <row r="575" spans="2:9" x14ac:dyDescent="0.25">
      <c r="B575" s="55" t="str">
        <f t="shared" si="8"/>
        <v/>
      </c>
      <c r="C575" s="31"/>
      <c r="D575" s="31"/>
      <c r="E575" s="31"/>
      <c r="F575" s="31"/>
      <c r="G575" s="59"/>
      <c r="H575" s="61"/>
      <c r="I575" s="47"/>
    </row>
    <row r="576" spans="2:9" x14ac:dyDescent="0.25">
      <c r="B576" s="55" t="str">
        <f t="shared" si="8"/>
        <v/>
      </c>
      <c r="C576" s="31"/>
      <c r="D576" s="31"/>
      <c r="E576" s="31"/>
      <c r="F576" s="31"/>
      <c r="G576" s="59"/>
      <c r="H576" s="61"/>
      <c r="I576" s="47"/>
    </row>
    <row r="577" spans="2:9" x14ac:dyDescent="0.25">
      <c r="B577" s="55" t="str">
        <f t="shared" si="8"/>
        <v/>
      </c>
      <c r="C577" s="31"/>
      <c r="D577" s="31"/>
      <c r="E577" s="31"/>
      <c r="F577" s="31"/>
      <c r="G577" s="59"/>
      <c r="H577" s="61"/>
      <c r="I577" s="47"/>
    </row>
    <row r="578" spans="2:9" x14ac:dyDescent="0.25">
      <c r="B578" s="55" t="str">
        <f t="shared" si="8"/>
        <v/>
      </c>
      <c r="C578" s="31"/>
      <c r="D578" s="31"/>
      <c r="E578" s="31"/>
      <c r="F578" s="31"/>
      <c r="G578" s="59"/>
      <c r="H578" s="61"/>
      <c r="I578" s="47"/>
    </row>
    <row r="579" spans="2:9" x14ac:dyDescent="0.25">
      <c r="B579" s="55" t="str">
        <f t="shared" si="8"/>
        <v/>
      </c>
      <c r="C579" s="31"/>
      <c r="D579" s="31"/>
      <c r="E579" s="31"/>
      <c r="F579" s="31"/>
      <c r="G579" s="59"/>
      <c r="H579" s="61"/>
      <c r="I579" s="47"/>
    </row>
    <row r="580" spans="2:9" x14ac:dyDescent="0.25">
      <c r="B580" s="55" t="str">
        <f t="shared" si="8"/>
        <v/>
      </c>
      <c r="C580" s="31"/>
      <c r="D580" s="31"/>
      <c r="E580" s="31"/>
      <c r="F580" s="31"/>
      <c r="G580" s="59"/>
      <c r="H580" s="61"/>
      <c r="I580" s="47"/>
    </row>
    <row r="581" spans="2:9" x14ac:dyDescent="0.25">
      <c r="B581" s="55" t="str">
        <f t="shared" si="8"/>
        <v/>
      </c>
      <c r="C581" s="31"/>
      <c r="D581" s="31"/>
      <c r="E581" s="31"/>
      <c r="F581" s="31"/>
      <c r="G581" s="59"/>
      <c r="H581" s="61"/>
      <c r="I581" s="47"/>
    </row>
    <row r="582" spans="2:9" x14ac:dyDescent="0.25">
      <c r="B582" s="55" t="str">
        <f t="shared" ref="B582:B645" si="9">IF(C582="","",B581+1)</f>
        <v/>
      </c>
      <c r="C582" s="31"/>
      <c r="D582" s="31"/>
      <c r="E582" s="31"/>
      <c r="F582" s="31"/>
      <c r="G582" s="59"/>
      <c r="H582" s="61"/>
      <c r="I582" s="47"/>
    </row>
    <row r="583" spans="2:9" x14ac:dyDescent="0.25">
      <c r="B583" s="55" t="str">
        <f t="shared" si="9"/>
        <v/>
      </c>
      <c r="C583" s="31"/>
      <c r="D583" s="31"/>
      <c r="E583" s="31"/>
      <c r="F583" s="31"/>
      <c r="G583" s="59"/>
      <c r="H583" s="61"/>
      <c r="I583" s="47"/>
    </row>
    <row r="584" spans="2:9" x14ac:dyDescent="0.25">
      <c r="B584" s="55" t="str">
        <f t="shared" si="9"/>
        <v/>
      </c>
      <c r="C584" s="31"/>
      <c r="D584" s="31"/>
      <c r="E584" s="31"/>
      <c r="F584" s="31"/>
      <c r="G584" s="59"/>
      <c r="H584" s="61"/>
      <c r="I584" s="47"/>
    </row>
    <row r="585" spans="2:9" x14ac:dyDescent="0.25">
      <c r="B585" s="55" t="str">
        <f t="shared" si="9"/>
        <v/>
      </c>
      <c r="C585" s="31"/>
      <c r="D585" s="31"/>
      <c r="E585" s="31"/>
      <c r="F585" s="31"/>
      <c r="G585" s="59"/>
      <c r="H585" s="61"/>
      <c r="I585" s="47"/>
    </row>
    <row r="586" spans="2:9" x14ac:dyDescent="0.25">
      <c r="B586" s="55" t="str">
        <f t="shared" si="9"/>
        <v/>
      </c>
      <c r="C586" s="31"/>
      <c r="D586" s="31"/>
      <c r="E586" s="31"/>
      <c r="F586" s="31"/>
      <c r="G586" s="59"/>
      <c r="H586" s="61"/>
      <c r="I586" s="47"/>
    </row>
    <row r="587" spans="2:9" x14ac:dyDescent="0.25">
      <c r="B587" s="55" t="str">
        <f t="shared" si="9"/>
        <v/>
      </c>
      <c r="C587" s="31"/>
      <c r="D587" s="31"/>
      <c r="E587" s="31"/>
      <c r="F587" s="31"/>
      <c r="G587" s="59"/>
      <c r="H587" s="61"/>
      <c r="I587" s="47"/>
    </row>
    <row r="588" spans="2:9" x14ac:dyDescent="0.25">
      <c r="B588" s="55" t="str">
        <f t="shared" si="9"/>
        <v/>
      </c>
      <c r="C588" s="31"/>
      <c r="D588" s="31"/>
      <c r="E588" s="31"/>
      <c r="F588" s="31"/>
      <c r="G588" s="59"/>
      <c r="H588" s="61"/>
      <c r="I588" s="47"/>
    </row>
    <row r="589" spans="2:9" x14ac:dyDescent="0.25">
      <c r="B589" s="55" t="str">
        <f t="shared" si="9"/>
        <v/>
      </c>
      <c r="C589" s="31"/>
      <c r="D589" s="31"/>
      <c r="E589" s="31"/>
      <c r="F589" s="31"/>
      <c r="G589" s="59"/>
      <c r="H589" s="61"/>
      <c r="I589" s="47"/>
    </row>
    <row r="590" spans="2:9" x14ac:dyDescent="0.25">
      <c r="B590" s="55" t="str">
        <f t="shared" si="9"/>
        <v/>
      </c>
      <c r="C590" s="31"/>
      <c r="D590" s="31"/>
      <c r="E590" s="31"/>
      <c r="F590" s="31"/>
      <c r="G590" s="59"/>
      <c r="H590" s="61"/>
      <c r="I590" s="47"/>
    </row>
    <row r="591" spans="2:9" x14ac:dyDescent="0.25">
      <c r="B591" s="55" t="str">
        <f t="shared" si="9"/>
        <v/>
      </c>
      <c r="C591" s="31"/>
      <c r="D591" s="31"/>
      <c r="E591" s="31"/>
      <c r="F591" s="31"/>
      <c r="G591" s="59"/>
      <c r="H591" s="61"/>
      <c r="I591" s="47"/>
    </row>
    <row r="592" spans="2:9" x14ac:dyDescent="0.25">
      <c r="B592" s="55" t="str">
        <f t="shared" si="9"/>
        <v/>
      </c>
      <c r="C592" s="31"/>
      <c r="D592" s="31"/>
      <c r="E592" s="31"/>
      <c r="F592" s="31"/>
      <c r="G592" s="59"/>
      <c r="H592" s="61"/>
      <c r="I592" s="47"/>
    </row>
    <row r="593" spans="2:9" x14ac:dyDescent="0.25">
      <c r="B593" s="55" t="str">
        <f t="shared" si="9"/>
        <v/>
      </c>
      <c r="C593" s="31"/>
      <c r="D593" s="31"/>
      <c r="E593" s="31"/>
      <c r="F593" s="31"/>
      <c r="G593" s="59"/>
      <c r="H593" s="61"/>
      <c r="I593" s="47"/>
    </row>
    <row r="594" spans="2:9" x14ac:dyDescent="0.25">
      <c r="B594" s="55" t="str">
        <f t="shared" si="9"/>
        <v/>
      </c>
      <c r="C594" s="31"/>
      <c r="D594" s="31"/>
      <c r="E594" s="31"/>
      <c r="F594" s="31"/>
      <c r="G594" s="59"/>
      <c r="H594" s="61"/>
      <c r="I594" s="47"/>
    </row>
    <row r="595" spans="2:9" x14ac:dyDescent="0.25">
      <c r="B595" s="55" t="str">
        <f t="shared" si="9"/>
        <v/>
      </c>
      <c r="C595" s="31"/>
      <c r="D595" s="31"/>
      <c r="E595" s="31"/>
      <c r="F595" s="31"/>
      <c r="G595" s="59"/>
      <c r="H595" s="61"/>
      <c r="I595" s="47"/>
    </row>
    <row r="596" spans="2:9" x14ac:dyDescent="0.25">
      <c r="B596" s="55" t="str">
        <f t="shared" si="9"/>
        <v/>
      </c>
      <c r="C596" s="31"/>
      <c r="D596" s="31"/>
      <c r="E596" s="31"/>
      <c r="F596" s="31"/>
      <c r="G596" s="59"/>
      <c r="H596" s="61"/>
      <c r="I596" s="47"/>
    </row>
    <row r="597" spans="2:9" x14ac:dyDescent="0.25">
      <c r="B597" s="55" t="str">
        <f t="shared" si="9"/>
        <v/>
      </c>
      <c r="C597" s="31"/>
      <c r="D597" s="31"/>
      <c r="E597" s="31"/>
      <c r="F597" s="31"/>
      <c r="G597" s="59"/>
      <c r="H597" s="61"/>
      <c r="I597" s="47"/>
    </row>
    <row r="598" spans="2:9" x14ac:dyDescent="0.25">
      <c r="B598" s="55" t="str">
        <f t="shared" si="9"/>
        <v/>
      </c>
      <c r="C598" s="31"/>
      <c r="D598" s="31"/>
      <c r="E598" s="31"/>
      <c r="F598" s="31"/>
      <c r="G598" s="59"/>
      <c r="H598" s="61"/>
      <c r="I598" s="47"/>
    </row>
    <row r="599" spans="2:9" x14ac:dyDescent="0.25">
      <c r="B599" s="55" t="str">
        <f t="shared" si="9"/>
        <v/>
      </c>
      <c r="C599" s="31"/>
      <c r="D599" s="31"/>
      <c r="E599" s="31"/>
      <c r="F599" s="31"/>
      <c r="G599" s="59"/>
      <c r="H599" s="61"/>
      <c r="I599" s="47"/>
    </row>
    <row r="600" spans="2:9" x14ac:dyDescent="0.25">
      <c r="B600" s="55" t="str">
        <f t="shared" si="9"/>
        <v/>
      </c>
      <c r="C600" s="31"/>
      <c r="D600" s="31"/>
      <c r="E600" s="31"/>
      <c r="F600" s="31"/>
      <c r="G600" s="59"/>
      <c r="H600" s="61"/>
      <c r="I600" s="47"/>
    </row>
    <row r="601" spans="2:9" x14ac:dyDescent="0.25">
      <c r="B601" s="55" t="str">
        <f t="shared" si="9"/>
        <v/>
      </c>
      <c r="C601" s="31"/>
      <c r="D601" s="31"/>
      <c r="E601" s="31"/>
      <c r="F601" s="31"/>
      <c r="G601" s="59"/>
      <c r="H601" s="61"/>
      <c r="I601" s="47"/>
    </row>
    <row r="602" spans="2:9" x14ac:dyDescent="0.25">
      <c r="B602" s="55" t="str">
        <f t="shared" si="9"/>
        <v/>
      </c>
      <c r="C602" s="31"/>
      <c r="D602" s="31"/>
      <c r="E602" s="31"/>
      <c r="F602" s="31"/>
      <c r="G602" s="59"/>
      <c r="H602" s="61"/>
      <c r="I602" s="47"/>
    </row>
    <row r="603" spans="2:9" x14ac:dyDescent="0.25">
      <c r="B603" s="55" t="str">
        <f t="shared" si="9"/>
        <v/>
      </c>
      <c r="C603" s="31"/>
      <c r="D603" s="31"/>
      <c r="E603" s="31"/>
      <c r="F603" s="31"/>
      <c r="G603" s="59"/>
      <c r="H603" s="61"/>
      <c r="I603" s="47"/>
    </row>
    <row r="604" spans="2:9" x14ac:dyDescent="0.25">
      <c r="B604" s="55" t="str">
        <f t="shared" si="9"/>
        <v/>
      </c>
      <c r="C604" s="31"/>
      <c r="D604" s="31"/>
      <c r="E604" s="31"/>
      <c r="F604" s="31"/>
      <c r="G604" s="59"/>
      <c r="H604" s="61"/>
      <c r="I604" s="47"/>
    </row>
    <row r="605" spans="2:9" x14ac:dyDescent="0.25">
      <c r="B605" s="55" t="str">
        <f t="shared" si="9"/>
        <v/>
      </c>
      <c r="C605" s="31"/>
      <c r="D605" s="31"/>
      <c r="E605" s="31"/>
      <c r="F605" s="31"/>
      <c r="G605" s="59"/>
      <c r="H605" s="61"/>
      <c r="I605" s="47"/>
    </row>
    <row r="606" spans="2:9" x14ac:dyDescent="0.25">
      <c r="B606" s="55" t="str">
        <f t="shared" si="9"/>
        <v/>
      </c>
      <c r="C606" s="31"/>
      <c r="D606" s="31"/>
      <c r="E606" s="31"/>
      <c r="F606" s="31"/>
      <c r="G606" s="59"/>
      <c r="H606" s="61"/>
      <c r="I606" s="47"/>
    </row>
    <row r="607" spans="2:9" x14ac:dyDescent="0.25">
      <c r="B607" s="55" t="str">
        <f t="shared" si="9"/>
        <v/>
      </c>
      <c r="C607" s="31"/>
      <c r="D607" s="31"/>
      <c r="E607" s="31"/>
      <c r="F607" s="31"/>
      <c r="G607" s="59"/>
      <c r="H607" s="61"/>
      <c r="I607" s="47"/>
    </row>
    <row r="608" spans="2:9" x14ac:dyDescent="0.25">
      <c r="B608" s="55" t="str">
        <f t="shared" si="9"/>
        <v/>
      </c>
      <c r="C608" s="31"/>
      <c r="D608" s="31"/>
      <c r="E608" s="31"/>
      <c r="F608" s="31"/>
      <c r="G608" s="59"/>
      <c r="H608" s="61"/>
      <c r="I608" s="47"/>
    </row>
    <row r="609" spans="2:9" x14ac:dyDescent="0.25">
      <c r="B609" s="55" t="str">
        <f t="shared" si="9"/>
        <v/>
      </c>
      <c r="C609" s="31"/>
      <c r="D609" s="31"/>
      <c r="E609" s="31"/>
      <c r="F609" s="31"/>
      <c r="G609" s="59"/>
      <c r="H609" s="61"/>
      <c r="I609" s="47"/>
    </row>
    <row r="610" spans="2:9" x14ac:dyDescent="0.25">
      <c r="B610" s="55" t="str">
        <f t="shared" si="9"/>
        <v/>
      </c>
      <c r="C610" s="31"/>
      <c r="D610" s="31"/>
      <c r="E610" s="31"/>
      <c r="F610" s="31"/>
      <c r="G610" s="59"/>
      <c r="H610" s="61"/>
      <c r="I610" s="47"/>
    </row>
    <row r="611" spans="2:9" x14ac:dyDescent="0.25">
      <c r="B611" s="55" t="str">
        <f t="shared" si="9"/>
        <v/>
      </c>
      <c r="C611" s="31"/>
      <c r="D611" s="31"/>
      <c r="E611" s="31"/>
      <c r="F611" s="31"/>
      <c r="G611" s="59"/>
      <c r="H611" s="61"/>
      <c r="I611" s="47"/>
    </row>
    <row r="612" spans="2:9" x14ac:dyDescent="0.25">
      <c r="B612" s="55" t="str">
        <f t="shared" si="9"/>
        <v/>
      </c>
      <c r="C612" s="31"/>
      <c r="D612" s="31"/>
      <c r="E612" s="31"/>
      <c r="F612" s="31"/>
      <c r="G612" s="59"/>
      <c r="H612" s="61"/>
      <c r="I612" s="47"/>
    </row>
    <row r="613" spans="2:9" x14ac:dyDescent="0.25">
      <c r="B613" s="55" t="str">
        <f t="shared" si="9"/>
        <v/>
      </c>
      <c r="C613" s="31"/>
      <c r="D613" s="31"/>
      <c r="E613" s="31"/>
      <c r="F613" s="31"/>
      <c r="G613" s="59"/>
      <c r="H613" s="61"/>
      <c r="I613" s="47"/>
    </row>
    <row r="614" spans="2:9" x14ac:dyDescent="0.25">
      <c r="B614" s="55" t="str">
        <f t="shared" si="9"/>
        <v/>
      </c>
      <c r="C614" s="31"/>
      <c r="D614" s="31"/>
      <c r="E614" s="31"/>
      <c r="F614" s="31"/>
      <c r="G614" s="59"/>
      <c r="H614" s="61"/>
      <c r="I614" s="47"/>
    </row>
    <row r="615" spans="2:9" x14ac:dyDescent="0.25">
      <c r="B615" s="55" t="str">
        <f t="shared" si="9"/>
        <v/>
      </c>
      <c r="C615" s="31"/>
      <c r="D615" s="31"/>
      <c r="E615" s="31"/>
      <c r="F615" s="31"/>
      <c r="G615" s="59"/>
      <c r="H615" s="61"/>
      <c r="I615" s="47"/>
    </row>
    <row r="616" spans="2:9" x14ac:dyDescent="0.25">
      <c r="B616" s="55" t="str">
        <f t="shared" si="9"/>
        <v/>
      </c>
      <c r="C616" s="31"/>
      <c r="D616" s="31"/>
      <c r="E616" s="31"/>
      <c r="F616" s="31"/>
      <c r="G616" s="59"/>
      <c r="H616" s="61"/>
      <c r="I616" s="47"/>
    </row>
    <row r="617" spans="2:9" x14ac:dyDescent="0.25">
      <c r="B617" s="55" t="str">
        <f t="shared" si="9"/>
        <v/>
      </c>
      <c r="C617" s="31"/>
      <c r="D617" s="31"/>
      <c r="E617" s="31"/>
      <c r="F617" s="31"/>
      <c r="G617" s="59"/>
      <c r="H617" s="61"/>
      <c r="I617" s="47"/>
    </row>
    <row r="618" spans="2:9" x14ac:dyDescent="0.25">
      <c r="B618" s="55" t="str">
        <f t="shared" si="9"/>
        <v/>
      </c>
      <c r="C618" s="31"/>
      <c r="D618" s="31"/>
      <c r="E618" s="31"/>
      <c r="F618" s="31"/>
      <c r="G618" s="59"/>
      <c r="H618" s="61"/>
      <c r="I618" s="47"/>
    </row>
    <row r="619" spans="2:9" x14ac:dyDescent="0.25">
      <c r="B619" s="55" t="str">
        <f t="shared" si="9"/>
        <v/>
      </c>
      <c r="C619" s="31"/>
      <c r="D619" s="31"/>
      <c r="E619" s="31"/>
      <c r="F619" s="31"/>
      <c r="G619" s="59"/>
      <c r="H619" s="61"/>
      <c r="I619" s="47"/>
    </row>
    <row r="620" spans="2:9" x14ac:dyDescent="0.25">
      <c r="B620" s="55" t="str">
        <f t="shared" si="9"/>
        <v/>
      </c>
      <c r="C620" s="31"/>
      <c r="D620" s="31"/>
      <c r="E620" s="31"/>
      <c r="F620" s="31"/>
      <c r="G620" s="59"/>
      <c r="H620" s="61"/>
      <c r="I620" s="47"/>
    </row>
    <row r="621" spans="2:9" x14ac:dyDescent="0.25">
      <c r="B621" s="55" t="str">
        <f t="shared" si="9"/>
        <v/>
      </c>
      <c r="C621" s="31"/>
      <c r="D621" s="31"/>
      <c r="E621" s="31"/>
      <c r="F621" s="31"/>
      <c r="G621" s="59"/>
      <c r="H621" s="61"/>
      <c r="I621" s="47"/>
    </row>
    <row r="622" spans="2:9" x14ac:dyDescent="0.25">
      <c r="B622" s="55" t="str">
        <f t="shared" si="9"/>
        <v/>
      </c>
      <c r="C622" s="31"/>
      <c r="D622" s="31"/>
      <c r="E622" s="31"/>
      <c r="F622" s="31"/>
      <c r="G622" s="59"/>
      <c r="H622" s="61"/>
      <c r="I622" s="47"/>
    </row>
    <row r="623" spans="2:9" x14ac:dyDescent="0.25">
      <c r="B623" s="55" t="str">
        <f t="shared" si="9"/>
        <v/>
      </c>
      <c r="C623" s="31"/>
      <c r="D623" s="31"/>
      <c r="E623" s="31"/>
      <c r="F623" s="31"/>
      <c r="G623" s="59"/>
      <c r="H623" s="61"/>
      <c r="I623" s="47"/>
    </row>
    <row r="624" spans="2:9" x14ac:dyDescent="0.25">
      <c r="B624" s="55" t="str">
        <f t="shared" si="9"/>
        <v/>
      </c>
      <c r="C624" s="31"/>
      <c r="D624" s="31"/>
      <c r="E624" s="31"/>
      <c r="F624" s="31"/>
      <c r="G624" s="59"/>
      <c r="H624" s="61"/>
      <c r="I624" s="47"/>
    </row>
    <row r="625" spans="2:9" x14ac:dyDescent="0.25">
      <c r="B625" s="55" t="str">
        <f t="shared" si="9"/>
        <v/>
      </c>
      <c r="C625" s="31"/>
      <c r="D625" s="31"/>
      <c r="E625" s="31"/>
      <c r="F625" s="31"/>
      <c r="G625" s="59"/>
      <c r="H625" s="61"/>
      <c r="I625" s="47"/>
    </row>
    <row r="626" spans="2:9" x14ac:dyDescent="0.25">
      <c r="B626" s="55" t="str">
        <f t="shared" si="9"/>
        <v/>
      </c>
      <c r="C626" s="31"/>
      <c r="D626" s="31"/>
      <c r="E626" s="31"/>
      <c r="F626" s="31"/>
      <c r="G626" s="59"/>
      <c r="H626" s="61"/>
      <c r="I626" s="47"/>
    </row>
    <row r="627" spans="2:9" x14ac:dyDescent="0.25">
      <c r="B627" s="55" t="str">
        <f t="shared" si="9"/>
        <v/>
      </c>
      <c r="C627" s="31"/>
      <c r="D627" s="31"/>
      <c r="E627" s="31"/>
      <c r="F627" s="31"/>
      <c r="G627" s="59"/>
      <c r="H627" s="61"/>
      <c r="I627" s="47"/>
    </row>
    <row r="628" spans="2:9" x14ac:dyDescent="0.25">
      <c r="B628" s="55" t="str">
        <f t="shared" si="9"/>
        <v/>
      </c>
      <c r="C628" s="31"/>
      <c r="D628" s="31"/>
      <c r="E628" s="31"/>
      <c r="F628" s="31"/>
      <c r="G628" s="59"/>
      <c r="H628" s="61"/>
      <c r="I628" s="47"/>
    </row>
    <row r="629" spans="2:9" x14ac:dyDescent="0.25">
      <c r="B629" s="55" t="str">
        <f t="shared" si="9"/>
        <v/>
      </c>
      <c r="C629" s="31"/>
      <c r="D629" s="31"/>
      <c r="E629" s="31"/>
      <c r="F629" s="31"/>
      <c r="G629" s="59"/>
      <c r="H629" s="61"/>
      <c r="I629" s="47"/>
    </row>
    <row r="630" spans="2:9" x14ac:dyDescent="0.25">
      <c r="B630" s="55" t="str">
        <f t="shared" si="9"/>
        <v/>
      </c>
      <c r="C630" s="31"/>
      <c r="D630" s="31"/>
      <c r="E630" s="31"/>
      <c r="F630" s="31"/>
      <c r="G630" s="59"/>
      <c r="H630" s="61"/>
      <c r="I630" s="47"/>
    </row>
    <row r="631" spans="2:9" x14ac:dyDescent="0.25">
      <c r="B631" s="55" t="str">
        <f t="shared" si="9"/>
        <v/>
      </c>
      <c r="C631" s="31"/>
      <c r="D631" s="31"/>
      <c r="E631" s="31"/>
      <c r="F631" s="31"/>
      <c r="G631" s="59"/>
      <c r="H631" s="61"/>
      <c r="I631" s="47"/>
    </row>
    <row r="632" spans="2:9" x14ac:dyDescent="0.25">
      <c r="B632" s="55" t="str">
        <f t="shared" si="9"/>
        <v/>
      </c>
      <c r="C632" s="31"/>
      <c r="D632" s="31"/>
      <c r="E632" s="31"/>
      <c r="F632" s="31"/>
      <c r="G632" s="59"/>
      <c r="H632" s="61"/>
      <c r="I632" s="47"/>
    </row>
    <row r="633" spans="2:9" x14ac:dyDescent="0.25">
      <c r="B633" s="55" t="str">
        <f t="shared" si="9"/>
        <v/>
      </c>
      <c r="C633" s="31"/>
      <c r="D633" s="31"/>
      <c r="E633" s="31"/>
      <c r="F633" s="31"/>
      <c r="G633" s="59"/>
      <c r="H633" s="61"/>
      <c r="I633" s="47"/>
    </row>
    <row r="634" spans="2:9" x14ac:dyDescent="0.25">
      <c r="B634" s="55" t="str">
        <f t="shared" si="9"/>
        <v/>
      </c>
      <c r="C634" s="31"/>
      <c r="D634" s="31"/>
      <c r="E634" s="31"/>
      <c r="F634" s="31"/>
      <c r="G634" s="59"/>
      <c r="H634" s="61"/>
      <c r="I634" s="47"/>
    </row>
    <row r="635" spans="2:9" x14ac:dyDescent="0.25">
      <c r="B635" s="55" t="str">
        <f t="shared" si="9"/>
        <v/>
      </c>
      <c r="C635" s="31"/>
      <c r="D635" s="31"/>
      <c r="E635" s="31"/>
      <c r="F635" s="31"/>
      <c r="G635" s="59"/>
      <c r="H635" s="61"/>
      <c r="I635" s="47"/>
    </row>
    <row r="636" spans="2:9" x14ac:dyDescent="0.25">
      <c r="B636" s="55" t="str">
        <f t="shared" si="9"/>
        <v/>
      </c>
      <c r="C636" s="31"/>
      <c r="D636" s="31"/>
      <c r="E636" s="31"/>
      <c r="F636" s="31"/>
      <c r="G636" s="59"/>
      <c r="H636" s="61"/>
      <c r="I636" s="47"/>
    </row>
    <row r="637" spans="2:9" x14ac:dyDescent="0.25">
      <c r="B637" s="55" t="str">
        <f t="shared" si="9"/>
        <v/>
      </c>
      <c r="C637" s="31"/>
      <c r="D637" s="31"/>
      <c r="E637" s="31"/>
      <c r="F637" s="31"/>
      <c r="G637" s="59"/>
      <c r="H637" s="61"/>
      <c r="I637" s="47"/>
    </row>
    <row r="638" spans="2:9" x14ac:dyDescent="0.25">
      <c r="B638" s="55" t="str">
        <f t="shared" si="9"/>
        <v/>
      </c>
      <c r="C638" s="31"/>
      <c r="D638" s="31"/>
      <c r="E638" s="31"/>
      <c r="F638" s="31"/>
      <c r="G638" s="59"/>
      <c r="H638" s="61"/>
      <c r="I638" s="47"/>
    </row>
    <row r="639" spans="2:9" x14ac:dyDescent="0.25">
      <c r="B639" s="55" t="str">
        <f t="shared" si="9"/>
        <v/>
      </c>
      <c r="C639" s="31"/>
      <c r="D639" s="31"/>
      <c r="E639" s="31"/>
      <c r="F639" s="31"/>
      <c r="G639" s="59"/>
      <c r="H639" s="61"/>
      <c r="I639" s="47"/>
    </row>
    <row r="640" spans="2:9" x14ac:dyDescent="0.25">
      <c r="B640" s="55" t="str">
        <f t="shared" si="9"/>
        <v/>
      </c>
      <c r="C640" s="31"/>
      <c r="D640" s="31"/>
      <c r="E640" s="31"/>
      <c r="F640" s="31"/>
      <c r="G640" s="59"/>
      <c r="H640" s="61"/>
      <c r="I640" s="47"/>
    </row>
    <row r="641" spans="2:9" x14ac:dyDescent="0.25">
      <c r="B641" s="55" t="str">
        <f t="shared" si="9"/>
        <v/>
      </c>
      <c r="C641" s="31"/>
      <c r="D641" s="31"/>
      <c r="E641" s="31"/>
      <c r="F641" s="31"/>
      <c r="G641" s="59"/>
      <c r="H641" s="61"/>
      <c r="I641" s="47"/>
    </row>
    <row r="642" spans="2:9" x14ac:dyDescent="0.25">
      <c r="B642" s="55" t="str">
        <f t="shared" si="9"/>
        <v/>
      </c>
      <c r="C642" s="31"/>
      <c r="D642" s="31"/>
      <c r="E642" s="31"/>
      <c r="F642" s="31"/>
      <c r="G642" s="59"/>
      <c r="H642" s="61"/>
      <c r="I642" s="47"/>
    </row>
    <row r="643" spans="2:9" x14ac:dyDescent="0.25">
      <c r="B643" s="55" t="str">
        <f t="shared" si="9"/>
        <v/>
      </c>
      <c r="C643" s="31"/>
      <c r="D643" s="31"/>
      <c r="E643" s="31"/>
      <c r="F643" s="31"/>
      <c r="G643" s="59"/>
      <c r="H643" s="61"/>
      <c r="I643" s="47"/>
    </row>
    <row r="644" spans="2:9" x14ac:dyDescent="0.25">
      <c r="B644" s="55" t="str">
        <f t="shared" si="9"/>
        <v/>
      </c>
      <c r="C644" s="31"/>
      <c r="D644" s="31"/>
      <c r="E644" s="31"/>
      <c r="F644" s="31"/>
      <c r="G644" s="59"/>
      <c r="H644" s="61"/>
      <c r="I644" s="47"/>
    </row>
    <row r="645" spans="2:9" x14ac:dyDescent="0.25">
      <c r="B645" s="55" t="str">
        <f t="shared" si="9"/>
        <v/>
      </c>
      <c r="C645" s="31"/>
      <c r="D645" s="31"/>
      <c r="E645" s="31"/>
      <c r="F645" s="31"/>
      <c r="G645" s="59"/>
      <c r="H645" s="61"/>
      <c r="I645" s="47"/>
    </row>
    <row r="646" spans="2:9" x14ac:dyDescent="0.25">
      <c r="B646" s="55" t="str">
        <f t="shared" ref="B646:B709" si="10">IF(C646="","",B645+1)</f>
        <v/>
      </c>
      <c r="C646" s="31"/>
      <c r="D646" s="31"/>
      <c r="E646" s="31"/>
      <c r="F646" s="31"/>
      <c r="G646" s="59"/>
      <c r="H646" s="61"/>
      <c r="I646" s="47"/>
    </row>
    <row r="647" spans="2:9" x14ac:dyDescent="0.25">
      <c r="B647" s="55" t="str">
        <f t="shared" si="10"/>
        <v/>
      </c>
      <c r="C647" s="31"/>
      <c r="D647" s="31"/>
      <c r="E647" s="31"/>
      <c r="F647" s="31"/>
      <c r="G647" s="59"/>
      <c r="H647" s="61"/>
      <c r="I647" s="47"/>
    </row>
    <row r="648" spans="2:9" x14ac:dyDescent="0.25">
      <c r="B648" s="55" t="str">
        <f t="shared" si="10"/>
        <v/>
      </c>
      <c r="C648" s="31"/>
      <c r="D648" s="31"/>
      <c r="E648" s="31"/>
      <c r="F648" s="31"/>
      <c r="G648" s="59"/>
      <c r="H648" s="61"/>
      <c r="I648" s="47"/>
    </row>
    <row r="649" spans="2:9" x14ac:dyDescent="0.25">
      <c r="B649" s="55" t="str">
        <f t="shared" si="10"/>
        <v/>
      </c>
      <c r="C649" s="31"/>
      <c r="D649" s="31"/>
      <c r="E649" s="31"/>
      <c r="F649" s="31"/>
      <c r="G649" s="59"/>
      <c r="H649" s="61"/>
      <c r="I649" s="47"/>
    </row>
    <row r="650" spans="2:9" x14ac:dyDescent="0.25">
      <c r="B650" s="55" t="str">
        <f t="shared" si="10"/>
        <v/>
      </c>
      <c r="C650" s="31"/>
      <c r="D650" s="31"/>
      <c r="E650" s="31"/>
      <c r="F650" s="31"/>
      <c r="G650" s="59"/>
      <c r="H650" s="61"/>
      <c r="I650" s="47"/>
    </row>
    <row r="651" spans="2:9" x14ac:dyDescent="0.25">
      <c r="B651" s="55" t="str">
        <f t="shared" si="10"/>
        <v/>
      </c>
      <c r="C651" s="31"/>
      <c r="D651" s="31"/>
      <c r="E651" s="31"/>
      <c r="F651" s="31"/>
      <c r="G651" s="59"/>
      <c r="H651" s="61"/>
      <c r="I651" s="47"/>
    </row>
    <row r="652" spans="2:9" x14ac:dyDescent="0.25">
      <c r="B652" s="55" t="str">
        <f t="shared" si="10"/>
        <v/>
      </c>
      <c r="C652" s="31"/>
      <c r="D652" s="31"/>
      <c r="E652" s="31"/>
      <c r="F652" s="31"/>
      <c r="G652" s="59"/>
      <c r="H652" s="61"/>
      <c r="I652" s="47"/>
    </row>
    <row r="653" spans="2:9" x14ac:dyDescent="0.25">
      <c r="B653" s="55" t="str">
        <f t="shared" si="10"/>
        <v/>
      </c>
      <c r="C653" s="31"/>
      <c r="D653" s="31"/>
      <c r="E653" s="31"/>
      <c r="F653" s="31"/>
      <c r="G653" s="59"/>
      <c r="H653" s="61"/>
      <c r="I653" s="47"/>
    </row>
    <row r="654" spans="2:9" x14ac:dyDescent="0.25">
      <c r="B654" s="55" t="str">
        <f t="shared" si="10"/>
        <v/>
      </c>
      <c r="C654" s="31"/>
      <c r="D654" s="31"/>
      <c r="E654" s="31"/>
      <c r="F654" s="31"/>
      <c r="G654" s="59"/>
      <c r="H654" s="61"/>
      <c r="I654" s="47"/>
    </row>
    <row r="655" spans="2:9" x14ac:dyDescent="0.25">
      <c r="B655" s="55" t="str">
        <f t="shared" si="10"/>
        <v/>
      </c>
      <c r="C655" s="31"/>
      <c r="D655" s="31"/>
      <c r="E655" s="31"/>
      <c r="F655" s="31"/>
      <c r="G655" s="59"/>
      <c r="H655" s="61"/>
      <c r="I655" s="47"/>
    </row>
    <row r="656" spans="2:9" x14ac:dyDescent="0.25">
      <c r="B656" s="55" t="str">
        <f t="shared" si="10"/>
        <v/>
      </c>
      <c r="C656" s="31"/>
      <c r="D656" s="31"/>
      <c r="E656" s="31"/>
      <c r="F656" s="31"/>
      <c r="G656" s="59"/>
      <c r="H656" s="61"/>
      <c r="I656" s="47"/>
    </row>
    <row r="657" spans="2:9" x14ac:dyDescent="0.25">
      <c r="B657" s="55" t="str">
        <f t="shared" si="10"/>
        <v/>
      </c>
      <c r="C657" s="31"/>
      <c r="D657" s="31"/>
      <c r="E657" s="31"/>
      <c r="F657" s="31"/>
      <c r="G657" s="59"/>
      <c r="H657" s="61"/>
      <c r="I657" s="47"/>
    </row>
    <row r="658" spans="2:9" x14ac:dyDescent="0.25">
      <c r="B658" s="55" t="str">
        <f t="shared" si="10"/>
        <v/>
      </c>
      <c r="C658" s="31"/>
      <c r="D658" s="31"/>
      <c r="E658" s="31"/>
      <c r="F658" s="31"/>
      <c r="G658" s="59"/>
      <c r="H658" s="61"/>
      <c r="I658" s="47"/>
    </row>
    <row r="659" spans="2:9" x14ac:dyDescent="0.25">
      <c r="B659" s="55" t="str">
        <f t="shared" si="10"/>
        <v/>
      </c>
      <c r="C659" s="31"/>
      <c r="D659" s="31"/>
      <c r="E659" s="31"/>
      <c r="F659" s="31"/>
      <c r="G659" s="59"/>
      <c r="H659" s="61"/>
      <c r="I659" s="47"/>
    </row>
    <row r="660" spans="2:9" x14ac:dyDescent="0.25">
      <c r="B660" s="55" t="str">
        <f t="shared" si="10"/>
        <v/>
      </c>
      <c r="C660" s="31"/>
      <c r="D660" s="31"/>
      <c r="E660" s="31"/>
      <c r="F660" s="31"/>
      <c r="G660" s="59"/>
      <c r="H660" s="61"/>
      <c r="I660" s="47"/>
    </row>
    <row r="661" spans="2:9" x14ac:dyDescent="0.25">
      <c r="B661" s="55" t="str">
        <f t="shared" si="10"/>
        <v/>
      </c>
      <c r="C661" s="31"/>
      <c r="D661" s="31"/>
      <c r="E661" s="31"/>
      <c r="F661" s="31"/>
      <c r="G661" s="59"/>
      <c r="H661" s="61"/>
      <c r="I661" s="47"/>
    </row>
    <row r="662" spans="2:9" x14ac:dyDescent="0.25">
      <c r="B662" s="55" t="str">
        <f t="shared" si="10"/>
        <v/>
      </c>
      <c r="C662" s="31"/>
      <c r="D662" s="31"/>
      <c r="E662" s="31"/>
      <c r="F662" s="31"/>
      <c r="G662" s="59"/>
      <c r="H662" s="61"/>
      <c r="I662" s="47"/>
    </row>
    <row r="663" spans="2:9" x14ac:dyDescent="0.25">
      <c r="B663" s="55" t="str">
        <f t="shared" si="10"/>
        <v/>
      </c>
      <c r="C663" s="31"/>
      <c r="D663" s="31"/>
      <c r="E663" s="31"/>
      <c r="F663" s="31"/>
      <c r="G663" s="59"/>
      <c r="H663" s="61"/>
      <c r="I663" s="47"/>
    </row>
    <row r="664" spans="2:9" x14ac:dyDescent="0.25">
      <c r="B664" s="55" t="str">
        <f t="shared" si="10"/>
        <v/>
      </c>
      <c r="C664" s="31"/>
      <c r="D664" s="31"/>
      <c r="E664" s="31"/>
      <c r="F664" s="31"/>
      <c r="G664" s="59"/>
      <c r="H664" s="61"/>
      <c r="I664" s="47"/>
    </row>
    <row r="665" spans="2:9" x14ac:dyDescent="0.25">
      <c r="B665" s="55" t="str">
        <f t="shared" si="10"/>
        <v/>
      </c>
      <c r="C665" s="31"/>
      <c r="D665" s="31"/>
      <c r="E665" s="31"/>
      <c r="F665" s="31"/>
      <c r="G665" s="59"/>
      <c r="H665" s="61"/>
      <c r="I665" s="47"/>
    </row>
    <row r="666" spans="2:9" x14ac:dyDescent="0.25">
      <c r="B666" s="55" t="str">
        <f t="shared" si="10"/>
        <v/>
      </c>
      <c r="C666" s="31"/>
      <c r="D666" s="31"/>
      <c r="E666" s="31"/>
      <c r="F666" s="31"/>
      <c r="G666" s="59"/>
      <c r="H666" s="61"/>
      <c r="I666" s="47"/>
    </row>
    <row r="667" spans="2:9" x14ac:dyDescent="0.25">
      <c r="B667" s="55" t="str">
        <f t="shared" si="10"/>
        <v/>
      </c>
      <c r="C667" s="31"/>
      <c r="D667" s="31"/>
      <c r="E667" s="31"/>
      <c r="F667" s="31"/>
      <c r="G667" s="59"/>
      <c r="H667" s="61"/>
      <c r="I667" s="47"/>
    </row>
    <row r="668" spans="2:9" x14ac:dyDescent="0.25">
      <c r="B668" s="55" t="str">
        <f t="shared" si="10"/>
        <v/>
      </c>
      <c r="C668" s="31"/>
      <c r="D668" s="31"/>
      <c r="E668" s="31"/>
      <c r="F668" s="31"/>
      <c r="G668" s="59"/>
      <c r="H668" s="61"/>
      <c r="I668" s="47"/>
    </row>
    <row r="669" spans="2:9" x14ac:dyDescent="0.25">
      <c r="B669" s="55" t="str">
        <f t="shared" si="10"/>
        <v/>
      </c>
      <c r="C669" s="31"/>
      <c r="D669" s="31"/>
      <c r="E669" s="31"/>
      <c r="F669" s="31"/>
      <c r="G669" s="59"/>
      <c r="H669" s="61"/>
      <c r="I669" s="47"/>
    </row>
    <row r="670" spans="2:9" x14ac:dyDescent="0.25">
      <c r="B670" s="55" t="str">
        <f t="shared" si="10"/>
        <v/>
      </c>
      <c r="C670" s="31"/>
      <c r="D670" s="31"/>
      <c r="E670" s="31"/>
      <c r="F670" s="31"/>
      <c r="G670" s="59"/>
      <c r="H670" s="61"/>
      <c r="I670" s="47"/>
    </row>
    <row r="671" spans="2:9" x14ac:dyDescent="0.25">
      <c r="B671" s="55" t="str">
        <f t="shared" si="10"/>
        <v/>
      </c>
      <c r="C671" s="31"/>
      <c r="D671" s="31"/>
      <c r="E671" s="31"/>
      <c r="F671" s="31"/>
      <c r="G671" s="59"/>
      <c r="H671" s="61"/>
      <c r="I671" s="47"/>
    </row>
    <row r="672" spans="2:9" x14ac:dyDescent="0.25">
      <c r="B672" s="55" t="str">
        <f t="shared" si="10"/>
        <v/>
      </c>
      <c r="C672" s="31"/>
      <c r="D672" s="31"/>
      <c r="E672" s="31"/>
      <c r="F672" s="31"/>
      <c r="G672" s="59"/>
      <c r="H672" s="61"/>
      <c r="I672" s="47"/>
    </row>
    <row r="673" spans="2:9" x14ac:dyDescent="0.25">
      <c r="B673" s="55" t="str">
        <f t="shared" si="10"/>
        <v/>
      </c>
      <c r="C673" s="31"/>
      <c r="D673" s="31"/>
      <c r="E673" s="31"/>
      <c r="F673" s="31"/>
      <c r="G673" s="59"/>
      <c r="H673" s="61"/>
      <c r="I673" s="47"/>
    </row>
    <row r="674" spans="2:9" x14ac:dyDescent="0.25">
      <c r="B674" s="55" t="str">
        <f t="shared" si="10"/>
        <v/>
      </c>
      <c r="C674" s="31"/>
      <c r="D674" s="31"/>
      <c r="E674" s="31"/>
      <c r="F674" s="31"/>
      <c r="G674" s="59"/>
      <c r="H674" s="61"/>
      <c r="I674" s="47"/>
    </row>
    <row r="675" spans="2:9" x14ac:dyDescent="0.25">
      <c r="B675" s="55" t="str">
        <f t="shared" si="10"/>
        <v/>
      </c>
      <c r="C675" s="31"/>
      <c r="D675" s="31"/>
      <c r="E675" s="31"/>
      <c r="F675" s="31"/>
      <c r="G675" s="59"/>
      <c r="H675" s="61"/>
      <c r="I675" s="47"/>
    </row>
    <row r="676" spans="2:9" x14ac:dyDescent="0.25">
      <c r="B676" s="55" t="str">
        <f t="shared" si="10"/>
        <v/>
      </c>
      <c r="C676" s="31"/>
      <c r="D676" s="31"/>
      <c r="E676" s="31"/>
      <c r="F676" s="31"/>
      <c r="G676" s="59"/>
      <c r="H676" s="61"/>
      <c r="I676" s="47"/>
    </row>
    <row r="677" spans="2:9" x14ac:dyDescent="0.25">
      <c r="B677" s="55" t="str">
        <f t="shared" si="10"/>
        <v/>
      </c>
      <c r="C677" s="31"/>
      <c r="D677" s="31"/>
      <c r="E677" s="31"/>
      <c r="F677" s="31"/>
      <c r="G677" s="59"/>
      <c r="H677" s="61"/>
      <c r="I677" s="47"/>
    </row>
    <row r="678" spans="2:9" x14ac:dyDescent="0.25">
      <c r="B678" s="55" t="str">
        <f t="shared" si="10"/>
        <v/>
      </c>
      <c r="C678" s="31"/>
      <c r="D678" s="31"/>
      <c r="E678" s="31"/>
      <c r="F678" s="31"/>
      <c r="G678" s="59"/>
      <c r="H678" s="61"/>
      <c r="I678" s="47"/>
    </row>
    <row r="679" spans="2:9" x14ac:dyDescent="0.25">
      <c r="B679" s="55" t="str">
        <f t="shared" si="10"/>
        <v/>
      </c>
      <c r="C679" s="31"/>
      <c r="D679" s="31"/>
      <c r="E679" s="31"/>
      <c r="F679" s="31"/>
      <c r="G679" s="59"/>
      <c r="H679" s="61"/>
      <c r="I679" s="47"/>
    </row>
    <row r="680" spans="2:9" x14ac:dyDescent="0.25">
      <c r="B680" s="55" t="str">
        <f t="shared" si="10"/>
        <v/>
      </c>
      <c r="C680" s="31"/>
      <c r="D680" s="31"/>
      <c r="E680" s="31"/>
      <c r="F680" s="31"/>
      <c r="G680" s="59"/>
      <c r="H680" s="61"/>
      <c r="I680" s="47"/>
    </row>
    <row r="681" spans="2:9" x14ac:dyDescent="0.25">
      <c r="B681" s="55" t="str">
        <f t="shared" si="10"/>
        <v/>
      </c>
      <c r="C681" s="31"/>
      <c r="D681" s="31"/>
      <c r="E681" s="31"/>
      <c r="F681" s="31"/>
      <c r="G681" s="59"/>
      <c r="H681" s="61"/>
      <c r="I681" s="47"/>
    </row>
    <row r="682" spans="2:9" x14ac:dyDescent="0.25">
      <c r="B682" s="55" t="str">
        <f t="shared" si="10"/>
        <v/>
      </c>
      <c r="C682" s="31"/>
      <c r="D682" s="31"/>
      <c r="E682" s="31"/>
      <c r="F682" s="31"/>
      <c r="G682" s="59"/>
      <c r="H682" s="61"/>
      <c r="I682" s="47"/>
    </row>
    <row r="683" spans="2:9" x14ac:dyDescent="0.25">
      <c r="B683" s="55" t="str">
        <f t="shared" si="10"/>
        <v/>
      </c>
      <c r="C683" s="31"/>
      <c r="D683" s="31"/>
      <c r="E683" s="31"/>
      <c r="F683" s="31"/>
      <c r="G683" s="59"/>
      <c r="H683" s="61"/>
      <c r="I683" s="47"/>
    </row>
    <row r="684" spans="2:9" x14ac:dyDescent="0.25">
      <c r="B684" s="55" t="str">
        <f t="shared" si="10"/>
        <v/>
      </c>
      <c r="C684" s="31"/>
      <c r="D684" s="31"/>
      <c r="E684" s="31"/>
      <c r="F684" s="31"/>
      <c r="G684" s="59"/>
      <c r="H684" s="61"/>
      <c r="I684" s="47"/>
    </row>
    <row r="685" spans="2:9" x14ac:dyDescent="0.25">
      <c r="B685" s="55" t="str">
        <f t="shared" si="10"/>
        <v/>
      </c>
      <c r="C685" s="31"/>
      <c r="D685" s="31"/>
      <c r="E685" s="31"/>
      <c r="F685" s="31"/>
      <c r="G685" s="59"/>
      <c r="H685" s="61"/>
      <c r="I685" s="47"/>
    </row>
    <row r="686" spans="2:9" x14ac:dyDescent="0.25">
      <c r="B686" s="55" t="str">
        <f t="shared" si="10"/>
        <v/>
      </c>
      <c r="C686" s="31"/>
      <c r="D686" s="31"/>
      <c r="E686" s="31"/>
      <c r="F686" s="31"/>
      <c r="G686" s="59"/>
      <c r="H686" s="61"/>
      <c r="I686" s="47"/>
    </row>
    <row r="687" spans="2:9" x14ac:dyDescent="0.25">
      <c r="B687" s="55" t="str">
        <f t="shared" si="10"/>
        <v/>
      </c>
      <c r="C687" s="31"/>
      <c r="D687" s="31"/>
      <c r="E687" s="31"/>
      <c r="F687" s="31"/>
      <c r="G687" s="59"/>
      <c r="H687" s="61"/>
      <c r="I687" s="47"/>
    </row>
    <row r="688" spans="2:9" x14ac:dyDescent="0.25">
      <c r="B688" s="55" t="str">
        <f t="shared" si="10"/>
        <v/>
      </c>
      <c r="C688" s="31"/>
      <c r="D688" s="31"/>
      <c r="E688" s="31"/>
      <c r="F688" s="31"/>
      <c r="G688" s="59"/>
      <c r="H688" s="61"/>
      <c r="I688" s="47"/>
    </row>
    <row r="689" spans="2:9" x14ac:dyDescent="0.25">
      <c r="B689" s="55" t="str">
        <f t="shared" si="10"/>
        <v/>
      </c>
      <c r="C689" s="31"/>
      <c r="D689" s="31"/>
      <c r="E689" s="31"/>
      <c r="F689" s="31"/>
      <c r="G689" s="59"/>
      <c r="H689" s="61"/>
      <c r="I689" s="47"/>
    </row>
    <row r="690" spans="2:9" x14ac:dyDescent="0.25">
      <c r="B690" s="55" t="str">
        <f t="shared" si="10"/>
        <v/>
      </c>
      <c r="C690" s="31"/>
      <c r="D690" s="31"/>
      <c r="E690" s="31"/>
      <c r="F690" s="31"/>
      <c r="G690" s="59"/>
      <c r="H690" s="61"/>
      <c r="I690" s="47"/>
    </row>
    <row r="691" spans="2:9" x14ac:dyDescent="0.25">
      <c r="B691" s="55" t="str">
        <f t="shared" si="10"/>
        <v/>
      </c>
      <c r="C691" s="31"/>
      <c r="D691" s="31"/>
      <c r="E691" s="31"/>
      <c r="F691" s="31"/>
      <c r="G691" s="59"/>
      <c r="H691" s="61"/>
      <c r="I691" s="47"/>
    </row>
    <row r="692" spans="2:9" x14ac:dyDescent="0.25">
      <c r="B692" s="55" t="str">
        <f t="shared" si="10"/>
        <v/>
      </c>
      <c r="C692" s="31"/>
      <c r="D692" s="31"/>
      <c r="E692" s="31"/>
      <c r="F692" s="31"/>
      <c r="G692" s="59"/>
      <c r="H692" s="61"/>
      <c r="I692" s="47"/>
    </row>
    <row r="693" spans="2:9" x14ac:dyDescent="0.25">
      <c r="B693" s="55" t="str">
        <f t="shared" si="10"/>
        <v/>
      </c>
      <c r="C693" s="31"/>
      <c r="D693" s="31"/>
      <c r="E693" s="31"/>
      <c r="F693" s="31"/>
      <c r="G693" s="59"/>
      <c r="H693" s="61"/>
      <c r="I693" s="47"/>
    </row>
    <row r="694" spans="2:9" x14ac:dyDescent="0.25">
      <c r="B694" s="55" t="str">
        <f t="shared" si="10"/>
        <v/>
      </c>
      <c r="C694" s="31"/>
      <c r="D694" s="31"/>
      <c r="E694" s="31"/>
      <c r="F694" s="31"/>
      <c r="G694" s="59"/>
      <c r="H694" s="61"/>
      <c r="I694" s="47"/>
    </row>
    <row r="695" spans="2:9" x14ac:dyDescent="0.25">
      <c r="B695" s="55" t="str">
        <f t="shared" si="10"/>
        <v/>
      </c>
      <c r="C695" s="31"/>
      <c r="D695" s="31"/>
      <c r="E695" s="31"/>
      <c r="F695" s="31"/>
      <c r="G695" s="59"/>
      <c r="H695" s="61"/>
      <c r="I695" s="47"/>
    </row>
    <row r="696" spans="2:9" x14ac:dyDescent="0.25">
      <c r="B696" s="55" t="str">
        <f t="shared" si="10"/>
        <v/>
      </c>
      <c r="C696" s="31"/>
      <c r="D696" s="31"/>
      <c r="E696" s="31"/>
      <c r="F696" s="31"/>
      <c r="G696" s="59"/>
      <c r="H696" s="61"/>
      <c r="I696" s="47"/>
    </row>
    <row r="697" spans="2:9" x14ac:dyDescent="0.25">
      <c r="B697" s="55" t="str">
        <f t="shared" si="10"/>
        <v/>
      </c>
      <c r="C697" s="31"/>
      <c r="D697" s="31"/>
      <c r="E697" s="31"/>
      <c r="F697" s="31"/>
      <c r="G697" s="59"/>
      <c r="H697" s="61"/>
      <c r="I697" s="47"/>
    </row>
    <row r="698" spans="2:9" x14ac:dyDescent="0.25">
      <c r="B698" s="55" t="str">
        <f t="shared" si="10"/>
        <v/>
      </c>
      <c r="C698" s="31"/>
      <c r="D698" s="31"/>
      <c r="E698" s="31"/>
      <c r="F698" s="31"/>
      <c r="G698" s="59"/>
      <c r="H698" s="61"/>
      <c r="I698" s="47"/>
    </row>
    <row r="699" spans="2:9" x14ac:dyDescent="0.25">
      <c r="B699" s="55" t="str">
        <f t="shared" si="10"/>
        <v/>
      </c>
      <c r="C699" s="31"/>
      <c r="D699" s="31"/>
      <c r="E699" s="31"/>
      <c r="F699" s="31"/>
      <c r="G699" s="59"/>
      <c r="H699" s="61"/>
      <c r="I699" s="47"/>
    </row>
    <row r="700" spans="2:9" x14ac:dyDescent="0.25">
      <c r="B700" s="55" t="str">
        <f t="shared" si="10"/>
        <v/>
      </c>
      <c r="C700" s="31"/>
      <c r="D700" s="31"/>
      <c r="E700" s="31"/>
      <c r="F700" s="31"/>
      <c r="G700" s="59"/>
      <c r="H700" s="61"/>
      <c r="I700" s="47"/>
    </row>
    <row r="701" spans="2:9" x14ac:dyDescent="0.25">
      <c r="B701" s="55" t="str">
        <f t="shared" si="10"/>
        <v/>
      </c>
      <c r="C701" s="31"/>
      <c r="D701" s="31"/>
      <c r="E701" s="31"/>
      <c r="F701" s="31"/>
      <c r="G701" s="59"/>
      <c r="H701" s="61"/>
      <c r="I701" s="47"/>
    </row>
    <row r="702" spans="2:9" x14ac:dyDescent="0.25">
      <c r="B702" s="55" t="str">
        <f t="shared" si="10"/>
        <v/>
      </c>
      <c r="C702" s="31"/>
      <c r="D702" s="31"/>
      <c r="E702" s="31"/>
      <c r="F702" s="31"/>
      <c r="G702" s="59"/>
      <c r="H702" s="61"/>
      <c r="I702" s="47"/>
    </row>
    <row r="703" spans="2:9" x14ac:dyDescent="0.25">
      <c r="B703" s="55" t="str">
        <f t="shared" si="10"/>
        <v/>
      </c>
      <c r="C703" s="31"/>
      <c r="D703" s="31"/>
      <c r="E703" s="31"/>
      <c r="F703" s="31"/>
      <c r="G703" s="59"/>
      <c r="H703" s="61"/>
      <c r="I703" s="47"/>
    </row>
    <row r="704" spans="2:9" x14ac:dyDescent="0.25">
      <c r="B704" s="55" t="str">
        <f t="shared" si="10"/>
        <v/>
      </c>
      <c r="C704" s="31"/>
      <c r="D704" s="31"/>
      <c r="E704" s="31"/>
      <c r="F704" s="31"/>
      <c r="G704" s="59"/>
      <c r="H704" s="61"/>
      <c r="I704" s="47"/>
    </row>
    <row r="705" spans="2:9" x14ac:dyDescent="0.25">
      <c r="B705" s="55" t="str">
        <f t="shared" si="10"/>
        <v/>
      </c>
      <c r="C705" s="31"/>
      <c r="D705" s="31"/>
      <c r="E705" s="31"/>
      <c r="F705" s="31"/>
      <c r="G705" s="59"/>
      <c r="H705" s="61"/>
      <c r="I705" s="47"/>
    </row>
    <row r="706" spans="2:9" x14ac:dyDescent="0.25">
      <c r="B706" s="55" t="str">
        <f t="shared" si="10"/>
        <v/>
      </c>
      <c r="C706" s="31"/>
      <c r="D706" s="31"/>
      <c r="E706" s="31"/>
      <c r="F706" s="31"/>
      <c r="G706" s="59"/>
      <c r="H706" s="61"/>
      <c r="I706" s="47"/>
    </row>
    <row r="707" spans="2:9" x14ac:dyDescent="0.25">
      <c r="B707" s="55" t="str">
        <f t="shared" si="10"/>
        <v/>
      </c>
      <c r="C707" s="31"/>
      <c r="D707" s="31"/>
      <c r="E707" s="31"/>
      <c r="F707" s="31"/>
      <c r="G707" s="59"/>
      <c r="H707" s="61"/>
      <c r="I707" s="47"/>
    </row>
    <row r="708" spans="2:9" x14ac:dyDescent="0.25">
      <c r="B708" s="55" t="str">
        <f t="shared" si="10"/>
        <v/>
      </c>
      <c r="C708" s="31"/>
      <c r="D708" s="31"/>
      <c r="E708" s="31"/>
      <c r="F708" s="31"/>
      <c r="G708" s="59"/>
      <c r="H708" s="61"/>
      <c r="I708" s="47"/>
    </row>
    <row r="709" spans="2:9" x14ac:dyDescent="0.25">
      <c r="B709" s="55" t="str">
        <f t="shared" si="10"/>
        <v/>
      </c>
      <c r="C709" s="31"/>
      <c r="D709" s="31"/>
      <c r="E709" s="31"/>
      <c r="F709" s="31"/>
      <c r="G709" s="59"/>
      <c r="H709" s="61"/>
      <c r="I709" s="47"/>
    </row>
    <row r="710" spans="2:9" x14ac:dyDescent="0.25">
      <c r="B710" s="55" t="str">
        <f t="shared" ref="B710:B773" si="11">IF(C710="","",B709+1)</f>
        <v/>
      </c>
      <c r="C710" s="31"/>
      <c r="D710" s="31"/>
      <c r="E710" s="31"/>
      <c r="F710" s="31"/>
      <c r="G710" s="59"/>
      <c r="H710" s="61"/>
      <c r="I710" s="47"/>
    </row>
    <row r="711" spans="2:9" x14ac:dyDescent="0.25">
      <c r="B711" s="55" t="str">
        <f t="shared" si="11"/>
        <v/>
      </c>
      <c r="C711" s="31"/>
      <c r="D711" s="31"/>
      <c r="E711" s="31"/>
      <c r="F711" s="31"/>
      <c r="G711" s="59"/>
      <c r="H711" s="61"/>
      <c r="I711" s="47"/>
    </row>
    <row r="712" spans="2:9" x14ac:dyDescent="0.25">
      <c r="B712" s="55" t="str">
        <f t="shared" si="11"/>
        <v/>
      </c>
      <c r="C712" s="31"/>
      <c r="D712" s="31"/>
      <c r="E712" s="31"/>
      <c r="F712" s="31"/>
      <c r="G712" s="59"/>
      <c r="H712" s="61"/>
      <c r="I712" s="47"/>
    </row>
    <row r="713" spans="2:9" x14ac:dyDescent="0.25">
      <c r="B713" s="55" t="str">
        <f t="shared" si="11"/>
        <v/>
      </c>
      <c r="C713" s="31"/>
      <c r="D713" s="31"/>
      <c r="E713" s="31"/>
      <c r="F713" s="31"/>
      <c r="G713" s="59"/>
      <c r="H713" s="61"/>
      <c r="I713" s="47"/>
    </row>
    <row r="714" spans="2:9" x14ac:dyDescent="0.25">
      <c r="B714" s="55" t="str">
        <f t="shared" si="11"/>
        <v/>
      </c>
      <c r="C714" s="31"/>
      <c r="D714" s="31"/>
      <c r="E714" s="31"/>
      <c r="F714" s="31"/>
      <c r="G714" s="59"/>
      <c r="H714" s="61"/>
      <c r="I714" s="47"/>
    </row>
    <row r="715" spans="2:9" x14ac:dyDescent="0.25">
      <c r="B715" s="55" t="str">
        <f t="shared" si="11"/>
        <v/>
      </c>
      <c r="C715" s="31"/>
      <c r="D715" s="31"/>
      <c r="E715" s="31"/>
      <c r="F715" s="31"/>
      <c r="G715" s="59"/>
      <c r="H715" s="61"/>
      <c r="I715" s="47"/>
    </row>
    <row r="716" spans="2:9" x14ac:dyDescent="0.25">
      <c r="B716" s="55" t="str">
        <f t="shared" si="11"/>
        <v/>
      </c>
      <c r="C716" s="31"/>
      <c r="D716" s="31"/>
      <c r="E716" s="31"/>
      <c r="F716" s="31"/>
      <c r="G716" s="59"/>
      <c r="H716" s="61"/>
      <c r="I716" s="47"/>
    </row>
    <row r="717" spans="2:9" x14ac:dyDescent="0.25">
      <c r="B717" s="55" t="str">
        <f t="shared" si="11"/>
        <v/>
      </c>
      <c r="C717" s="31"/>
      <c r="D717" s="31"/>
      <c r="E717" s="31"/>
      <c r="F717" s="31"/>
      <c r="G717" s="59"/>
      <c r="H717" s="61"/>
      <c r="I717" s="47"/>
    </row>
    <row r="718" spans="2:9" x14ac:dyDescent="0.25">
      <c r="B718" s="55" t="str">
        <f t="shared" si="11"/>
        <v/>
      </c>
      <c r="C718" s="31"/>
      <c r="D718" s="31"/>
      <c r="E718" s="31"/>
      <c r="F718" s="31"/>
      <c r="G718" s="59"/>
      <c r="H718" s="61"/>
      <c r="I718" s="47"/>
    </row>
    <row r="719" spans="2:9" x14ac:dyDescent="0.25">
      <c r="B719" s="55" t="str">
        <f t="shared" si="11"/>
        <v/>
      </c>
      <c r="C719" s="31"/>
      <c r="D719" s="31"/>
      <c r="E719" s="31"/>
      <c r="F719" s="31"/>
      <c r="G719" s="59"/>
      <c r="H719" s="61"/>
      <c r="I719" s="47"/>
    </row>
    <row r="720" spans="2:9" x14ac:dyDescent="0.25">
      <c r="B720" s="55" t="str">
        <f t="shared" si="11"/>
        <v/>
      </c>
      <c r="C720" s="31"/>
      <c r="D720" s="31"/>
      <c r="E720" s="31"/>
      <c r="F720" s="31"/>
      <c r="G720" s="59"/>
      <c r="H720" s="61"/>
      <c r="I720" s="47"/>
    </row>
    <row r="721" spans="2:9" x14ac:dyDescent="0.25">
      <c r="B721" s="55" t="str">
        <f t="shared" si="11"/>
        <v/>
      </c>
      <c r="C721" s="31"/>
      <c r="D721" s="31"/>
      <c r="E721" s="31"/>
      <c r="F721" s="31"/>
      <c r="G721" s="59"/>
      <c r="H721" s="61"/>
      <c r="I721" s="47"/>
    </row>
    <row r="722" spans="2:9" x14ac:dyDescent="0.25">
      <c r="B722" s="55" t="str">
        <f t="shared" si="11"/>
        <v/>
      </c>
      <c r="C722" s="31"/>
      <c r="D722" s="31"/>
      <c r="E722" s="31"/>
      <c r="F722" s="31"/>
      <c r="G722" s="59"/>
      <c r="H722" s="61"/>
      <c r="I722" s="47"/>
    </row>
    <row r="723" spans="2:9" x14ac:dyDescent="0.25">
      <c r="B723" s="55" t="str">
        <f t="shared" si="11"/>
        <v/>
      </c>
      <c r="C723" s="31"/>
      <c r="D723" s="31"/>
      <c r="E723" s="31"/>
      <c r="F723" s="31"/>
      <c r="G723" s="59"/>
      <c r="H723" s="61"/>
      <c r="I723" s="47"/>
    </row>
    <row r="724" spans="2:9" x14ac:dyDescent="0.25">
      <c r="B724" s="55" t="str">
        <f t="shared" si="11"/>
        <v/>
      </c>
      <c r="C724" s="31"/>
      <c r="D724" s="31"/>
      <c r="E724" s="31"/>
      <c r="F724" s="31"/>
      <c r="G724" s="59"/>
      <c r="H724" s="61"/>
      <c r="I724" s="47"/>
    </row>
    <row r="725" spans="2:9" x14ac:dyDescent="0.25">
      <c r="B725" s="55" t="str">
        <f t="shared" si="11"/>
        <v/>
      </c>
      <c r="C725" s="31"/>
      <c r="D725" s="31"/>
      <c r="E725" s="31"/>
      <c r="F725" s="31"/>
      <c r="G725" s="59"/>
      <c r="H725" s="61"/>
      <c r="I725" s="47"/>
    </row>
    <row r="726" spans="2:9" x14ac:dyDescent="0.25">
      <c r="B726" s="55" t="str">
        <f t="shared" si="11"/>
        <v/>
      </c>
      <c r="C726" s="31"/>
      <c r="D726" s="31"/>
      <c r="E726" s="31"/>
      <c r="F726" s="31"/>
      <c r="G726" s="59"/>
      <c r="H726" s="61"/>
      <c r="I726" s="47"/>
    </row>
    <row r="727" spans="2:9" x14ac:dyDescent="0.25">
      <c r="B727" s="55" t="str">
        <f t="shared" si="11"/>
        <v/>
      </c>
      <c r="C727" s="31"/>
      <c r="D727" s="31"/>
      <c r="E727" s="31"/>
      <c r="F727" s="31"/>
      <c r="G727" s="59"/>
      <c r="H727" s="61"/>
      <c r="I727" s="47"/>
    </row>
    <row r="728" spans="2:9" x14ac:dyDescent="0.25">
      <c r="B728" s="55" t="str">
        <f t="shared" si="11"/>
        <v/>
      </c>
      <c r="C728" s="31"/>
      <c r="D728" s="31"/>
      <c r="E728" s="31"/>
      <c r="F728" s="31"/>
      <c r="G728" s="59"/>
      <c r="H728" s="61"/>
      <c r="I728" s="47"/>
    </row>
    <row r="729" spans="2:9" x14ac:dyDescent="0.25">
      <c r="B729" s="55" t="str">
        <f t="shared" si="11"/>
        <v/>
      </c>
      <c r="C729" s="31"/>
      <c r="D729" s="31"/>
      <c r="E729" s="31"/>
      <c r="F729" s="31"/>
      <c r="G729" s="59"/>
      <c r="H729" s="61"/>
      <c r="I729" s="47"/>
    </row>
    <row r="730" spans="2:9" x14ac:dyDescent="0.25">
      <c r="B730" s="55" t="str">
        <f t="shared" si="11"/>
        <v/>
      </c>
      <c r="C730" s="31"/>
      <c r="D730" s="31"/>
      <c r="E730" s="31"/>
      <c r="F730" s="31"/>
      <c r="G730" s="59"/>
      <c r="H730" s="61"/>
      <c r="I730" s="47"/>
    </row>
    <row r="731" spans="2:9" x14ac:dyDescent="0.25">
      <c r="B731" s="55" t="str">
        <f t="shared" si="11"/>
        <v/>
      </c>
      <c r="C731" s="31"/>
      <c r="D731" s="31"/>
      <c r="E731" s="31"/>
      <c r="F731" s="31"/>
      <c r="G731" s="59"/>
      <c r="H731" s="61"/>
      <c r="I731" s="47"/>
    </row>
    <row r="732" spans="2:9" x14ac:dyDescent="0.25">
      <c r="B732" s="55" t="str">
        <f t="shared" si="11"/>
        <v/>
      </c>
      <c r="C732" s="31"/>
      <c r="D732" s="31"/>
      <c r="E732" s="31"/>
      <c r="F732" s="31"/>
      <c r="G732" s="59"/>
      <c r="H732" s="61"/>
      <c r="I732" s="47"/>
    </row>
    <row r="733" spans="2:9" x14ac:dyDescent="0.25">
      <c r="B733" s="55" t="str">
        <f t="shared" si="11"/>
        <v/>
      </c>
      <c r="C733" s="31"/>
      <c r="D733" s="31"/>
      <c r="E733" s="31"/>
      <c r="F733" s="31"/>
      <c r="G733" s="59"/>
      <c r="H733" s="61"/>
      <c r="I733" s="47"/>
    </row>
    <row r="734" spans="2:9" x14ac:dyDescent="0.25">
      <c r="B734" s="55" t="str">
        <f t="shared" si="11"/>
        <v/>
      </c>
      <c r="C734" s="31"/>
      <c r="D734" s="31"/>
      <c r="E734" s="31"/>
      <c r="F734" s="31"/>
      <c r="G734" s="59"/>
      <c r="H734" s="61"/>
      <c r="I734" s="47"/>
    </row>
    <row r="735" spans="2:9" x14ac:dyDescent="0.25">
      <c r="B735" s="55" t="str">
        <f t="shared" si="11"/>
        <v/>
      </c>
      <c r="C735" s="31"/>
      <c r="D735" s="31"/>
      <c r="E735" s="31"/>
      <c r="F735" s="31"/>
      <c r="G735" s="59"/>
      <c r="H735" s="61"/>
      <c r="I735" s="47"/>
    </row>
    <row r="736" spans="2:9" x14ac:dyDescent="0.25">
      <c r="B736" s="55" t="str">
        <f t="shared" si="11"/>
        <v/>
      </c>
      <c r="C736" s="31"/>
      <c r="D736" s="31"/>
      <c r="E736" s="31"/>
      <c r="F736" s="31"/>
      <c r="G736" s="59"/>
      <c r="H736" s="61"/>
      <c r="I736" s="47"/>
    </row>
    <row r="737" spans="2:9" x14ac:dyDescent="0.25">
      <c r="B737" s="55" t="str">
        <f t="shared" si="11"/>
        <v/>
      </c>
      <c r="C737" s="31"/>
      <c r="D737" s="31"/>
      <c r="E737" s="31"/>
      <c r="F737" s="31"/>
      <c r="G737" s="59"/>
      <c r="H737" s="61"/>
      <c r="I737" s="47"/>
    </row>
    <row r="738" spans="2:9" x14ac:dyDescent="0.25">
      <c r="B738" s="55" t="str">
        <f t="shared" si="11"/>
        <v/>
      </c>
      <c r="C738" s="31"/>
      <c r="D738" s="31"/>
      <c r="E738" s="31"/>
      <c r="F738" s="31"/>
      <c r="G738" s="59"/>
      <c r="H738" s="61"/>
      <c r="I738" s="47"/>
    </row>
    <row r="739" spans="2:9" x14ac:dyDescent="0.25">
      <c r="B739" s="55" t="str">
        <f t="shared" si="11"/>
        <v/>
      </c>
      <c r="C739" s="31"/>
      <c r="D739" s="31"/>
      <c r="E739" s="31"/>
      <c r="F739" s="31"/>
      <c r="G739" s="59"/>
      <c r="H739" s="61"/>
      <c r="I739" s="47"/>
    </row>
    <row r="740" spans="2:9" x14ac:dyDescent="0.25">
      <c r="B740" s="55" t="str">
        <f t="shared" si="11"/>
        <v/>
      </c>
      <c r="C740" s="31"/>
      <c r="D740" s="31"/>
      <c r="E740" s="31"/>
      <c r="F740" s="31"/>
      <c r="G740" s="59"/>
      <c r="H740" s="61"/>
      <c r="I740" s="47"/>
    </row>
    <row r="741" spans="2:9" x14ac:dyDescent="0.25">
      <c r="B741" s="55" t="str">
        <f t="shared" si="11"/>
        <v/>
      </c>
      <c r="C741" s="31"/>
      <c r="D741" s="31"/>
      <c r="E741" s="31"/>
      <c r="F741" s="31"/>
      <c r="G741" s="59"/>
      <c r="H741" s="61"/>
      <c r="I741" s="47"/>
    </row>
    <row r="742" spans="2:9" x14ac:dyDescent="0.25">
      <c r="B742" s="55" t="str">
        <f t="shared" si="11"/>
        <v/>
      </c>
      <c r="C742" s="31"/>
      <c r="D742" s="31"/>
      <c r="E742" s="31"/>
      <c r="F742" s="31"/>
      <c r="G742" s="59"/>
      <c r="H742" s="61"/>
      <c r="I742" s="47"/>
    </row>
    <row r="743" spans="2:9" x14ac:dyDescent="0.25">
      <c r="B743" s="55" t="str">
        <f t="shared" si="11"/>
        <v/>
      </c>
      <c r="C743" s="31"/>
      <c r="D743" s="31"/>
      <c r="E743" s="31"/>
      <c r="F743" s="31"/>
      <c r="G743" s="59"/>
      <c r="H743" s="61"/>
      <c r="I743" s="47"/>
    </row>
    <row r="744" spans="2:9" x14ac:dyDescent="0.25">
      <c r="B744" s="55" t="str">
        <f t="shared" si="11"/>
        <v/>
      </c>
      <c r="C744" s="31"/>
      <c r="D744" s="31"/>
      <c r="E744" s="31"/>
      <c r="F744" s="31"/>
      <c r="G744" s="59"/>
      <c r="H744" s="61"/>
      <c r="I744" s="47"/>
    </row>
    <row r="745" spans="2:9" x14ac:dyDescent="0.25">
      <c r="B745" s="55" t="str">
        <f t="shared" si="11"/>
        <v/>
      </c>
      <c r="C745" s="31"/>
      <c r="D745" s="31"/>
      <c r="E745" s="31"/>
      <c r="F745" s="31"/>
      <c r="G745" s="59"/>
      <c r="H745" s="61"/>
      <c r="I745" s="47"/>
    </row>
    <row r="746" spans="2:9" x14ac:dyDescent="0.25">
      <c r="B746" s="55" t="str">
        <f t="shared" si="11"/>
        <v/>
      </c>
      <c r="C746" s="31"/>
      <c r="D746" s="31"/>
      <c r="E746" s="31"/>
      <c r="F746" s="31"/>
      <c r="G746" s="59"/>
      <c r="H746" s="61"/>
      <c r="I746" s="47"/>
    </row>
    <row r="747" spans="2:9" x14ac:dyDescent="0.25">
      <c r="B747" s="55" t="str">
        <f t="shared" si="11"/>
        <v/>
      </c>
      <c r="C747" s="31"/>
      <c r="D747" s="31"/>
      <c r="E747" s="31"/>
      <c r="F747" s="31"/>
      <c r="G747" s="59"/>
      <c r="H747" s="61"/>
      <c r="I747" s="47"/>
    </row>
    <row r="748" spans="2:9" x14ac:dyDescent="0.25">
      <c r="B748" s="55" t="str">
        <f t="shared" si="11"/>
        <v/>
      </c>
      <c r="C748" s="31"/>
      <c r="D748" s="31"/>
      <c r="E748" s="31"/>
      <c r="F748" s="31"/>
      <c r="G748" s="59"/>
      <c r="H748" s="61"/>
      <c r="I748" s="47"/>
    </row>
    <row r="749" spans="2:9" x14ac:dyDescent="0.25">
      <c r="B749" s="55" t="str">
        <f t="shared" si="11"/>
        <v/>
      </c>
      <c r="C749" s="31"/>
      <c r="D749" s="31"/>
      <c r="E749" s="31"/>
      <c r="F749" s="31"/>
      <c r="G749" s="59"/>
      <c r="H749" s="61"/>
      <c r="I749" s="47"/>
    </row>
    <row r="750" spans="2:9" x14ac:dyDescent="0.25">
      <c r="B750" s="55" t="str">
        <f t="shared" si="11"/>
        <v/>
      </c>
      <c r="C750" s="31"/>
      <c r="D750" s="31"/>
      <c r="E750" s="31"/>
      <c r="F750" s="31"/>
      <c r="G750" s="59"/>
      <c r="H750" s="61"/>
      <c r="I750" s="47"/>
    </row>
    <row r="751" spans="2:9" x14ac:dyDescent="0.25">
      <c r="B751" s="55" t="str">
        <f t="shared" si="11"/>
        <v/>
      </c>
      <c r="C751" s="31"/>
      <c r="D751" s="31"/>
      <c r="E751" s="31"/>
      <c r="F751" s="31"/>
      <c r="G751" s="59"/>
      <c r="H751" s="61"/>
      <c r="I751" s="47"/>
    </row>
    <row r="752" spans="2:9" x14ac:dyDescent="0.25">
      <c r="B752" s="55" t="str">
        <f t="shared" si="11"/>
        <v/>
      </c>
      <c r="C752" s="31"/>
      <c r="D752" s="31"/>
      <c r="E752" s="31"/>
      <c r="F752" s="31"/>
      <c r="G752" s="59"/>
      <c r="H752" s="61"/>
      <c r="I752" s="47"/>
    </row>
    <row r="753" spans="2:9" x14ac:dyDescent="0.25">
      <c r="B753" s="55" t="str">
        <f t="shared" si="11"/>
        <v/>
      </c>
      <c r="C753" s="31"/>
      <c r="D753" s="31"/>
      <c r="E753" s="31"/>
      <c r="F753" s="31"/>
      <c r="G753" s="59"/>
      <c r="H753" s="61"/>
      <c r="I753" s="47"/>
    </row>
    <row r="754" spans="2:9" x14ac:dyDescent="0.25">
      <c r="B754" s="55" t="str">
        <f t="shared" si="11"/>
        <v/>
      </c>
      <c r="C754" s="31"/>
      <c r="D754" s="31"/>
      <c r="E754" s="31"/>
      <c r="F754" s="31"/>
      <c r="G754" s="59"/>
      <c r="H754" s="61"/>
      <c r="I754" s="47"/>
    </row>
    <row r="755" spans="2:9" x14ac:dyDescent="0.25">
      <c r="B755" s="55" t="str">
        <f t="shared" si="11"/>
        <v/>
      </c>
      <c r="C755" s="31"/>
      <c r="D755" s="31"/>
      <c r="E755" s="31"/>
      <c r="F755" s="31"/>
      <c r="G755" s="59"/>
      <c r="H755" s="61"/>
      <c r="I755" s="47"/>
    </row>
    <row r="756" spans="2:9" x14ac:dyDescent="0.25">
      <c r="B756" s="55" t="str">
        <f t="shared" si="11"/>
        <v/>
      </c>
      <c r="C756" s="31"/>
      <c r="D756" s="31"/>
      <c r="E756" s="31"/>
      <c r="F756" s="31"/>
      <c r="G756" s="59"/>
      <c r="H756" s="61"/>
      <c r="I756" s="47"/>
    </row>
    <row r="757" spans="2:9" x14ac:dyDescent="0.25">
      <c r="B757" s="55" t="str">
        <f t="shared" si="11"/>
        <v/>
      </c>
      <c r="C757" s="31"/>
      <c r="D757" s="31"/>
      <c r="E757" s="31"/>
      <c r="F757" s="31"/>
      <c r="G757" s="59"/>
      <c r="H757" s="61"/>
      <c r="I757" s="47"/>
    </row>
    <row r="758" spans="2:9" x14ac:dyDescent="0.25">
      <c r="B758" s="55" t="str">
        <f t="shared" si="11"/>
        <v/>
      </c>
      <c r="C758" s="31"/>
      <c r="D758" s="31"/>
      <c r="E758" s="31"/>
      <c r="F758" s="31"/>
      <c r="G758" s="59"/>
      <c r="H758" s="61"/>
      <c r="I758" s="47"/>
    </row>
    <row r="759" spans="2:9" x14ac:dyDescent="0.25">
      <c r="B759" s="55" t="str">
        <f t="shared" si="11"/>
        <v/>
      </c>
      <c r="C759" s="31"/>
      <c r="D759" s="31"/>
      <c r="E759" s="31"/>
      <c r="F759" s="31"/>
      <c r="G759" s="59"/>
      <c r="H759" s="61"/>
      <c r="I759" s="47"/>
    </row>
    <row r="760" spans="2:9" x14ac:dyDescent="0.25">
      <c r="B760" s="55" t="str">
        <f t="shared" si="11"/>
        <v/>
      </c>
      <c r="C760" s="31"/>
      <c r="D760" s="31"/>
      <c r="E760" s="31"/>
      <c r="F760" s="31"/>
      <c r="G760" s="59"/>
      <c r="H760" s="61"/>
      <c r="I760" s="47"/>
    </row>
    <row r="761" spans="2:9" x14ac:dyDescent="0.25">
      <c r="B761" s="55" t="str">
        <f t="shared" si="11"/>
        <v/>
      </c>
      <c r="C761" s="31"/>
      <c r="D761" s="31"/>
      <c r="E761" s="31"/>
      <c r="F761" s="31"/>
      <c r="G761" s="59"/>
      <c r="H761" s="61"/>
      <c r="I761" s="47"/>
    </row>
    <row r="762" spans="2:9" x14ac:dyDescent="0.25">
      <c r="B762" s="55" t="str">
        <f t="shared" si="11"/>
        <v/>
      </c>
      <c r="C762" s="31"/>
      <c r="D762" s="31"/>
      <c r="E762" s="31"/>
      <c r="F762" s="31"/>
      <c r="G762" s="59"/>
      <c r="H762" s="61"/>
      <c r="I762" s="47"/>
    </row>
    <row r="763" spans="2:9" x14ac:dyDescent="0.25">
      <c r="B763" s="55" t="str">
        <f t="shared" si="11"/>
        <v/>
      </c>
      <c r="C763" s="31"/>
      <c r="D763" s="31"/>
      <c r="E763" s="31"/>
      <c r="F763" s="31"/>
      <c r="G763" s="59"/>
      <c r="H763" s="61"/>
      <c r="I763" s="47"/>
    </row>
    <row r="764" spans="2:9" x14ac:dyDescent="0.25">
      <c r="B764" s="55" t="str">
        <f t="shared" si="11"/>
        <v/>
      </c>
      <c r="C764" s="31"/>
      <c r="D764" s="31"/>
      <c r="E764" s="31"/>
      <c r="F764" s="31"/>
      <c r="G764" s="59"/>
      <c r="H764" s="61"/>
      <c r="I764" s="47"/>
    </row>
    <row r="765" spans="2:9" x14ac:dyDescent="0.25">
      <c r="B765" s="55" t="str">
        <f t="shared" si="11"/>
        <v/>
      </c>
      <c r="C765" s="31"/>
      <c r="D765" s="31"/>
      <c r="E765" s="31"/>
      <c r="F765" s="31"/>
      <c r="G765" s="59"/>
      <c r="H765" s="61"/>
      <c r="I765" s="47"/>
    </row>
    <row r="766" spans="2:9" x14ac:dyDescent="0.25">
      <c r="B766" s="55" t="str">
        <f t="shared" si="11"/>
        <v/>
      </c>
      <c r="C766" s="31"/>
      <c r="D766" s="31"/>
      <c r="E766" s="31"/>
      <c r="F766" s="31"/>
      <c r="G766" s="59"/>
      <c r="H766" s="61"/>
      <c r="I766" s="47"/>
    </row>
    <row r="767" spans="2:9" x14ac:dyDescent="0.25">
      <c r="B767" s="55" t="str">
        <f t="shared" si="11"/>
        <v/>
      </c>
      <c r="C767" s="31"/>
      <c r="D767" s="31"/>
      <c r="E767" s="31"/>
      <c r="F767" s="31"/>
      <c r="G767" s="59"/>
      <c r="H767" s="61"/>
      <c r="I767" s="47"/>
    </row>
    <row r="768" spans="2:9" x14ac:dyDescent="0.25">
      <c r="B768" s="55" t="str">
        <f t="shared" si="11"/>
        <v/>
      </c>
      <c r="C768" s="31"/>
      <c r="D768" s="31"/>
      <c r="E768" s="31"/>
      <c r="F768" s="31"/>
      <c r="G768" s="59"/>
      <c r="H768" s="61"/>
      <c r="I768" s="47"/>
    </row>
    <row r="769" spans="2:9" x14ac:dyDescent="0.25">
      <c r="B769" s="55" t="str">
        <f t="shared" si="11"/>
        <v/>
      </c>
      <c r="C769" s="31"/>
      <c r="D769" s="31"/>
      <c r="E769" s="31"/>
      <c r="F769" s="31"/>
      <c r="G769" s="59"/>
      <c r="H769" s="61"/>
      <c r="I769" s="47"/>
    </row>
    <row r="770" spans="2:9" x14ac:dyDescent="0.25">
      <c r="B770" s="55" t="str">
        <f t="shared" si="11"/>
        <v/>
      </c>
      <c r="C770" s="31"/>
      <c r="D770" s="31"/>
      <c r="E770" s="31"/>
      <c r="F770" s="31"/>
      <c r="G770" s="59"/>
      <c r="H770" s="61"/>
      <c r="I770" s="47"/>
    </row>
    <row r="771" spans="2:9" x14ac:dyDescent="0.25">
      <c r="B771" s="55" t="str">
        <f t="shared" si="11"/>
        <v/>
      </c>
      <c r="C771" s="31"/>
      <c r="D771" s="31"/>
      <c r="E771" s="31"/>
      <c r="F771" s="31"/>
      <c r="G771" s="59"/>
      <c r="H771" s="61"/>
      <c r="I771" s="47"/>
    </row>
    <row r="772" spans="2:9" x14ac:dyDescent="0.25">
      <c r="B772" s="55" t="str">
        <f t="shared" si="11"/>
        <v/>
      </c>
      <c r="C772" s="31"/>
      <c r="D772" s="31"/>
      <c r="E772" s="31"/>
      <c r="F772" s="31"/>
      <c r="G772" s="59"/>
      <c r="H772" s="61"/>
      <c r="I772" s="47"/>
    </row>
    <row r="773" spans="2:9" x14ac:dyDescent="0.25">
      <c r="B773" s="55" t="str">
        <f t="shared" si="11"/>
        <v/>
      </c>
      <c r="C773" s="31"/>
      <c r="D773" s="31"/>
      <c r="E773" s="31"/>
      <c r="F773" s="31"/>
      <c r="G773" s="59"/>
      <c r="H773" s="61"/>
      <c r="I773" s="47"/>
    </row>
    <row r="774" spans="2:9" x14ac:dyDescent="0.25">
      <c r="B774" s="55" t="str">
        <f t="shared" ref="B774:B837" si="12">IF(C774="","",B773+1)</f>
        <v/>
      </c>
      <c r="C774" s="31"/>
      <c r="D774" s="31"/>
      <c r="E774" s="31"/>
      <c r="F774" s="31"/>
      <c r="G774" s="59"/>
      <c r="H774" s="61"/>
      <c r="I774" s="47"/>
    </row>
    <row r="775" spans="2:9" x14ac:dyDescent="0.25">
      <c r="B775" s="55" t="str">
        <f t="shared" si="12"/>
        <v/>
      </c>
      <c r="C775" s="31"/>
      <c r="D775" s="31"/>
      <c r="E775" s="31"/>
      <c r="F775" s="31"/>
      <c r="G775" s="59"/>
      <c r="H775" s="61"/>
      <c r="I775" s="47"/>
    </row>
    <row r="776" spans="2:9" x14ac:dyDescent="0.25">
      <c r="B776" s="55" t="str">
        <f t="shared" si="12"/>
        <v/>
      </c>
      <c r="C776" s="31"/>
      <c r="D776" s="31"/>
      <c r="E776" s="31"/>
      <c r="F776" s="31"/>
      <c r="G776" s="59"/>
      <c r="H776" s="61"/>
      <c r="I776" s="47"/>
    </row>
    <row r="777" spans="2:9" x14ac:dyDescent="0.25">
      <c r="B777" s="55" t="str">
        <f t="shared" si="12"/>
        <v/>
      </c>
      <c r="C777" s="31"/>
      <c r="D777" s="31"/>
      <c r="E777" s="31"/>
      <c r="F777" s="31"/>
      <c r="G777" s="59"/>
      <c r="H777" s="61"/>
      <c r="I777" s="47"/>
    </row>
    <row r="778" spans="2:9" x14ac:dyDescent="0.25">
      <c r="B778" s="55" t="str">
        <f t="shared" si="12"/>
        <v/>
      </c>
      <c r="C778" s="31"/>
      <c r="D778" s="31"/>
      <c r="E778" s="31"/>
      <c r="F778" s="31"/>
      <c r="G778" s="59"/>
      <c r="H778" s="61"/>
      <c r="I778" s="47"/>
    </row>
    <row r="779" spans="2:9" x14ac:dyDescent="0.25">
      <c r="B779" s="55" t="str">
        <f t="shared" si="12"/>
        <v/>
      </c>
      <c r="C779" s="31"/>
      <c r="D779" s="31"/>
      <c r="E779" s="31"/>
      <c r="F779" s="31"/>
      <c r="G779" s="59"/>
      <c r="H779" s="61"/>
      <c r="I779" s="47"/>
    </row>
    <row r="780" spans="2:9" x14ac:dyDescent="0.25">
      <c r="B780" s="55" t="str">
        <f t="shared" si="12"/>
        <v/>
      </c>
      <c r="C780" s="31"/>
      <c r="D780" s="31"/>
      <c r="E780" s="31"/>
      <c r="F780" s="31"/>
      <c r="G780" s="59"/>
      <c r="H780" s="61"/>
      <c r="I780" s="47"/>
    </row>
    <row r="781" spans="2:9" x14ac:dyDescent="0.25">
      <c r="B781" s="55" t="str">
        <f t="shared" si="12"/>
        <v/>
      </c>
      <c r="C781" s="31"/>
      <c r="D781" s="31"/>
      <c r="E781" s="31"/>
      <c r="F781" s="31"/>
      <c r="G781" s="59"/>
      <c r="H781" s="61"/>
      <c r="I781" s="47"/>
    </row>
    <row r="782" spans="2:9" x14ac:dyDescent="0.25">
      <c r="B782" s="55" t="str">
        <f t="shared" si="12"/>
        <v/>
      </c>
      <c r="C782" s="31"/>
      <c r="D782" s="31"/>
      <c r="E782" s="31"/>
      <c r="F782" s="31"/>
      <c r="G782" s="59"/>
      <c r="H782" s="61"/>
      <c r="I782" s="47"/>
    </row>
    <row r="783" spans="2:9" x14ac:dyDescent="0.25">
      <c r="B783" s="55" t="str">
        <f t="shared" si="12"/>
        <v/>
      </c>
      <c r="C783" s="31"/>
      <c r="D783" s="31"/>
      <c r="E783" s="31"/>
      <c r="F783" s="31"/>
      <c r="G783" s="59"/>
      <c r="H783" s="61"/>
      <c r="I783" s="47"/>
    </row>
    <row r="784" spans="2:9" x14ac:dyDescent="0.25">
      <c r="B784" s="55" t="str">
        <f t="shared" si="12"/>
        <v/>
      </c>
      <c r="C784" s="31"/>
      <c r="D784" s="31"/>
      <c r="E784" s="31"/>
      <c r="F784" s="31"/>
      <c r="G784" s="59"/>
      <c r="H784" s="61"/>
      <c r="I784" s="47"/>
    </row>
    <row r="785" spans="2:9" x14ac:dyDescent="0.25">
      <c r="B785" s="55" t="str">
        <f t="shared" si="12"/>
        <v/>
      </c>
      <c r="C785" s="31"/>
      <c r="D785" s="31"/>
      <c r="E785" s="31"/>
      <c r="F785" s="31"/>
      <c r="G785" s="59"/>
      <c r="H785" s="61"/>
      <c r="I785" s="47"/>
    </row>
    <row r="786" spans="2:9" x14ac:dyDescent="0.25">
      <c r="B786" s="55" t="str">
        <f t="shared" si="12"/>
        <v/>
      </c>
      <c r="C786" s="31"/>
      <c r="D786" s="31"/>
      <c r="E786" s="31"/>
      <c r="F786" s="31"/>
      <c r="G786" s="59"/>
      <c r="H786" s="61"/>
      <c r="I786" s="47"/>
    </row>
    <row r="787" spans="2:9" x14ac:dyDescent="0.25">
      <c r="B787" s="55" t="str">
        <f t="shared" si="12"/>
        <v/>
      </c>
      <c r="C787" s="31"/>
      <c r="D787" s="31"/>
      <c r="E787" s="31"/>
      <c r="F787" s="31"/>
      <c r="G787" s="59"/>
      <c r="H787" s="61"/>
      <c r="I787" s="47"/>
    </row>
    <row r="788" spans="2:9" x14ac:dyDescent="0.25">
      <c r="B788" s="55" t="str">
        <f t="shared" si="12"/>
        <v/>
      </c>
      <c r="C788" s="31"/>
      <c r="D788" s="31"/>
      <c r="E788" s="31"/>
      <c r="F788" s="31"/>
      <c r="G788" s="59"/>
      <c r="H788" s="61"/>
      <c r="I788" s="47"/>
    </row>
    <row r="789" spans="2:9" x14ac:dyDescent="0.25">
      <c r="B789" s="55" t="str">
        <f t="shared" si="12"/>
        <v/>
      </c>
      <c r="C789" s="31"/>
      <c r="D789" s="31"/>
      <c r="E789" s="31"/>
      <c r="F789" s="31"/>
      <c r="G789" s="59"/>
      <c r="H789" s="61"/>
      <c r="I789" s="47"/>
    </row>
    <row r="790" spans="2:9" x14ac:dyDescent="0.25">
      <c r="B790" s="55" t="str">
        <f t="shared" si="12"/>
        <v/>
      </c>
      <c r="C790" s="31"/>
      <c r="D790" s="31"/>
      <c r="E790" s="31"/>
      <c r="F790" s="31"/>
      <c r="G790" s="59"/>
      <c r="H790" s="61"/>
      <c r="I790" s="47"/>
    </row>
    <row r="791" spans="2:9" x14ac:dyDescent="0.25">
      <c r="B791" s="55" t="str">
        <f t="shared" si="12"/>
        <v/>
      </c>
      <c r="C791" s="31"/>
      <c r="D791" s="31"/>
      <c r="E791" s="31"/>
      <c r="F791" s="31"/>
      <c r="G791" s="59"/>
      <c r="H791" s="61"/>
      <c r="I791" s="47"/>
    </row>
    <row r="792" spans="2:9" x14ac:dyDescent="0.25">
      <c r="B792" s="55" t="str">
        <f t="shared" si="12"/>
        <v/>
      </c>
      <c r="C792" s="31"/>
      <c r="D792" s="31"/>
      <c r="E792" s="31"/>
      <c r="F792" s="31"/>
      <c r="G792" s="59"/>
      <c r="H792" s="61"/>
      <c r="I792" s="47"/>
    </row>
    <row r="793" spans="2:9" x14ac:dyDescent="0.25">
      <c r="B793" s="55" t="str">
        <f t="shared" si="12"/>
        <v/>
      </c>
      <c r="C793" s="31"/>
      <c r="D793" s="31"/>
      <c r="E793" s="31"/>
      <c r="F793" s="31"/>
      <c r="G793" s="59"/>
      <c r="H793" s="61"/>
      <c r="I793" s="47"/>
    </row>
    <row r="794" spans="2:9" x14ac:dyDescent="0.25">
      <c r="B794" s="55" t="str">
        <f t="shared" si="12"/>
        <v/>
      </c>
      <c r="C794" s="31"/>
      <c r="D794" s="31"/>
      <c r="E794" s="31"/>
      <c r="F794" s="31"/>
      <c r="G794" s="59"/>
      <c r="H794" s="61"/>
      <c r="I794" s="47"/>
    </row>
    <row r="795" spans="2:9" x14ac:dyDescent="0.25">
      <c r="B795" s="55" t="str">
        <f t="shared" si="12"/>
        <v/>
      </c>
      <c r="C795" s="31"/>
      <c r="D795" s="31"/>
      <c r="E795" s="31"/>
      <c r="F795" s="31"/>
      <c r="G795" s="59"/>
      <c r="H795" s="61"/>
      <c r="I795" s="47"/>
    </row>
    <row r="796" spans="2:9" x14ac:dyDescent="0.25">
      <c r="B796" s="55" t="str">
        <f t="shared" si="12"/>
        <v/>
      </c>
      <c r="C796" s="31"/>
      <c r="D796" s="31"/>
      <c r="E796" s="31"/>
      <c r="F796" s="31"/>
      <c r="G796" s="59"/>
      <c r="H796" s="61"/>
      <c r="I796" s="47"/>
    </row>
    <row r="797" spans="2:9" x14ac:dyDescent="0.25">
      <c r="B797" s="55" t="str">
        <f t="shared" si="12"/>
        <v/>
      </c>
      <c r="C797" s="31"/>
      <c r="D797" s="31"/>
      <c r="E797" s="31"/>
      <c r="F797" s="31"/>
      <c r="G797" s="59"/>
      <c r="H797" s="61"/>
      <c r="I797" s="47"/>
    </row>
    <row r="798" spans="2:9" x14ac:dyDescent="0.25">
      <c r="B798" s="55" t="str">
        <f t="shared" si="12"/>
        <v/>
      </c>
      <c r="C798" s="31"/>
      <c r="D798" s="31"/>
      <c r="E798" s="31"/>
      <c r="F798" s="31"/>
      <c r="G798" s="59"/>
      <c r="H798" s="61"/>
      <c r="I798" s="47"/>
    </row>
    <row r="799" spans="2:9" x14ac:dyDescent="0.25">
      <c r="B799" s="55" t="str">
        <f t="shared" si="12"/>
        <v/>
      </c>
      <c r="C799" s="31"/>
      <c r="D799" s="31"/>
      <c r="E799" s="31"/>
      <c r="F799" s="31"/>
      <c r="G799" s="59"/>
      <c r="H799" s="61"/>
      <c r="I799" s="47"/>
    </row>
    <row r="800" spans="2:9" x14ac:dyDescent="0.25">
      <c r="B800" s="55" t="str">
        <f t="shared" si="12"/>
        <v/>
      </c>
      <c r="C800" s="31"/>
      <c r="D800" s="31"/>
      <c r="E800" s="31"/>
      <c r="F800" s="31"/>
      <c r="G800" s="59"/>
      <c r="H800" s="61"/>
      <c r="I800" s="47"/>
    </row>
    <row r="801" spans="2:9" x14ac:dyDescent="0.25">
      <c r="B801" s="55" t="str">
        <f t="shared" si="12"/>
        <v/>
      </c>
      <c r="C801" s="31"/>
      <c r="D801" s="31"/>
      <c r="E801" s="31"/>
      <c r="F801" s="31"/>
      <c r="G801" s="59"/>
      <c r="H801" s="61"/>
      <c r="I801" s="47"/>
    </row>
    <row r="802" spans="2:9" x14ac:dyDescent="0.25">
      <c r="B802" s="55" t="str">
        <f t="shared" si="12"/>
        <v/>
      </c>
      <c r="C802" s="31"/>
      <c r="D802" s="31"/>
      <c r="E802" s="31"/>
      <c r="F802" s="31"/>
      <c r="G802" s="59"/>
      <c r="H802" s="61"/>
      <c r="I802" s="47"/>
    </row>
    <row r="803" spans="2:9" x14ac:dyDescent="0.25">
      <c r="B803" s="55" t="str">
        <f t="shared" si="12"/>
        <v/>
      </c>
      <c r="C803" s="31"/>
      <c r="D803" s="31"/>
      <c r="E803" s="31"/>
      <c r="F803" s="31"/>
      <c r="G803" s="59"/>
      <c r="H803" s="61"/>
      <c r="I803" s="47"/>
    </row>
    <row r="804" spans="2:9" x14ac:dyDescent="0.25">
      <c r="B804" s="55" t="str">
        <f t="shared" si="12"/>
        <v/>
      </c>
      <c r="C804" s="31"/>
      <c r="D804" s="31"/>
      <c r="E804" s="31"/>
      <c r="F804" s="31"/>
      <c r="G804" s="59"/>
      <c r="H804" s="61"/>
      <c r="I804" s="47"/>
    </row>
    <row r="805" spans="2:9" x14ac:dyDescent="0.25">
      <c r="B805" s="55" t="str">
        <f t="shared" si="12"/>
        <v/>
      </c>
      <c r="C805" s="31"/>
      <c r="D805" s="31"/>
      <c r="E805" s="31"/>
      <c r="F805" s="31"/>
      <c r="G805" s="59"/>
      <c r="H805" s="61"/>
      <c r="I805" s="47"/>
    </row>
    <row r="806" spans="2:9" x14ac:dyDescent="0.25">
      <c r="B806" s="55" t="str">
        <f t="shared" si="12"/>
        <v/>
      </c>
      <c r="C806" s="31"/>
      <c r="D806" s="31"/>
      <c r="E806" s="31"/>
      <c r="F806" s="31"/>
      <c r="G806" s="59"/>
      <c r="H806" s="61"/>
      <c r="I806" s="47"/>
    </row>
    <row r="807" spans="2:9" x14ac:dyDescent="0.25">
      <c r="B807" s="55" t="str">
        <f t="shared" si="12"/>
        <v/>
      </c>
      <c r="C807" s="31"/>
      <c r="D807" s="31"/>
      <c r="E807" s="31"/>
      <c r="F807" s="31"/>
      <c r="G807" s="59"/>
      <c r="H807" s="61"/>
      <c r="I807" s="47"/>
    </row>
    <row r="808" spans="2:9" x14ac:dyDescent="0.25">
      <c r="B808" s="55" t="str">
        <f t="shared" si="12"/>
        <v/>
      </c>
      <c r="C808" s="31"/>
      <c r="D808" s="31"/>
      <c r="E808" s="31"/>
      <c r="F808" s="31"/>
      <c r="G808" s="59"/>
      <c r="H808" s="61"/>
      <c r="I808" s="47"/>
    </row>
    <row r="809" spans="2:9" x14ac:dyDescent="0.25">
      <c r="B809" s="55" t="str">
        <f t="shared" si="12"/>
        <v/>
      </c>
      <c r="C809" s="31"/>
      <c r="D809" s="31"/>
      <c r="E809" s="31"/>
      <c r="F809" s="31"/>
      <c r="G809" s="59"/>
      <c r="H809" s="61"/>
      <c r="I809" s="47"/>
    </row>
    <row r="810" spans="2:9" x14ac:dyDescent="0.25">
      <c r="B810" s="55" t="str">
        <f t="shared" si="12"/>
        <v/>
      </c>
      <c r="C810" s="31"/>
      <c r="D810" s="31"/>
      <c r="E810" s="31"/>
      <c r="F810" s="31"/>
      <c r="G810" s="59"/>
      <c r="H810" s="61"/>
      <c r="I810" s="47"/>
    </row>
    <row r="811" spans="2:9" x14ac:dyDescent="0.25">
      <c r="B811" s="55" t="str">
        <f t="shared" si="12"/>
        <v/>
      </c>
      <c r="C811" s="31"/>
      <c r="D811" s="31"/>
      <c r="E811" s="31"/>
      <c r="F811" s="31"/>
      <c r="G811" s="59"/>
      <c r="H811" s="61"/>
      <c r="I811" s="47"/>
    </row>
    <row r="812" spans="2:9" x14ac:dyDescent="0.25">
      <c r="B812" s="55" t="str">
        <f t="shared" si="12"/>
        <v/>
      </c>
      <c r="C812" s="31"/>
      <c r="D812" s="31"/>
      <c r="E812" s="31"/>
      <c r="F812" s="31"/>
      <c r="G812" s="59"/>
      <c r="H812" s="61"/>
      <c r="I812" s="47"/>
    </row>
    <row r="813" spans="2:9" x14ac:dyDescent="0.25">
      <c r="B813" s="55" t="str">
        <f t="shared" si="12"/>
        <v/>
      </c>
      <c r="C813" s="31"/>
      <c r="D813" s="31"/>
      <c r="E813" s="31"/>
      <c r="F813" s="31"/>
      <c r="G813" s="59"/>
      <c r="H813" s="61"/>
      <c r="I813" s="47"/>
    </row>
    <row r="814" spans="2:9" x14ac:dyDescent="0.25">
      <c r="B814" s="55" t="str">
        <f t="shared" si="12"/>
        <v/>
      </c>
      <c r="C814" s="31"/>
      <c r="D814" s="31"/>
      <c r="E814" s="31"/>
      <c r="F814" s="31"/>
      <c r="G814" s="59"/>
      <c r="H814" s="61"/>
      <c r="I814" s="47"/>
    </row>
    <row r="815" spans="2:9" x14ac:dyDescent="0.25">
      <c r="B815" s="55" t="str">
        <f t="shared" si="12"/>
        <v/>
      </c>
      <c r="C815" s="31"/>
      <c r="D815" s="31"/>
      <c r="E815" s="31"/>
      <c r="F815" s="31"/>
      <c r="G815" s="59"/>
      <c r="H815" s="61"/>
      <c r="I815" s="47"/>
    </row>
    <row r="816" spans="2:9" x14ac:dyDescent="0.25">
      <c r="B816" s="55" t="str">
        <f t="shared" si="12"/>
        <v/>
      </c>
      <c r="C816" s="31"/>
      <c r="D816" s="31"/>
      <c r="E816" s="31"/>
      <c r="F816" s="31"/>
      <c r="G816" s="59"/>
      <c r="H816" s="61"/>
      <c r="I816" s="47"/>
    </row>
    <row r="817" spans="2:9" x14ac:dyDescent="0.25">
      <c r="B817" s="55" t="str">
        <f t="shared" si="12"/>
        <v/>
      </c>
      <c r="C817" s="31"/>
      <c r="D817" s="31"/>
      <c r="E817" s="31"/>
      <c r="F817" s="31"/>
      <c r="G817" s="59"/>
      <c r="H817" s="61"/>
      <c r="I817" s="47"/>
    </row>
    <row r="818" spans="2:9" x14ac:dyDescent="0.25">
      <c r="B818" s="55" t="str">
        <f t="shared" si="12"/>
        <v/>
      </c>
      <c r="C818" s="31"/>
      <c r="D818" s="31"/>
      <c r="E818" s="31"/>
      <c r="F818" s="31"/>
      <c r="G818" s="59"/>
      <c r="H818" s="61"/>
      <c r="I818" s="47"/>
    </row>
    <row r="819" spans="2:9" x14ac:dyDescent="0.25">
      <c r="B819" s="55" t="str">
        <f t="shared" si="12"/>
        <v/>
      </c>
      <c r="C819" s="31"/>
      <c r="D819" s="31"/>
      <c r="E819" s="31"/>
      <c r="F819" s="31"/>
      <c r="G819" s="59"/>
      <c r="H819" s="61"/>
      <c r="I819" s="47"/>
    </row>
    <row r="820" spans="2:9" x14ac:dyDescent="0.25">
      <c r="B820" s="55" t="str">
        <f t="shared" si="12"/>
        <v/>
      </c>
      <c r="C820" s="31"/>
      <c r="D820" s="31"/>
      <c r="E820" s="31"/>
      <c r="F820" s="31"/>
      <c r="G820" s="59"/>
      <c r="H820" s="61"/>
      <c r="I820" s="47"/>
    </row>
    <row r="821" spans="2:9" x14ac:dyDescent="0.25">
      <c r="B821" s="55" t="str">
        <f t="shared" si="12"/>
        <v/>
      </c>
      <c r="C821" s="31"/>
      <c r="D821" s="31"/>
      <c r="E821" s="31"/>
      <c r="F821" s="31"/>
      <c r="G821" s="59"/>
      <c r="H821" s="61"/>
      <c r="I821" s="47"/>
    </row>
    <row r="822" spans="2:9" x14ac:dyDescent="0.25">
      <c r="B822" s="55" t="str">
        <f t="shared" si="12"/>
        <v/>
      </c>
      <c r="C822" s="31"/>
      <c r="D822" s="31"/>
      <c r="E822" s="31"/>
      <c r="F822" s="31"/>
      <c r="G822" s="59"/>
      <c r="H822" s="61"/>
      <c r="I822" s="47"/>
    </row>
    <row r="823" spans="2:9" x14ac:dyDescent="0.25">
      <c r="B823" s="55" t="str">
        <f t="shared" si="12"/>
        <v/>
      </c>
      <c r="C823" s="31"/>
      <c r="D823" s="31"/>
      <c r="E823" s="31"/>
      <c r="F823" s="31"/>
      <c r="G823" s="59"/>
      <c r="H823" s="61"/>
      <c r="I823" s="47"/>
    </row>
    <row r="824" spans="2:9" x14ac:dyDescent="0.25">
      <c r="B824" s="55" t="str">
        <f t="shared" si="12"/>
        <v/>
      </c>
      <c r="C824" s="31"/>
      <c r="D824" s="31"/>
      <c r="E824" s="31"/>
      <c r="F824" s="31"/>
      <c r="G824" s="59"/>
      <c r="H824" s="61"/>
      <c r="I824" s="47"/>
    </row>
    <row r="825" spans="2:9" x14ac:dyDescent="0.25">
      <c r="B825" s="55" t="str">
        <f t="shared" si="12"/>
        <v/>
      </c>
      <c r="C825" s="31"/>
      <c r="D825" s="31"/>
      <c r="E825" s="31"/>
      <c r="F825" s="31"/>
      <c r="G825" s="59"/>
      <c r="H825" s="61"/>
      <c r="I825" s="47"/>
    </row>
    <row r="826" spans="2:9" x14ac:dyDescent="0.25">
      <c r="B826" s="55" t="str">
        <f t="shared" si="12"/>
        <v/>
      </c>
      <c r="C826" s="31"/>
      <c r="D826" s="31"/>
      <c r="E826" s="31"/>
      <c r="F826" s="31"/>
      <c r="G826" s="59"/>
      <c r="H826" s="61"/>
      <c r="I826" s="47"/>
    </row>
    <row r="827" spans="2:9" x14ac:dyDescent="0.25">
      <c r="B827" s="55" t="str">
        <f t="shared" si="12"/>
        <v/>
      </c>
      <c r="C827" s="31"/>
      <c r="D827" s="31"/>
      <c r="E827" s="31"/>
      <c r="F827" s="31"/>
      <c r="G827" s="59"/>
      <c r="H827" s="61"/>
      <c r="I827" s="47"/>
    </row>
    <row r="828" spans="2:9" x14ac:dyDescent="0.25">
      <c r="B828" s="55" t="str">
        <f t="shared" si="12"/>
        <v/>
      </c>
      <c r="C828" s="31"/>
      <c r="D828" s="31"/>
      <c r="E828" s="31"/>
      <c r="F828" s="31"/>
      <c r="G828" s="59"/>
      <c r="H828" s="61"/>
      <c r="I828" s="47"/>
    </row>
    <row r="829" spans="2:9" x14ac:dyDescent="0.25">
      <c r="B829" s="55" t="str">
        <f t="shared" si="12"/>
        <v/>
      </c>
      <c r="C829" s="31"/>
      <c r="D829" s="31"/>
      <c r="E829" s="31"/>
      <c r="F829" s="31"/>
      <c r="G829" s="59"/>
      <c r="H829" s="61"/>
      <c r="I829" s="47"/>
    </row>
    <row r="830" spans="2:9" x14ac:dyDescent="0.25">
      <c r="B830" s="55" t="str">
        <f t="shared" si="12"/>
        <v/>
      </c>
      <c r="C830" s="31"/>
      <c r="D830" s="31"/>
      <c r="E830" s="31"/>
      <c r="F830" s="31"/>
      <c r="G830" s="59"/>
      <c r="H830" s="61"/>
      <c r="I830" s="47"/>
    </row>
    <row r="831" spans="2:9" x14ac:dyDescent="0.25">
      <c r="B831" s="55" t="str">
        <f t="shared" si="12"/>
        <v/>
      </c>
      <c r="C831" s="31"/>
      <c r="D831" s="31"/>
      <c r="E831" s="31"/>
      <c r="F831" s="31"/>
      <c r="G831" s="59"/>
      <c r="H831" s="61"/>
      <c r="I831" s="47"/>
    </row>
    <row r="832" spans="2:9" x14ac:dyDescent="0.25">
      <c r="B832" s="55" t="str">
        <f t="shared" si="12"/>
        <v/>
      </c>
      <c r="C832" s="31"/>
      <c r="D832" s="31"/>
      <c r="E832" s="31"/>
      <c r="F832" s="31"/>
      <c r="G832" s="59"/>
      <c r="H832" s="61"/>
      <c r="I832" s="47"/>
    </row>
    <row r="833" spans="2:9" x14ac:dyDescent="0.25">
      <c r="B833" s="55" t="str">
        <f t="shared" si="12"/>
        <v/>
      </c>
      <c r="C833" s="31"/>
      <c r="D833" s="31"/>
      <c r="E833" s="31"/>
      <c r="F833" s="31"/>
      <c r="G833" s="59"/>
      <c r="H833" s="61"/>
      <c r="I833" s="47"/>
    </row>
    <row r="834" spans="2:9" x14ac:dyDescent="0.25">
      <c r="B834" s="55" t="str">
        <f t="shared" si="12"/>
        <v/>
      </c>
      <c r="C834" s="31"/>
      <c r="D834" s="31"/>
      <c r="E834" s="31"/>
      <c r="F834" s="31"/>
      <c r="G834" s="59"/>
      <c r="H834" s="61"/>
      <c r="I834" s="47"/>
    </row>
    <row r="835" spans="2:9" x14ac:dyDescent="0.25">
      <c r="B835" s="55" t="str">
        <f t="shared" si="12"/>
        <v/>
      </c>
      <c r="C835" s="31"/>
      <c r="D835" s="31"/>
      <c r="E835" s="31"/>
      <c r="F835" s="31"/>
      <c r="G835" s="59"/>
      <c r="H835" s="61"/>
      <c r="I835" s="47"/>
    </row>
    <row r="836" spans="2:9" x14ac:dyDescent="0.25">
      <c r="B836" s="55" t="str">
        <f t="shared" si="12"/>
        <v/>
      </c>
      <c r="C836" s="31"/>
      <c r="D836" s="31"/>
      <c r="E836" s="31"/>
      <c r="F836" s="31"/>
      <c r="G836" s="59"/>
      <c r="H836" s="61"/>
      <c r="I836" s="47"/>
    </row>
    <row r="837" spans="2:9" x14ac:dyDescent="0.25">
      <c r="B837" s="55" t="str">
        <f t="shared" si="12"/>
        <v/>
      </c>
      <c r="C837" s="31"/>
      <c r="D837" s="31"/>
      <c r="E837" s="31"/>
      <c r="F837" s="31"/>
      <c r="G837" s="59"/>
      <c r="H837" s="61"/>
      <c r="I837" s="47"/>
    </row>
    <row r="838" spans="2:9" x14ac:dyDescent="0.25">
      <c r="B838" s="55" t="str">
        <f t="shared" ref="B838:B901" si="13">IF(C838="","",B837+1)</f>
        <v/>
      </c>
      <c r="C838" s="31"/>
      <c r="D838" s="31"/>
      <c r="E838" s="31"/>
      <c r="F838" s="31"/>
      <c r="G838" s="59"/>
      <c r="H838" s="61"/>
      <c r="I838" s="47"/>
    </row>
    <row r="839" spans="2:9" x14ac:dyDescent="0.25">
      <c r="B839" s="55" t="str">
        <f t="shared" si="13"/>
        <v/>
      </c>
      <c r="C839" s="31"/>
      <c r="D839" s="31"/>
      <c r="E839" s="31"/>
      <c r="F839" s="31"/>
      <c r="G839" s="59"/>
      <c r="H839" s="61"/>
      <c r="I839" s="47"/>
    </row>
    <row r="840" spans="2:9" x14ac:dyDescent="0.25">
      <c r="B840" s="55" t="str">
        <f t="shared" si="13"/>
        <v/>
      </c>
      <c r="C840" s="31"/>
      <c r="D840" s="31"/>
      <c r="E840" s="31"/>
      <c r="F840" s="31"/>
      <c r="G840" s="59"/>
      <c r="H840" s="61"/>
      <c r="I840" s="47"/>
    </row>
    <row r="841" spans="2:9" x14ac:dyDescent="0.25">
      <c r="B841" s="55" t="str">
        <f t="shared" si="13"/>
        <v/>
      </c>
      <c r="C841" s="31"/>
      <c r="D841" s="31"/>
      <c r="E841" s="31"/>
      <c r="F841" s="31"/>
      <c r="G841" s="59"/>
      <c r="H841" s="61"/>
      <c r="I841" s="47"/>
    </row>
    <row r="842" spans="2:9" x14ac:dyDescent="0.25">
      <c r="B842" s="55" t="str">
        <f t="shared" si="13"/>
        <v/>
      </c>
      <c r="C842" s="31"/>
      <c r="D842" s="31"/>
      <c r="E842" s="31"/>
      <c r="F842" s="31"/>
      <c r="G842" s="59"/>
      <c r="H842" s="61"/>
      <c r="I842" s="47"/>
    </row>
    <row r="843" spans="2:9" x14ac:dyDescent="0.25">
      <c r="B843" s="55" t="str">
        <f t="shared" si="13"/>
        <v/>
      </c>
      <c r="C843" s="31"/>
      <c r="D843" s="31"/>
      <c r="E843" s="31"/>
      <c r="F843" s="31"/>
      <c r="G843" s="59"/>
      <c r="H843" s="61"/>
      <c r="I843" s="47"/>
    </row>
    <row r="844" spans="2:9" x14ac:dyDescent="0.25">
      <c r="B844" s="55" t="str">
        <f t="shared" si="13"/>
        <v/>
      </c>
      <c r="C844" s="31"/>
      <c r="D844" s="31"/>
      <c r="E844" s="31"/>
      <c r="F844" s="31"/>
      <c r="G844" s="59"/>
      <c r="H844" s="61"/>
      <c r="I844" s="47"/>
    </row>
    <row r="845" spans="2:9" x14ac:dyDescent="0.25">
      <c r="B845" s="55" t="str">
        <f t="shared" si="13"/>
        <v/>
      </c>
      <c r="C845" s="31"/>
      <c r="D845" s="31"/>
      <c r="E845" s="31"/>
      <c r="F845" s="31"/>
      <c r="G845" s="59"/>
      <c r="H845" s="61"/>
      <c r="I845" s="47"/>
    </row>
    <row r="846" spans="2:9" x14ac:dyDescent="0.25">
      <c r="B846" s="55" t="str">
        <f t="shared" si="13"/>
        <v/>
      </c>
      <c r="C846" s="31"/>
      <c r="D846" s="31"/>
      <c r="E846" s="31"/>
      <c r="F846" s="31"/>
      <c r="G846" s="59"/>
      <c r="H846" s="61"/>
      <c r="I846" s="47"/>
    </row>
    <row r="847" spans="2:9" x14ac:dyDescent="0.25">
      <c r="B847" s="55" t="str">
        <f t="shared" si="13"/>
        <v/>
      </c>
      <c r="C847" s="31"/>
      <c r="D847" s="31"/>
      <c r="E847" s="31"/>
      <c r="F847" s="31"/>
      <c r="G847" s="59"/>
      <c r="H847" s="61"/>
      <c r="I847" s="47"/>
    </row>
    <row r="848" spans="2:9" x14ac:dyDescent="0.25">
      <c r="B848" s="55" t="str">
        <f t="shared" si="13"/>
        <v/>
      </c>
      <c r="C848" s="31"/>
      <c r="D848" s="31"/>
      <c r="E848" s="31"/>
      <c r="F848" s="31"/>
      <c r="G848" s="59"/>
      <c r="H848" s="61"/>
      <c r="I848" s="47"/>
    </row>
    <row r="849" spans="2:9" x14ac:dyDescent="0.25">
      <c r="B849" s="55" t="str">
        <f t="shared" si="13"/>
        <v/>
      </c>
      <c r="C849" s="31"/>
      <c r="D849" s="31"/>
      <c r="E849" s="31"/>
      <c r="F849" s="31"/>
      <c r="G849" s="59"/>
      <c r="H849" s="61"/>
      <c r="I849" s="47"/>
    </row>
    <row r="850" spans="2:9" x14ac:dyDescent="0.25">
      <c r="B850" s="55" t="str">
        <f t="shared" si="13"/>
        <v/>
      </c>
      <c r="C850" s="31"/>
      <c r="D850" s="31"/>
      <c r="E850" s="31"/>
      <c r="F850" s="31"/>
      <c r="G850" s="59"/>
      <c r="H850" s="61"/>
      <c r="I850" s="47"/>
    </row>
    <row r="851" spans="2:9" x14ac:dyDescent="0.25">
      <c r="B851" s="55" t="str">
        <f t="shared" si="13"/>
        <v/>
      </c>
      <c r="C851" s="31"/>
      <c r="D851" s="31"/>
      <c r="E851" s="31"/>
      <c r="F851" s="31"/>
      <c r="G851" s="59"/>
      <c r="H851" s="61"/>
      <c r="I851" s="47"/>
    </row>
    <row r="852" spans="2:9" x14ac:dyDescent="0.25">
      <c r="B852" s="55" t="str">
        <f t="shared" si="13"/>
        <v/>
      </c>
      <c r="C852" s="31"/>
      <c r="D852" s="31"/>
      <c r="E852" s="31"/>
      <c r="F852" s="31"/>
      <c r="G852" s="59"/>
      <c r="H852" s="61"/>
      <c r="I852" s="47"/>
    </row>
    <row r="853" spans="2:9" x14ac:dyDescent="0.25">
      <c r="B853" s="55" t="str">
        <f t="shared" si="13"/>
        <v/>
      </c>
      <c r="C853" s="31"/>
      <c r="D853" s="31"/>
      <c r="E853" s="31"/>
      <c r="F853" s="31"/>
      <c r="G853" s="59"/>
      <c r="H853" s="61"/>
      <c r="I853" s="47"/>
    </row>
    <row r="854" spans="2:9" x14ac:dyDescent="0.25">
      <c r="B854" s="55" t="str">
        <f t="shared" si="13"/>
        <v/>
      </c>
      <c r="C854" s="31"/>
      <c r="D854" s="31"/>
      <c r="E854" s="31"/>
      <c r="F854" s="31"/>
      <c r="G854" s="59"/>
      <c r="H854" s="61"/>
      <c r="I854" s="47"/>
    </row>
    <row r="855" spans="2:9" x14ac:dyDescent="0.25">
      <c r="B855" s="55" t="str">
        <f t="shared" si="13"/>
        <v/>
      </c>
      <c r="C855" s="31"/>
      <c r="D855" s="31"/>
      <c r="E855" s="31"/>
      <c r="F855" s="31"/>
      <c r="G855" s="59"/>
      <c r="H855" s="61"/>
      <c r="I855" s="47"/>
    </row>
    <row r="856" spans="2:9" x14ac:dyDescent="0.25">
      <c r="B856" s="55" t="str">
        <f t="shared" si="13"/>
        <v/>
      </c>
      <c r="C856" s="31"/>
      <c r="D856" s="31"/>
      <c r="E856" s="31"/>
      <c r="F856" s="31"/>
      <c r="G856" s="59"/>
      <c r="H856" s="61"/>
      <c r="I856" s="47"/>
    </row>
    <row r="857" spans="2:9" x14ac:dyDescent="0.25">
      <c r="B857" s="55" t="str">
        <f t="shared" si="13"/>
        <v/>
      </c>
      <c r="C857" s="31"/>
      <c r="D857" s="31"/>
      <c r="E857" s="31"/>
      <c r="F857" s="31"/>
      <c r="G857" s="59"/>
      <c r="H857" s="61"/>
      <c r="I857" s="47"/>
    </row>
    <row r="858" spans="2:9" x14ac:dyDescent="0.25">
      <c r="B858" s="55" t="str">
        <f t="shared" si="13"/>
        <v/>
      </c>
      <c r="C858" s="31"/>
      <c r="D858" s="31"/>
      <c r="E858" s="31"/>
      <c r="F858" s="31"/>
      <c r="G858" s="59"/>
      <c r="H858" s="61"/>
      <c r="I858" s="47"/>
    </row>
    <row r="859" spans="2:9" x14ac:dyDescent="0.25">
      <c r="B859" s="55" t="str">
        <f t="shared" si="13"/>
        <v/>
      </c>
      <c r="C859" s="31"/>
      <c r="D859" s="31"/>
      <c r="E859" s="31"/>
      <c r="F859" s="31"/>
      <c r="G859" s="59"/>
      <c r="H859" s="61"/>
      <c r="I859" s="47"/>
    </row>
    <row r="860" spans="2:9" x14ac:dyDescent="0.25">
      <c r="B860" s="55" t="str">
        <f t="shared" si="13"/>
        <v/>
      </c>
      <c r="C860" s="31"/>
      <c r="D860" s="31"/>
      <c r="E860" s="31"/>
      <c r="F860" s="31"/>
      <c r="G860" s="59"/>
      <c r="H860" s="61"/>
      <c r="I860" s="47"/>
    </row>
    <row r="861" spans="2:9" x14ac:dyDescent="0.25">
      <c r="B861" s="55" t="str">
        <f t="shared" si="13"/>
        <v/>
      </c>
      <c r="C861" s="31"/>
      <c r="D861" s="31"/>
      <c r="E861" s="31"/>
      <c r="F861" s="31"/>
      <c r="G861" s="59"/>
      <c r="H861" s="61"/>
      <c r="I861" s="47"/>
    </row>
    <row r="862" spans="2:9" x14ac:dyDescent="0.25">
      <c r="B862" s="55" t="str">
        <f t="shared" si="13"/>
        <v/>
      </c>
      <c r="C862" s="31"/>
      <c r="D862" s="31"/>
      <c r="E862" s="31"/>
      <c r="F862" s="31"/>
      <c r="G862" s="59"/>
      <c r="H862" s="61"/>
      <c r="I862" s="47"/>
    </row>
    <row r="863" spans="2:9" x14ac:dyDescent="0.25">
      <c r="B863" s="55" t="str">
        <f t="shared" si="13"/>
        <v/>
      </c>
      <c r="C863" s="31"/>
      <c r="D863" s="31"/>
      <c r="E863" s="31"/>
      <c r="F863" s="31"/>
      <c r="G863" s="59"/>
      <c r="H863" s="61"/>
      <c r="I863" s="47"/>
    </row>
    <row r="864" spans="2:9" x14ac:dyDescent="0.25">
      <c r="B864" s="55" t="str">
        <f t="shared" si="13"/>
        <v/>
      </c>
      <c r="C864" s="31"/>
      <c r="D864" s="31"/>
      <c r="E864" s="31"/>
      <c r="F864" s="31"/>
      <c r="G864" s="59"/>
      <c r="H864" s="61"/>
      <c r="I864" s="47"/>
    </row>
    <row r="865" spans="2:9" x14ac:dyDescent="0.25">
      <c r="B865" s="55" t="str">
        <f t="shared" si="13"/>
        <v/>
      </c>
      <c r="C865" s="31"/>
      <c r="D865" s="31"/>
      <c r="E865" s="31"/>
      <c r="F865" s="31"/>
      <c r="G865" s="59"/>
      <c r="H865" s="61"/>
      <c r="I865" s="47"/>
    </row>
    <row r="866" spans="2:9" x14ac:dyDescent="0.25">
      <c r="B866" s="55" t="str">
        <f t="shared" si="13"/>
        <v/>
      </c>
      <c r="C866" s="31"/>
      <c r="D866" s="31"/>
      <c r="E866" s="31"/>
      <c r="F866" s="31"/>
      <c r="G866" s="59"/>
      <c r="H866" s="61"/>
      <c r="I866" s="47"/>
    </row>
    <row r="867" spans="2:9" x14ac:dyDescent="0.25">
      <c r="B867" s="55" t="str">
        <f t="shared" si="13"/>
        <v/>
      </c>
      <c r="C867" s="31"/>
      <c r="D867" s="31"/>
      <c r="E867" s="31"/>
      <c r="F867" s="31"/>
      <c r="G867" s="59"/>
      <c r="H867" s="61"/>
      <c r="I867" s="47"/>
    </row>
    <row r="868" spans="2:9" x14ac:dyDescent="0.25">
      <c r="B868" s="55" t="str">
        <f t="shared" si="13"/>
        <v/>
      </c>
      <c r="C868" s="31"/>
      <c r="D868" s="31"/>
      <c r="E868" s="31"/>
      <c r="F868" s="31"/>
      <c r="G868" s="59"/>
      <c r="H868" s="61"/>
      <c r="I868" s="47"/>
    </row>
    <row r="869" spans="2:9" x14ac:dyDescent="0.25">
      <c r="B869" s="55" t="str">
        <f t="shared" si="13"/>
        <v/>
      </c>
      <c r="C869" s="31"/>
      <c r="D869" s="31"/>
      <c r="E869" s="31"/>
      <c r="F869" s="31"/>
      <c r="G869" s="59"/>
      <c r="H869" s="61"/>
      <c r="I869" s="47"/>
    </row>
    <row r="870" spans="2:9" x14ac:dyDescent="0.25">
      <c r="B870" s="55" t="str">
        <f t="shared" si="13"/>
        <v/>
      </c>
      <c r="C870" s="31"/>
      <c r="D870" s="31"/>
      <c r="E870" s="31"/>
      <c r="F870" s="31"/>
      <c r="G870" s="59"/>
      <c r="H870" s="61"/>
      <c r="I870" s="47"/>
    </row>
    <row r="871" spans="2:9" x14ac:dyDescent="0.25">
      <c r="B871" s="55" t="str">
        <f t="shared" si="13"/>
        <v/>
      </c>
      <c r="C871" s="31"/>
      <c r="D871" s="31"/>
      <c r="E871" s="31"/>
      <c r="F871" s="31"/>
      <c r="G871" s="59"/>
      <c r="H871" s="61"/>
      <c r="I871" s="47"/>
    </row>
    <row r="872" spans="2:9" x14ac:dyDescent="0.25">
      <c r="B872" s="55" t="str">
        <f t="shared" si="13"/>
        <v/>
      </c>
      <c r="C872" s="31"/>
      <c r="D872" s="31"/>
      <c r="E872" s="31"/>
      <c r="F872" s="31"/>
      <c r="G872" s="59"/>
      <c r="H872" s="61"/>
      <c r="I872" s="47"/>
    </row>
    <row r="873" spans="2:9" x14ac:dyDescent="0.25">
      <c r="B873" s="55" t="str">
        <f t="shared" si="13"/>
        <v/>
      </c>
      <c r="C873" s="31"/>
      <c r="D873" s="31"/>
      <c r="E873" s="31"/>
      <c r="F873" s="31"/>
      <c r="G873" s="59"/>
      <c r="H873" s="61"/>
      <c r="I873" s="47"/>
    </row>
    <row r="874" spans="2:9" x14ac:dyDescent="0.25">
      <c r="B874" s="55" t="str">
        <f t="shared" si="13"/>
        <v/>
      </c>
      <c r="C874" s="31"/>
      <c r="D874" s="31"/>
      <c r="E874" s="31"/>
      <c r="F874" s="31"/>
      <c r="G874" s="59"/>
      <c r="H874" s="61"/>
      <c r="I874" s="47"/>
    </row>
    <row r="875" spans="2:9" x14ac:dyDescent="0.25">
      <c r="B875" s="55" t="str">
        <f t="shared" si="13"/>
        <v/>
      </c>
      <c r="C875" s="31"/>
      <c r="D875" s="31"/>
      <c r="E875" s="31"/>
      <c r="F875" s="31"/>
      <c r="G875" s="59"/>
      <c r="H875" s="61"/>
      <c r="I875" s="47"/>
    </row>
    <row r="876" spans="2:9" x14ac:dyDescent="0.25">
      <c r="B876" s="55" t="str">
        <f t="shared" si="13"/>
        <v/>
      </c>
      <c r="C876" s="31"/>
      <c r="D876" s="31"/>
      <c r="E876" s="31"/>
      <c r="F876" s="31"/>
      <c r="G876" s="59"/>
      <c r="H876" s="61"/>
      <c r="I876" s="47"/>
    </row>
    <row r="877" spans="2:9" x14ac:dyDescent="0.25">
      <c r="B877" s="55" t="str">
        <f t="shared" si="13"/>
        <v/>
      </c>
      <c r="C877" s="31"/>
      <c r="D877" s="31"/>
      <c r="E877" s="31"/>
      <c r="F877" s="31"/>
      <c r="G877" s="59"/>
      <c r="H877" s="61"/>
      <c r="I877" s="47"/>
    </row>
    <row r="878" spans="2:9" x14ac:dyDescent="0.25">
      <c r="B878" s="55" t="str">
        <f t="shared" si="13"/>
        <v/>
      </c>
      <c r="C878" s="31"/>
      <c r="D878" s="31"/>
      <c r="E878" s="31"/>
      <c r="F878" s="31"/>
      <c r="G878" s="59"/>
      <c r="H878" s="61"/>
      <c r="I878" s="47"/>
    </row>
    <row r="879" spans="2:9" x14ac:dyDescent="0.25">
      <c r="B879" s="55" t="str">
        <f t="shared" si="13"/>
        <v/>
      </c>
      <c r="C879" s="31"/>
      <c r="D879" s="31"/>
      <c r="E879" s="31"/>
      <c r="F879" s="31"/>
      <c r="G879" s="59"/>
      <c r="H879" s="61"/>
      <c r="I879" s="47"/>
    </row>
    <row r="880" spans="2:9" x14ac:dyDescent="0.25">
      <c r="B880" s="55" t="str">
        <f t="shared" si="13"/>
        <v/>
      </c>
      <c r="C880" s="31"/>
      <c r="D880" s="31"/>
      <c r="E880" s="31"/>
      <c r="F880" s="31"/>
      <c r="G880" s="59"/>
      <c r="H880" s="61"/>
      <c r="I880" s="47"/>
    </row>
    <row r="881" spans="2:9" x14ac:dyDescent="0.25">
      <c r="B881" s="55" t="str">
        <f t="shared" si="13"/>
        <v/>
      </c>
      <c r="C881" s="31"/>
      <c r="D881" s="31"/>
      <c r="E881" s="31"/>
      <c r="F881" s="31"/>
      <c r="G881" s="59"/>
      <c r="H881" s="61"/>
      <c r="I881" s="47"/>
    </row>
    <row r="882" spans="2:9" x14ac:dyDescent="0.25">
      <c r="B882" s="55" t="str">
        <f t="shared" si="13"/>
        <v/>
      </c>
      <c r="C882" s="31"/>
      <c r="D882" s="31"/>
      <c r="E882" s="31"/>
      <c r="F882" s="31"/>
      <c r="G882" s="59"/>
      <c r="H882" s="61"/>
      <c r="I882" s="47"/>
    </row>
    <row r="883" spans="2:9" x14ac:dyDescent="0.25">
      <c r="B883" s="55" t="str">
        <f t="shared" si="13"/>
        <v/>
      </c>
      <c r="C883" s="31"/>
      <c r="D883" s="31"/>
      <c r="E883" s="31"/>
      <c r="F883" s="31"/>
      <c r="G883" s="59"/>
      <c r="H883" s="61"/>
      <c r="I883" s="47"/>
    </row>
    <row r="884" spans="2:9" x14ac:dyDescent="0.25">
      <c r="B884" s="55" t="str">
        <f t="shared" si="13"/>
        <v/>
      </c>
      <c r="C884" s="31"/>
      <c r="D884" s="31"/>
      <c r="E884" s="31"/>
      <c r="F884" s="31"/>
      <c r="G884" s="59"/>
      <c r="H884" s="61"/>
      <c r="I884" s="47"/>
    </row>
    <row r="885" spans="2:9" x14ac:dyDescent="0.25">
      <c r="B885" s="55" t="str">
        <f t="shared" si="13"/>
        <v/>
      </c>
      <c r="C885" s="31"/>
      <c r="D885" s="31"/>
      <c r="E885" s="31"/>
      <c r="F885" s="31"/>
      <c r="G885" s="59"/>
      <c r="H885" s="61"/>
      <c r="I885" s="47"/>
    </row>
    <row r="886" spans="2:9" x14ac:dyDescent="0.25">
      <c r="B886" s="55" t="str">
        <f t="shared" si="13"/>
        <v/>
      </c>
      <c r="C886" s="31"/>
      <c r="D886" s="31"/>
      <c r="E886" s="31"/>
      <c r="F886" s="31"/>
      <c r="G886" s="59"/>
      <c r="H886" s="61"/>
      <c r="I886" s="47"/>
    </row>
    <row r="887" spans="2:9" x14ac:dyDescent="0.25">
      <c r="B887" s="55" t="str">
        <f t="shared" si="13"/>
        <v/>
      </c>
      <c r="C887" s="31"/>
      <c r="D887" s="31"/>
      <c r="E887" s="31"/>
      <c r="F887" s="31"/>
      <c r="G887" s="59"/>
      <c r="H887" s="61"/>
      <c r="I887" s="47"/>
    </row>
    <row r="888" spans="2:9" x14ac:dyDescent="0.25">
      <c r="B888" s="55" t="str">
        <f t="shared" si="13"/>
        <v/>
      </c>
      <c r="C888" s="31"/>
      <c r="D888" s="31"/>
      <c r="E888" s="31"/>
      <c r="F888" s="31"/>
      <c r="G888" s="59"/>
      <c r="H888" s="61"/>
      <c r="I888" s="47"/>
    </row>
    <row r="889" spans="2:9" x14ac:dyDescent="0.25">
      <c r="B889" s="55" t="str">
        <f t="shared" si="13"/>
        <v/>
      </c>
      <c r="C889" s="31"/>
      <c r="D889" s="31"/>
      <c r="E889" s="31"/>
      <c r="F889" s="31"/>
      <c r="G889" s="59"/>
      <c r="H889" s="61"/>
      <c r="I889" s="47"/>
    </row>
    <row r="890" spans="2:9" x14ac:dyDescent="0.25">
      <c r="B890" s="55" t="str">
        <f t="shared" si="13"/>
        <v/>
      </c>
      <c r="C890" s="31"/>
      <c r="D890" s="31"/>
      <c r="E890" s="31"/>
      <c r="F890" s="31"/>
      <c r="G890" s="59"/>
      <c r="H890" s="61"/>
      <c r="I890" s="47"/>
    </row>
    <row r="891" spans="2:9" x14ac:dyDescent="0.25">
      <c r="B891" s="55" t="str">
        <f t="shared" si="13"/>
        <v/>
      </c>
      <c r="C891" s="31"/>
      <c r="D891" s="31"/>
      <c r="E891" s="31"/>
      <c r="F891" s="31"/>
      <c r="G891" s="59"/>
      <c r="H891" s="61"/>
      <c r="I891" s="47"/>
    </row>
    <row r="892" spans="2:9" x14ac:dyDescent="0.25">
      <c r="B892" s="55" t="str">
        <f t="shared" si="13"/>
        <v/>
      </c>
      <c r="C892" s="31"/>
      <c r="D892" s="31"/>
      <c r="E892" s="31"/>
      <c r="F892" s="31"/>
      <c r="G892" s="59"/>
      <c r="H892" s="61"/>
      <c r="I892" s="47"/>
    </row>
    <row r="893" spans="2:9" x14ac:dyDescent="0.25">
      <c r="B893" s="55" t="str">
        <f t="shared" si="13"/>
        <v/>
      </c>
      <c r="C893" s="31"/>
      <c r="D893" s="31"/>
      <c r="E893" s="31"/>
      <c r="F893" s="31"/>
      <c r="G893" s="59"/>
      <c r="H893" s="61"/>
      <c r="I893" s="47"/>
    </row>
    <row r="894" spans="2:9" x14ac:dyDescent="0.25">
      <c r="B894" s="55" t="str">
        <f t="shared" si="13"/>
        <v/>
      </c>
      <c r="C894" s="31"/>
      <c r="D894" s="31"/>
      <c r="E894" s="31"/>
      <c r="F894" s="31"/>
      <c r="G894" s="59"/>
      <c r="H894" s="61"/>
      <c r="I894" s="47"/>
    </row>
    <row r="895" spans="2:9" x14ac:dyDescent="0.25">
      <c r="B895" s="55" t="str">
        <f t="shared" si="13"/>
        <v/>
      </c>
      <c r="C895" s="31"/>
      <c r="D895" s="31"/>
      <c r="E895" s="31"/>
      <c r="F895" s="31"/>
      <c r="G895" s="59"/>
      <c r="H895" s="61"/>
      <c r="I895" s="47"/>
    </row>
    <row r="896" spans="2:9" x14ac:dyDescent="0.25">
      <c r="B896" s="55" t="str">
        <f t="shared" si="13"/>
        <v/>
      </c>
      <c r="C896" s="31"/>
      <c r="D896" s="31"/>
      <c r="E896" s="31"/>
      <c r="F896" s="31"/>
      <c r="G896" s="59"/>
      <c r="H896" s="61"/>
      <c r="I896" s="47"/>
    </row>
    <row r="897" spans="2:9" x14ac:dyDescent="0.25">
      <c r="B897" s="55" t="str">
        <f t="shared" si="13"/>
        <v/>
      </c>
      <c r="C897" s="31"/>
      <c r="D897" s="31"/>
      <c r="E897" s="31"/>
      <c r="F897" s="31"/>
      <c r="G897" s="59"/>
      <c r="H897" s="61"/>
      <c r="I897" s="47"/>
    </row>
    <row r="898" spans="2:9" x14ac:dyDescent="0.25">
      <c r="B898" s="55" t="str">
        <f t="shared" si="13"/>
        <v/>
      </c>
      <c r="C898" s="31"/>
      <c r="D898" s="31"/>
      <c r="E898" s="31"/>
      <c r="F898" s="31"/>
      <c r="G898" s="59"/>
      <c r="H898" s="61"/>
      <c r="I898" s="47"/>
    </row>
    <row r="899" spans="2:9" x14ac:dyDescent="0.25">
      <c r="B899" s="55" t="str">
        <f t="shared" si="13"/>
        <v/>
      </c>
      <c r="C899" s="31"/>
      <c r="D899" s="31"/>
      <c r="E899" s="31"/>
      <c r="F899" s="31"/>
      <c r="G899" s="59"/>
      <c r="H899" s="61"/>
      <c r="I899" s="47"/>
    </row>
    <row r="900" spans="2:9" x14ac:dyDescent="0.25">
      <c r="B900" s="55" t="str">
        <f t="shared" si="13"/>
        <v/>
      </c>
      <c r="C900" s="31"/>
      <c r="D900" s="31"/>
      <c r="E900" s="31"/>
      <c r="F900" s="31"/>
      <c r="G900" s="59"/>
      <c r="H900" s="61"/>
      <c r="I900" s="47"/>
    </row>
    <row r="901" spans="2:9" x14ac:dyDescent="0.25">
      <c r="B901" s="55" t="str">
        <f t="shared" si="13"/>
        <v/>
      </c>
      <c r="C901" s="31"/>
      <c r="D901" s="31"/>
      <c r="E901" s="31"/>
      <c r="F901" s="31"/>
      <c r="G901" s="59"/>
      <c r="H901" s="61"/>
      <c r="I901" s="47"/>
    </row>
    <row r="902" spans="2:9" x14ac:dyDescent="0.25">
      <c r="B902" s="55" t="str">
        <f t="shared" ref="B902:B911" si="14">IF(C902="","",B901+1)</f>
        <v/>
      </c>
      <c r="C902" s="31"/>
      <c r="D902" s="31"/>
      <c r="E902" s="31"/>
      <c r="F902" s="31"/>
      <c r="G902" s="59"/>
      <c r="H902" s="61"/>
      <c r="I902" s="47"/>
    </row>
    <row r="903" spans="2:9" x14ac:dyDescent="0.25">
      <c r="B903" s="55" t="str">
        <f t="shared" si="14"/>
        <v/>
      </c>
      <c r="C903" s="31"/>
      <c r="D903" s="31"/>
      <c r="E903" s="31"/>
      <c r="F903" s="31"/>
      <c r="G903" s="59"/>
      <c r="H903" s="61"/>
      <c r="I903" s="47"/>
    </row>
    <row r="904" spans="2:9" x14ac:dyDescent="0.25">
      <c r="B904" s="55" t="str">
        <f t="shared" si="14"/>
        <v/>
      </c>
      <c r="C904" s="31"/>
      <c r="D904" s="31"/>
      <c r="E904" s="31"/>
      <c r="F904" s="31"/>
      <c r="G904" s="59"/>
      <c r="H904" s="61"/>
      <c r="I904" s="47"/>
    </row>
    <row r="905" spans="2:9" x14ac:dyDescent="0.25">
      <c r="B905" s="55" t="str">
        <f t="shared" si="14"/>
        <v/>
      </c>
      <c r="C905" s="31"/>
      <c r="D905" s="31"/>
      <c r="E905" s="31"/>
      <c r="F905" s="31"/>
      <c r="G905" s="59"/>
      <c r="H905" s="61"/>
      <c r="I905" s="47"/>
    </row>
    <row r="906" spans="2:9" x14ac:dyDescent="0.25">
      <c r="B906" s="55" t="str">
        <f t="shared" si="14"/>
        <v/>
      </c>
      <c r="C906" s="31"/>
      <c r="D906" s="31"/>
      <c r="E906" s="31"/>
      <c r="F906" s="31"/>
      <c r="G906" s="59"/>
      <c r="H906" s="61"/>
      <c r="I906" s="47"/>
    </row>
    <row r="907" spans="2:9" x14ac:dyDescent="0.25">
      <c r="B907" s="55" t="str">
        <f t="shared" si="14"/>
        <v/>
      </c>
      <c r="C907" s="31"/>
      <c r="D907" s="31"/>
      <c r="E907" s="31"/>
      <c r="F907" s="31"/>
      <c r="G907" s="59"/>
      <c r="H907" s="61"/>
      <c r="I907" s="47"/>
    </row>
    <row r="908" spans="2:9" x14ac:dyDescent="0.25">
      <c r="B908" s="55" t="str">
        <f t="shared" si="14"/>
        <v/>
      </c>
      <c r="C908" s="31"/>
      <c r="D908" s="31"/>
      <c r="E908" s="31"/>
      <c r="F908" s="31"/>
      <c r="G908" s="59"/>
      <c r="H908" s="61"/>
      <c r="I908" s="47"/>
    </row>
    <row r="909" spans="2:9" x14ac:dyDescent="0.25">
      <c r="B909" s="55" t="str">
        <f t="shared" si="14"/>
        <v/>
      </c>
      <c r="C909" s="31"/>
      <c r="D909" s="31"/>
      <c r="E909" s="31"/>
      <c r="F909" s="31"/>
      <c r="G909" s="59"/>
      <c r="H909" s="61"/>
      <c r="I909" s="47"/>
    </row>
    <row r="910" spans="2:9" x14ac:dyDescent="0.25">
      <c r="B910" s="55" t="str">
        <f t="shared" si="14"/>
        <v/>
      </c>
      <c r="C910" s="31"/>
      <c r="D910" s="31"/>
      <c r="E910" s="31"/>
      <c r="F910" s="31"/>
      <c r="G910" s="59"/>
      <c r="H910" s="61"/>
      <c r="I910" s="47"/>
    </row>
    <row r="911" spans="2:9" x14ac:dyDescent="0.25">
      <c r="B911" s="55" t="str">
        <f t="shared" si="14"/>
        <v/>
      </c>
      <c r="C911" s="31"/>
      <c r="D911" s="31"/>
      <c r="E911" s="31"/>
      <c r="F911" s="31"/>
      <c r="G911" s="59"/>
      <c r="H911" s="61"/>
      <c r="I911" s="47"/>
    </row>
    <row r="912" spans="2:9" ht="18.75" thickBot="1" x14ac:dyDescent="0.3">
      <c r="B912" s="56">
        <v>0</v>
      </c>
      <c r="C912" s="57"/>
      <c r="D912" s="57"/>
      <c r="E912" s="57"/>
      <c r="F912" s="57"/>
      <c r="G912" s="60"/>
      <c r="H912" s="62"/>
      <c r="I912" s="58"/>
    </row>
  </sheetData>
  <autoFilter ref="B3:I912" xr:uid="{00000000-0009-0000-0000-000003000000}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110"/>
  <sheetViews>
    <sheetView view="pageBreakPreview" topLeftCell="A4" zoomScale="60" zoomScaleNormal="100" workbookViewId="0">
      <selection activeCell="H28" sqref="H28:I28"/>
    </sheetView>
  </sheetViews>
  <sheetFormatPr defaultColWidth="9.125" defaultRowHeight="18" x14ac:dyDescent="0.25"/>
  <cols>
    <col min="1" max="1" width="9.125" style="1"/>
    <col min="2" max="2" width="6" style="1" customWidth="1"/>
    <col min="3" max="3" width="13.125" style="1" customWidth="1"/>
    <col min="4" max="4" width="5.875" style="1" customWidth="1"/>
    <col min="5" max="5" width="12.25" style="1" customWidth="1"/>
    <col min="6" max="6" width="5.875" style="1" customWidth="1"/>
    <col min="7" max="7" width="13.25" style="1" customWidth="1"/>
    <col min="8" max="8" width="5.875" style="1" customWidth="1"/>
    <col min="9" max="9" width="9.25" style="1" customWidth="1"/>
    <col min="10" max="10" width="18" style="1" customWidth="1"/>
    <col min="11" max="11" width="19.875" style="1" customWidth="1"/>
    <col min="12" max="16384" width="9.125" style="1"/>
  </cols>
  <sheetData>
    <row r="1" spans="2:12" ht="8.25" customHeight="1" thickBot="1" x14ac:dyDescent="0.3"/>
    <row r="2" spans="2:12" ht="33" customHeight="1" thickBot="1" x14ac:dyDescent="0.3">
      <c r="B2" s="164" t="s">
        <v>473</v>
      </c>
      <c r="C2" s="164"/>
      <c r="D2" s="164"/>
      <c r="E2" s="164"/>
      <c r="F2" s="164"/>
      <c r="G2"/>
      <c r="H2"/>
      <c r="I2"/>
      <c r="J2" s="158" t="s">
        <v>486</v>
      </c>
      <c r="K2" s="159"/>
      <c r="L2"/>
    </row>
    <row r="3" spans="2:12" ht="18.75" thickBot="1" x14ac:dyDescent="0.3">
      <c r="B3" s="1" t="s">
        <v>478</v>
      </c>
      <c r="C3" s="28"/>
      <c r="D3" s="1" t="s">
        <v>21</v>
      </c>
      <c r="E3" s="28"/>
      <c r="F3" s="1" t="s">
        <v>22</v>
      </c>
      <c r="G3" s="28"/>
      <c r="H3" s="1" t="s">
        <v>23</v>
      </c>
      <c r="I3" s="28"/>
      <c r="J3" s="1" t="s">
        <v>495</v>
      </c>
    </row>
    <row r="4" spans="2:12" x14ac:dyDescent="0.25">
      <c r="B4" s="1" t="s">
        <v>469</v>
      </c>
      <c r="D4" s="148"/>
      <c r="E4" s="148"/>
      <c r="F4" s="1" t="s">
        <v>470</v>
      </c>
      <c r="H4" s="148"/>
      <c r="I4" s="148"/>
      <c r="J4" s="160"/>
      <c r="K4" s="161"/>
    </row>
    <row r="5" spans="2:12" ht="18.75" thickBot="1" x14ac:dyDescent="0.3">
      <c r="B5" s="1" t="s">
        <v>468</v>
      </c>
      <c r="D5" s="143"/>
      <c r="E5" s="143"/>
      <c r="F5" s="1" t="s">
        <v>467</v>
      </c>
      <c r="H5" s="143"/>
      <c r="I5" s="143"/>
      <c r="J5" s="162"/>
      <c r="K5" s="163"/>
    </row>
    <row r="6" spans="2:12" x14ac:dyDescent="0.25">
      <c r="B6" s="1" t="s">
        <v>471</v>
      </c>
      <c r="D6" s="148"/>
      <c r="E6" s="148"/>
      <c r="F6" s="148"/>
      <c r="G6" s="148"/>
      <c r="H6" s="147" t="s">
        <v>479</v>
      </c>
      <c r="I6" s="147"/>
      <c r="J6" s="147"/>
    </row>
    <row r="7" spans="2:12" x14ac:dyDescent="0.25">
      <c r="B7" s="1" t="s">
        <v>472</v>
      </c>
      <c r="D7" s="143"/>
      <c r="E7" s="143"/>
      <c r="F7" s="143"/>
      <c r="G7" s="143"/>
      <c r="H7" s="147"/>
      <c r="I7" s="147"/>
      <c r="J7" s="147"/>
    </row>
    <row r="8" spans="2:12" ht="5.25" customHeight="1" x14ac:dyDescent="0.25">
      <c r="D8" s="29"/>
      <c r="E8" s="29"/>
      <c r="F8" s="29"/>
      <c r="G8" s="29"/>
    </row>
    <row r="9" spans="2:12" x14ac:dyDescent="0.25">
      <c r="B9" s="32" t="s">
        <v>477</v>
      </c>
      <c r="C9" s="142" t="s">
        <v>460</v>
      </c>
      <c r="D9" s="143"/>
      <c r="E9" s="144"/>
      <c r="F9" s="142" t="s">
        <v>461</v>
      </c>
      <c r="G9" s="144"/>
      <c r="H9" s="142" t="s">
        <v>462</v>
      </c>
      <c r="I9" s="144"/>
      <c r="J9" s="32" t="s">
        <v>484</v>
      </c>
      <c r="K9" s="31" t="s">
        <v>475</v>
      </c>
    </row>
    <row r="10" spans="2:12" x14ac:dyDescent="0.25">
      <c r="B10" s="31"/>
      <c r="C10" s="142"/>
      <c r="D10" s="143"/>
      <c r="E10" s="144"/>
      <c r="F10" s="142"/>
      <c r="G10" s="144"/>
      <c r="H10" s="145"/>
      <c r="I10" s="146"/>
      <c r="J10" s="31"/>
      <c r="K10" s="31"/>
    </row>
    <row r="11" spans="2:12" x14ac:dyDescent="0.25">
      <c r="B11" s="31"/>
      <c r="C11" s="142"/>
      <c r="D11" s="143"/>
      <c r="E11" s="144"/>
      <c r="F11" s="142"/>
      <c r="G11" s="144"/>
      <c r="H11" s="145"/>
      <c r="I11" s="146"/>
      <c r="J11" s="31"/>
      <c r="K11" s="31"/>
    </row>
    <row r="12" spans="2:12" x14ac:dyDescent="0.25">
      <c r="B12" s="31"/>
      <c r="C12" s="142"/>
      <c r="D12" s="143"/>
      <c r="E12" s="144"/>
      <c r="F12" s="142"/>
      <c r="G12" s="144"/>
      <c r="H12" s="145"/>
      <c r="I12" s="146"/>
      <c r="J12" s="2"/>
      <c r="K12" s="2"/>
    </row>
    <row r="13" spans="2:12" x14ac:dyDescent="0.25">
      <c r="B13" s="31"/>
      <c r="C13" s="142"/>
      <c r="D13" s="143"/>
      <c r="E13" s="144"/>
      <c r="F13" s="142"/>
      <c r="G13" s="144"/>
      <c r="H13" s="145"/>
      <c r="I13" s="146"/>
      <c r="J13" s="2"/>
      <c r="K13" s="2"/>
    </row>
    <row r="14" spans="2:12" x14ac:dyDescent="0.25">
      <c r="B14" s="31"/>
      <c r="C14" s="142"/>
      <c r="D14" s="143"/>
      <c r="E14" s="144"/>
      <c r="F14" s="142"/>
      <c r="G14" s="144"/>
      <c r="H14" s="145"/>
      <c r="I14" s="146"/>
      <c r="J14" s="2"/>
      <c r="K14" s="2"/>
    </row>
    <row r="15" spans="2:12" x14ac:dyDescent="0.25">
      <c r="B15" s="31"/>
      <c r="C15" s="142"/>
      <c r="D15" s="143"/>
      <c r="E15" s="144"/>
      <c r="F15" s="142"/>
      <c r="G15" s="144"/>
      <c r="H15" s="145"/>
      <c r="I15" s="146"/>
      <c r="J15" s="2"/>
      <c r="K15" s="2"/>
    </row>
    <row r="16" spans="2:12" x14ac:dyDescent="0.25">
      <c r="B16" s="31"/>
      <c r="C16" s="142"/>
      <c r="D16" s="143"/>
      <c r="E16" s="144"/>
      <c r="F16" s="142"/>
      <c r="G16" s="144"/>
      <c r="H16" s="145"/>
      <c r="I16" s="146"/>
      <c r="J16" s="2"/>
      <c r="K16" s="2"/>
    </row>
    <row r="17" spans="2:13" x14ac:dyDescent="0.25">
      <c r="B17" s="31"/>
      <c r="C17" s="142"/>
      <c r="D17" s="143"/>
      <c r="E17" s="144"/>
      <c r="F17" s="142"/>
      <c r="G17" s="144"/>
      <c r="H17" s="145"/>
      <c r="I17" s="146"/>
      <c r="J17" s="2"/>
      <c r="K17" s="2"/>
    </row>
    <row r="18" spans="2:13" x14ac:dyDescent="0.25">
      <c r="B18" s="31"/>
      <c r="C18" s="142"/>
      <c r="D18" s="143"/>
      <c r="E18" s="144"/>
      <c r="F18" s="142"/>
      <c r="G18" s="144"/>
      <c r="H18" s="145"/>
      <c r="I18" s="146"/>
      <c r="J18" s="2"/>
      <c r="K18" s="2"/>
    </row>
    <row r="19" spans="2:13" x14ac:dyDescent="0.25">
      <c r="B19" s="31"/>
      <c r="C19" s="142"/>
      <c r="D19" s="143"/>
      <c r="E19" s="144"/>
      <c r="F19" s="142"/>
      <c r="G19" s="144"/>
      <c r="H19" s="145"/>
      <c r="I19" s="146"/>
      <c r="J19" s="31"/>
      <c r="K19" s="31"/>
    </row>
    <row r="20" spans="2:13" x14ac:dyDescent="0.25">
      <c r="B20" s="31"/>
      <c r="C20" s="142"/>
      <c r="D20" s="143"/>
      <c r="E20" s="144"/>
      <c r="F20" s="142"/>
      <c r="G20" s="144"/>
      <c r="H20" s="145"/>
      <c r="I20" s="146"/>
      <c r="J20" s="31"/>
      <c r="K20" s="31"/>
    </row>
    <row r="21" spans="2:13" x14ac:dyDescent="0.25">
      <c r="B21" s="31"/>
      <c r="C21" s="142"/>
      <c r="D21" s="143"/>
      <c r="E21" s="144"/>
      <c r="F21" s="142"/>
      <c r="G21" s="144"/>
      <c r="H21" s="145"/>
      <c r="I21" s="146"/>
      <c r="J21" s="31"/>
      <c r="K21" s="31"/>
    </row>
    <row r="22" spans="2:13" ht="18.75" thickBot="1" x14ac:dyDescent="0.3">
      <c r="B22" s="149" t="s">
        <v>483</v>
      </c>
      <c r="C22" s="150"/>
      <c r="D22" s="150"/>
      <c r="E22" s="151"/>
      <c r="F22" s="165" t="s">
        <v>474</v>
      </c>
      <c r="G22" s="166"/>
      <c r="H22" s="167"/>
      <c r="I22" s="167"/>
      <c r="J22" s="1" t="s">
        <v>476</v>
      </c>
    </row>
    <row r="23" spans="2:13" ht="18.75" thickTop="1" x14ac:dyDescent="0.25">
      <c r="B23" s="152"/>
      <c r="C23" s="153"/>
      <c r="D23" s="153"/>
      <c r="E23" s="154"/>
      <c r="F23" s="30" t="s">
        <v>480</v>
      </c>
      <c r="G23" s="30"/>
      <c r="H23" s="30"/>
      <c r="I23" s="30"/>
      <c r="J23" s="30"/>
    </row>
    <row r="24" spans="2:13" x14ac:dyDescent="0.25">
      <c r="B24" s="155"/>
      <c r="C24" s="156"/>
      <c r="D24" s="156"/>
      <c r="E24" s="157"/>
      <c r="F24" s="30"/>
      <c r="G24" s="27" t="s">
        <v>481</v>
      </c>
      <c r="H24" s="30" t="s">
        <v>482</v>
      </c>
      <c r="I24" s="30"/>
      <c r="J24" s="30"/>
    </row>
    <row r="25" spans="2:13" ht="87" customHeight="1" thickBot="1" x14ac:dyDescent="0.3">
      <c r="B25"/>
      <c r="C25"/>
      <c r="D25"/>
      <c r="E25"/>
      <c r="F25"/>
      <c r="G25"/>
      <c r="H25"/>
      <c r="I25"/>
      <c r="J25"/>
      <c r="K25"/>
      <c r="L25"/>
      <c r="M25"/>
    </row>
    <row r="26" spans="2:13" ht="33" customHeight="1" thickBot="1" x14ac:dyDescent="0.3">
      <c r="B26" s="164" t="s">
        <v>473</v>
      </c>
      <c r="C26" s="164"/>
      <c r="D26" s="164"/>
      <c r="E26" s="164"/>
      <c r="F26" s="164"/>
      <c r="G26"/>
      <c r="H26"/>
      <c r="I26"/>
      <c r="J26" s="158" t="s">
        <v>486</v>
      </c>
      <c r="K26" s="159"/>
      <c r="L26"/>
      <c r="M26"/>
    </row>
    <row r="27" spans="2:13" ht="18.75" thickBot="1" x14ac:dyDescent="0.3">
      <c r="B27" s="1" t="s">
        <v>478</v>
      </c>
      <c r="C27" s="28"/>
      <c r="D27" s="1" t="s">
        <v>21</v>
      </c>
      <c r="E27" s="28"/>
      <c r="F27" s="1" t="s">
        <v>22</v>
      </c>
      <c r="G27" s="28"/>
      <c r="H27" s="1" t="s">
        <v>23</v>
      </c>
      <c r="I27" s="28"/>
      <c r="J27" s="1" t="s">
        <v>495</v>
      </c>
      <c r="L27"/>
      <c r="M27"/>
    </row>
    <row r="28" spans="2:13" x14ac:dyDescent="0.25">
      <c r="B28" s="1" t="s">
        <v>469</v>
      </c>
      <c r="D28" s="148"/>
      <c r="E28" s="148"/>
      <c r="F28" s="1" t="s">
        <v>470</v>
      </c>
      <c r="H28" s="148"/>
      <c r="I28" s="148"/>
      <c r="J28" s="160"/>
      <c r="K28" s="161"/>
      <c r="L28"/>
      <c r="M28"/>
    </row>
    <row r="29" spans="2:13" ht="18.75" thickBot="1" x14ac:dyDescent="0.3">
      <c r="B29" s="1" t="s">
        <v>468</v>
      </c>
      <c r="D29" s="143"/>
      <c r="E29" s="143"/>
      <c r="F29" s="1" t="s">
        <v>467</v>
      </c>
      <c r="H29" s="143"/>
      <c r="I29" s="143"/>
      <c r="J29" s="162"/>
      <c r="K29" s="163"/>
      <c r="L29"/>
      <c r="M29"/>
    </row>
    <row r="30" spans="2:13" x14ac:dyDescent="0.25">
      <c r="B30" s="1" t="s">
        <v>471</v>
      </c>
      <c r="D30" s="148"/>
      <c r="E30" s="148"/>
      <c r="F30" s="148"/>
      <c r="G30" s="148"/>
      <c r="H30" s="147" t="s">
        <v>479</v>
      </c>
      <c r="I30" s="147"/>
      <c r="J30" s="147"/>
      <c r="K30"/>
      <c r="L30"/>
      <c r="M30"/>
    </row>
    <row r="31" spans="2:13" x14ac:dyDescent="0.25">
      <c r="B31" s="1" t="s">
        <v>472</v>
      </c>
      <c r="D31" s="143"/>
      <c r="E31" s="143"/>
      <c r="F31" s="143"/>
      <c r="G31" s="143"/>
      <c r="H31" s="147"/>
      <c r="I31" s="147"/>
      <c r="J31" s="147"/>
      <c r="K31"/>
      <c r="L31"/>
      <c r="M31"/>
    </row>
    <row r="32" spans="2:13" ht="5.25" customHeight="1" x14ac:dyDescent="0.25">
      <c r="D32" s="29"/>
      <c r="E32" s="29"/>
      <c r="F32" s="29"/>
      <c r="G32" s="29"/>
      <c r="K32"/>
      <c r="L32"/>
      <c r="M32"/>
    </row>
    <row r="33" spans="1:13" x14ac:dyDescent="0.25">
      <c r="B33" s="32" t="s">
        <v>477</v>
      </c>
      <c r="C33" s="142" t="s">
        <v>460</v>
      </c>
      <c r="D33" s="143"/>
      <c r="E33" s="144"/>
      <c r="F33" s="142" t="s">
        <v>461</v>
      </c>
      <c r="G33" s="144"/>
      <c r="H33" s="142" t="s">
        <v>462</v>
      </c>
      <c r="I33" s="144"/>
      <c r="J33" s="32" t="s">
        <v>484</v>
      </c>
      <c r="K33" s="31" t="s">
        <v>475</v>
      </c>
      <c r="L33"/>
      <c r="M33"/>
    </row>
    <row r="34" spans="1:13" x14ac:dyDescent="0.25">
      <c r="B34" s="31"/>
      <c r="C34" s="142"/>
      <c r="D34" s="143"/>
      <c r="E34" s="144"/>
      <c r="F34" s="142"/>
      <c r="G34" s="144"/>
      <c r="H34" s="145"/>
      <c r="I34" s="146"/>
      <c r="J34" s="31"/>
      <c r="K34" s="31"/>
      <c r="L34"/>
      <c r="M34"/>
    </row>
    <row r="35" spans="1:13" x14ac:dyDescent="0.25">
      <c r="B35" s="31"/>
      <c r="C35" s="142"/>
      <c r="D35" s="143"/>
      <c r="E35" s="144"/>
      <c r="F35" s="142"/>
      <c r="G35" s="144"/>
      <c r="H35" s="145"/>
      <c r="I35" s="146"/>
      <c r="J35" s="31"/>
      <c r="K35" s="31"/>
      <c r="L35"/>
      <c r="M35"/>
    </row>
    <row r="36" spans="1:13" x14ac:dyDescent="0.25">
      <c r="B36" s="31"/>
      <c r="C36" s="142"/>
      <c r="D36" s="143"/>
      <c r="E36" s="144"/>
      <c r="F36" s="142"/>
      <c r="G36" s="144"/>
      <c r="H36" s="145"/>
      <c r="I36" s="146"/>
      <c r="J36" s="2"/>
      <c r="K36" s="2"/>
      <c r="L36"/>
      <c r="M36"/>
    </row>
    <row r="37" spans="1:13" x14ac:dyDescent="0.25">
      <c r="B37" s="31"/>
      <c r="C37" s="142"/>
      <c r="D37" s="143"/>
      <c r="E37" s="144"/>
      <c r="F37" s="142"/>
      <c r="G37" s="144"/>
      <c r="H37" s="145"/>
      <c r="I37" s="146"/>
      <c r="J37" s="2"/>
      <c r="K37" s="2"/>
      <c r="L37"/>
      <c r="M37"/>
    </row>
    <row r="38" spans="1:13" x14ac:dyDescent="0.25">
      <c r="A38"/>
      <c r="B38" s="31"/>
      <c r="C38" s="142"/>
      <c r="D38" s="143"/>
      <c r="E38" s="144"/>
      <c r="F38" s="142"/>
      <c r="G38" s="144"/>
      <c r="H38" s="145"/>
      <c r="I38" s="146"/>
      <c r="J38" s="2"/>
      <c r="K38" s="2"/>
      <c r="L38"/>
      <c r="M38"/>
    </row>
    <row r="39" spans="1:13" x14ac:dyDescent="0.25">
      <c r="A39"/>
      <c r="B39" s="31"/>
      <c r="C39" s="142"/>
      <c r="D39" s="143"/>
      <c r="E39" s="144"/>
      <c r="F39" s="142"/>
      <c r="G39" s="144"/>
      <c r="H39" s="145"/>
      <c r="I39" s="146"/>
      <c r="J39" s="2"/>
      <c r="K39" s="2"/>
      <c r="L39"/>
      <c r="M39"/>
    </row>
    <row r="40" spans="1:13" x14ac:dyDescent="0.25">
      <c r="A40"/>
      <c r="B40" s="31"/>
      <c r="C40" s="142"/>
      <c r="D40" s="143"/>
      <c r="E40" s="144"/>
      <c r="F40" s="142"/>
      <c r="G40" s="144"/>
      <c r="H40" s="145"/>
      <c r="I40" s="146"/>
      <c r="J40" s="2"/>
      <c r="K40" s="2"/>
      <c r="L40"/>
      <c r="M40"/>
    </row>
    <row r="41" spans="1:13" x14ac:dyDescent="0.25">
      <c r="A41"/>
      <c r="B41" s="31"/>
      <c r="C41" s="142"/>
      <c r="D41" s="143"/>
      <c r="E41" s="144"/>
      <c r="F41" s="142"/>
      <c r="G41" s="144"/>
      <c r="H41" s="145"/>
      <c r="I41" s="146"/>
      <c r="J41" s="2"/>
      <c r="K41" s="2"/>
      <c r="L41"/>
      <c r="M41"/>
    </row>
    <row r="42" spans="1:13" x14ac:dyDescent="0.25">
      <c r="B42" s="31"/>
      <c r="C42" s="142"/>
      <c r="D42" s="143"/>
      <c r="E42" s="144"/>
      <c r="F42" s="142"/>
      <c r="G42" s="144"/>
      <c r="H42" s="145"/>
      <c r="I42" s="146"/>
      <c r="J42" s="2"/>
      <c r="K42" s="2"/>
      <c r="L42"/>
      <c r="M42"/>
    </row>
    <row r="43" spans="1:13" x14ac:dyDescent="0.25">
      <c r="B43" s="31"/>
      <c r="C43" s="142"/>
      <c r="D43" s="143"/>
      <c r="E43" s="144"/>
      <c r="F43" s="142"/>
      <c r="G43" s="144"/>
      <c r="H43" s="145"/>
      <c r="I43" s="146"/>
      <c r="J43" s="31"/>
      <c r="K43" s="31"/>
      <c r="L43"/>
      <c r="M43"/>
    </row>
    <row r="44" spans="1:13" x14ac:dyDescent="0.25">
      <c r="B44" s="31"/>
      <c r="C44" s="142"/>
      <c r="D44" s="143"/>
      <c r="E44" s="144"/>
      <c r="F44" s="142"/>
      <c r="G44" s="144"/>
      <c r="H44" s="145"/>
      <c r="I44" s="146"/>
      <c r="J44" s="31"/>
      <c r="K44" s="31"/>
      <c r="L44"/>
      <c r="M44"/>
    </row>
    <row r="45" spans="1:13" x14ac:dyDescent="0.25">
      <c r="B45" s="31"/>
      <c r="C45" s="142"/>
      <c r="D45" s="143"/>
      <c r="E45" s="144"/>
      <c r="F45" s="142"/>
      <c r="G45" s="144"/>
      <c r="H45" s="145"/>
      <c r="I45" s="146"/>
      <c r="J45" s="31"/>
      <c r="K45" s="31"/>
      <c r="L45"/>
      <c r="M45"/>
    </row>
    <row r="46" spans="1:13" ht="18.75" thickBot="1" x14ac:dyDescent="0.3">
      <c r="B46" s="149" t="s">
        <v>483</v>
      </c>
      <c r="C46" s="150"/>
      <c r="D46" s="150"/>
      <c r="E46" s="151"/>
      <c r="F46" s="165" t="s">
        <v>474</v>
      </c>
      <c r="G46" s="166"/>
      <c r="H46" s="167"/>
      <c r="I46" s="167"/>
      <c r="J46" s="1" t="s">
        <v>476</v>
      </c>
      <c r="K46"/>
      <c r="L46"/>
      <c r="M46"/>
    </row>
    <row r="47" spans="1:13" ht="18.75" thickTop="1" x14ac:dyDescent="0.25">
      <c r="B47" s="152"/>
      <c r="C47" s="153"/>
      <c r="D47" s="153"/>
      <c r="E47" s="154"/>
      <c r="F47" s="30" t="s">
        <v>480</v>
      </c>
      <c r="G47" s="30"/>
      <c r="H47" s="30"/>
      <c r="I47" s="30"/>
      <c r="J47" s="30"/>
      <c r="K47"/>
      <c r="L47"/>
      <c r="M47"/>
    </row>
    <row r="48" spans="1:13" x14ac:dyDescent="0.25">
      <c r="B48" s="155"/>
      <c r="C48" s="156"/>
      <c r="D48" s="156"/>
      <c r="E48" s="157"/>
      <c r="F48" s="30"/>
      <c r="G48" s="27" t="s">
        <v>481</v>
      </c>
      <c r="H48" s="30" t="s">
        <v>482</v>
      </c>
      <c r="I48" s="30"/>
      <c r="J48" s="30"/>
      <c r="K48"/>
      <c r="L48"/>
      <c r="M48"/>
    </row>
    <row r="49" spans="2:13" x14ac:dyDescent="0.25">
      <c r="B49"/>
      <c r="C49"/>
      <c r="D49"/>
      <c r="E49"/>
      <c r="F49"/>
      <c r="G49"/>
      <c r="H49"/>
      <c r="I49"/>
      <c r="J49"/>
      <c r="K49"/>
      <c r="L49"/>
      <c r="M49"/>
    </row>
    <row r="50" spans="2:13" x14ac:dyDescent="0.25">
      <c r="B50"/>
      <c r="C50"/>
      <c r="D50"/>
      <c r="E50"/>
      <c r="F50"/>
      <c r="G50"/>
      <c r="H50"/>
      <c r="I50"/>
      <c r="J50"/>
      <c r="K50"/>
      <c r="L50"/>
      <c r="M50"/>
    </row>
    <row r="51" spans="2:13" x14ac:dyDescent="0.25">
      <c r="B51"/>
      <c r="C51"/>
      <c r="D51"/>
      <c r="E51"/>
      <c r="F51"/>
      <c r="G51"/>
      <c r="H51"/>
      <c r="I51"/>
      <c r="J51"/>
      <c r="K51"/>
      <c r="L51"/>
      <c r="M51"/>
    </row>
    <row r="52" spans="2:13" x14ac:dyDescent="0.25">
      <c r="B52"/>
      <c r="C52"/>
      <c r="D52"/>
      <c r="E52"/>
      <c r="F52"/>
      <c r="G52"/>
      <c r="H52"/>
      <c r="I52"/>
      <c r="J52"/>
      <c r="K52"/>
      <c r="L52"/>
      <c r="M52"/>
    </row>
    <row r="53" spans="2:13" x14ac:dyDescent="0.25">
      <c r="B53"/>
      <c r="C53"/>
      <c r="D53"/>
      <c r="E53"/>
      <c r="F53"/>
      <c r="G53"/>
      <c r="H53"/>
      <c r="I53"/>
      <c r="J53"/>
      <c r="K53"/>
      <c r="L53"/>
      <c r="M53"/>
    </row>
    <row r="54" spans="2:13" x14ac:dyDescent="0.25">
      <c r="B54"/>
      <c r="C54"/>
      <c r="D54"/>
      <c r="E54"/>
      <c r="F54"/>
      <c r="G54"/>
      <c r="H54"/>
      <c r="I54"/>
      <c r="J54"/>
      <c r="K54"/>
      <c r="L54"/>
      <c r="M54"/>
    </row>
    <row r="55" spans="2:13" x14ac:dyDescent="0.25">
      <c r="B55"/>
      <c r="C55"/>
      <c r="D55"/>
      <c r="E55"/>
      <c r="F55"/>
      <c r="G55"/>
      <c r="H55"/>
      <c r="I55"/>
      <c r="J55"/>
      <c r="K55"/>
      <c r="L55"/>
      <c r="M55"/>
    </row>
    <row r="56" spans="2:13" x14ac:dyDescent="0.25">
      <c r="B56"/>
      <c r="C56"/>
      <c r="D56"/>
      <c r="E56"/>
      <c r="F56"/>
      <c r="G56"/>
      <c r="H56"/>
      <c r="I56"/>
      <c r="J56"/>
      <c r="K56"/>
      <c r="L56"/>
      <c r="M56"/>
    </row>
    <row r="57" spans="2:13" x14ac:dyDescent="0.25">
      <c r="B57"/>
      <c r="C57"/>
      <c r="D57"/>
      <c r="E57"/>
      <c r="F57"/>
      <c r="G57"/>
      <c r="H57"/>
      <c r="I57"/>
      <c r="J57"/>
      <c r="K57"/>
      <c r="L57"/>
      <c r="M57"/>
    </row>
    <row r="58" spans="2:13" x14ac:dyDescent="0.25">
      <c r="B58"/>
      <c r="C58"/>
      <c r="D58"/>
      <c r="E58"/>
      <c r="F58"/>
      <c r="G58"/>
      <c r="H58"/>
      <c r="I58"/>
      <c r="J58"/>
      <c r="K58"/>
      <c r="L58"/>
      <c r="M58"/>
    </row>
    <row r="59" spans="2:13" x14ac:dyDescent="0.25">
      <c r="B59"/>
      <c r="C59"/>
      <c r="D59"/>
      <c r="E59"/>
      <c r="F59"/>
      <c r="G59"/>
      <c r="H59"/>
      <c r="I59"/>
      <c r="J59"/>
      <c r="K59"/>
      <c r="L59"/>
      <c r="M59"/>
    </row>
    <row r="60" spans="2:13" x14ac:dyDescent="0.25">
      <c r="B60"/>
      <c r="C60"/>
      <c r="D60"/>
      <c r="E60"/>
      <c r="F60"/>
      <c r="G60"/>
      <c r="H60"/>
      <c r="I60"/>
      <c r="J60"/>
      <c r="K60"/>
      <c r="L60"/>
      <c r="M60"/>
    </row>
    <row r="61" spans="2:13" x14ac:dyDescent="0.25">
      <c r="B61"/>
      <c r="C61"/>
      <c r="D61"/>
      <c r="E61"/>
      <c r="F61"/>
      <c r="G61"/>
      <c r="H61"/>
      <c r="I61"/>
      <c r="J61"/>
      <c r="K61"/>
      <c r="L61"/>
      <c r="M61"/>
    </row>
    <row r="62" spans="2:13" x14ac:dyDescent="0.25">
      <c r="B62"/>
      <c r="C62"/>
      <c r="D62"/>
      <c r="E62"/>
      <c r="F62"/>
      <c r="G62"/>
      <c r="H62"/>
      <c r="I62"/>
      <c r="J62"/>
      <c r="K62"/>
      <c r="L62"/>
      <c r="M62"/>
    </row>
    <row r="63" spans="2:13" x14ac:dyDescent="0.25">
      <c r="B63"/>
      <c r="C63"/>
      <c r="D63"/>
      <c r="E63"/>
      <c r="F63"/>
      <c r="G63"/>
      <c r="H63"/>
      <c r="I63"/>
      <c r="J63"/>
      <c r="K63"/>
      <c r="L63"/>
      <c r="M63"/>
    </row>
    <row r="64" spans="2:13" x14ac:dyDescent="0.25">
      <c r="B64"/>
      <c r="C64"/>
      <c r="D64"/>
      <c r="E64"/>
      <c r="F64"/>
      <c r="G64"/>
      <c r="H64"/>
      <c r="I64"/>
      <c r="J64"/>
      <c r="K64"/>
      <c r="L64"/>
      <c r="M64"/>
    </row>
    <row r="65" spans="2:13" x14ac:dyDescent="0.25">
      <c r="B65"/>
      <c r="C65"/>
      <c r="D65"/>
      <c r="E65"/>
      <c r="F65"/>
      <c r="G65"/>
      <c r="H65"/>
      <c r="I65"/>
      <c r="J65"/>
      <c r="K65"/>
      <c r="L65"/>
      <c r="M65"/>
    </row>
    <row r="66" spans="2:13" x14ac:dyDescent="0.25">
      <c r="B66"/>
      <c r="C66"/>
      <c r="D66"/>
      <c r="E66"/>
      <c r="F66"/>
      <c r="G66"/>
      <c r="H66"/>
      <c r="I66"/>
      <c r="J66"/>
      <c r="K66"/>
      <c r="L66"/>
      <c r="M66"/>
    </row>
    <row r="67" spans="2:13" x14ac:dyDescent="0.25">
      <c r="B67"/>
      <c r="C67"/>
      <c r="D67"/>
      <c r="E67"/>
      <c r="F67"/>
      <c r="G67"/>
      <c r="H67"/>
      <c r="I67"/>
      <c r="J67"/>
      <c r="K67"/>
      <c r="L67"/>
      <c r="M67"/>
    </row>
    <row r="68" spans="2:13" x14ac:dyDescent="0.25">
      <c r="B68"/>
      <c r="C68"/>
      <c r="D68"/>
      <c r="E68"/>
      <c r="F68"/>
      <c r="G68"/>
      <c r="H68"/>
      <c r="I68"/>
      <c r="J68"/>
      <c r="K68"/>
      <c r="L68"/>
      <c r="M68"/>
    </row>
    <row r="69" spans="2:13" x14ac:dyDescent="0.25">
      <c r="B69"/>
      <c r="C69"/>
      <c r="D69"/>
      <c r="E69"/>
      <c r="F69"/>
      <c r="G69"/>
      <c r="H69"/>
      <c r="I69"/>
      <c r="J69"/>
      <c r="K69"/>
      <c r="L69"/>
      <c r="M69"/>
    </row>
    <row r="70" spans="2:13" x14ac:dyDescent="0.25">
      <c r="B70"/>
      <c r="C70"/>
      <c r="D70"/>
      <c r="E70"/>
      <c r="F70"/>
      <c r="G70"/>
      <c r="H70"/>
      <c r="I70"/>
      <c r="J70"/>
      <c r="K70"/>
      <c r="L70"/>
      <c r="M70"/>
    </row>
    <row r="71" spans="2:13" x14ac:dyDescent="0.25">
      <c r="B71"/>
      <c r="C71"/>
      <c r="D71"/>
      <c r="E71"/>
      <c r="F71"/>
      <c r="G71"/>
      <c r="H71"/>
      <c r="I71"/>
      <c r="J71"/>
      <c r="K71"/>
      <c r="L71"/>
      <c r="M71"/>
    </row>
    <row r="72" spans="2:13" x14ac:dyDescent="0.25">
      <c r="B72"/>
      <c r="C72"/>
      <c r="D72"/>
      <c r="E72"/>
      <c r="F72"/>
      <c r="G72"/>
      <c r="H72"/>
      <c r="I72"/>
      <c r="J72"/>
      <c r="K72"/>
      <c r="L72"/>
      <c r="M72"/>
    </row>
    <row r="73" spans="2:13" x14ac:dyDescent="0.25">
      <c r="B73"/>
      <c r="C73"/>
      <c r="D73"/>
      <c r="E73"/>
      <c r="F73"/>
      <c r="G73"/>
      <c r="H73"/>
      <c r="I73"/>
      <c r="J73"/>
      <c r="K73"/>
      <c r="L73"/>
      <c r="M73"/>
    </row>
    <row r="74" spans="2:13" x14ac:dyDescent="0.25">
      <c r="B74"/>
      <c r="C74"/>
      <c r="D74"/>
      <c r="E74"/>
      <c r="F74"/>
      <c r="G74"/>
      <c r="H74"/>
      <c r="I74"/>
      <c r="J74"/>
      <c r="K74"/>
      <c r="L74"/>
      <c r="M74"/>
    </row>
    <row r="75" spans="2:13" x14ac:dyDescent="0.25">
      <c r="B75"/>
      <c r="C75"/>
      <c r="D75"/>
      <c r="E75"/>
      <c r="F75"/>
      <c r="G75"/>
      <c r="H75"/>
      <c r="I75"/>
      <c r="J75"/>
      <c r="K75"/>
      <c r="L75"/>
      <c r="M75"/>
    </row>
    <row r="76" spans="2:13" x14ac:dyDescent="0.25">
      <c r="B76"/>
      <c r="C76"/>
      <c r="D76"/>
      <c r="E76"/>
      <c r="F76"/>
      <c r="G76"/>
      <c r="H76"/>
      <c r="I76"/>
      <c r="J76"/>
      <c r="K76"/>
      <c r="L76"/>
      <c r="M76"/>
    </row>
    <row r="77" spans="2:13" x14ac:dyDescent="0.25">
      <c r="B77"/>
      <c r="C77"/>
      <c r="D77"/>
      <c r="E77"/>
      <c r="F77"/>
      <c r="G77"/>
      <c r="H77"/>
      <c r="I77"/>
      <c r="J77"/>
      <c r="K77"/>
      <c r="L77"/>
      <c r="M77"/>
    </row>
    <row r="78" spans="2:13" x14ac:dyDescent="0.25">
      <c r="B78"/>
      <c r="C78"/>
      <c r="D78"/>
      <c r="E78"/>
      <c r="F78"/>
      <c r="G78"/>
      <c r="H78"/>
      <c r="I78"/>
      <c r="J78"/>
      <c r="K78"/>
      <c r="L78"/>
      <c r="M78"/>
    </row>
    <row r="79" spans="2:13" x14ac:dyDescent="0.25">
      <c r="B79"/>
      <c r="C79"/>
      <c r="D79"/>
      <c r="E79"/>
      <c r="F79"/>
      <c r="G79"/>
      <c r="H79"/>
      <c r="I79"/>
      <c r="J79"/>
      <c r="K79"/>
      <c r="L79"/>
      <c r="M79"/>
    </row>
    <row r="80" spans="2:13" x14ac:dyDescent="0.25">
      <c r="B80"/>
      <c r="C80"/>
      <c r="D80"/>
      <c r="E80"/>
      <c r="F80"/>
      <c r="G80"/>
      <c r="H80"/>
      <c r="I80"/>
      <c r="J80"/>
      <c r="K80"/>
      <c r="L80"/>
      <c r="M80"/>
    </row>
    <row r="81" spans="2:13" x14ac:dyDescent="0.25">
      <c r="B81"/>
      <c r="C81"/>
      <c r="D81"/>
      <c r="E81"/>
      <c r="F81"/>
      <c r="G81"/>
      <c r="H81"/>
      <c r="I81"/>
      <c r="J81"/>
      <c r="K81"/>
      <c r="L81"/>
      <c r="M81"/>
    </row>
    <row r="82" spans="2:13" x14ac:dyDescent="0.25">
      <c r="B82"/>
      <c r="C82"/>
      <c r="D82"/>
      <c r="E82"/>
      <c r="F82"/>
      <c r="G82"/>
      <c r="H82"/>
      <c r="I82"/>
      <c r="J82"/>
      <c r="K82"/>
      <c r="L82"/>
      <c r="M82"/>
    </row>
    <row r="83" spans="2:13" x14ac:dyDescent="0.25">
      <c r="B83"/>
      <c r="C83"/>
      <c r="D83"/>
      <c r="E83"/>
      <c r="F83"/>
      <c r="G83"/>
      <c r="H83"/>
      <c r="I83"/>
      <c r="J83"/>
      <c r="K83"/>
      <c r="L83"/>
      <c r="M83"/>
    </row>
    <row r="84" spans="2:13" x14ac:dyDescent="0.25">
      <c r="B84"/>
      <c r="C84"/>
      <c r="D84"/>
      <c r="E84"/>
      <c r="F84"/>
      <c r="G84"/>
      <c r="H84"/>
      <c r="I84"/>
      <c r="J84"/>
      <c r="K84"/>
      <c r="L84"/>
      <c r="M84"/>
    </row>
    <row r="85" spans="2:13" x14ac:dyDescent="0.25">
      <c r="B85"/>
      <c r="C85"/>
      <c r="D85"/>
      <c r="E85"/>
      <c r="F85"/>
      <c r="G85"/>
      <c r="H85"/>
      <c r="I85"/>
      <c r="J85"/>
      <c r="K85"/>
      <c r="L85"/>
      <c r="M85"/>
    </row>
    <row r="86" spans="2:13" x14ac:dyDescent="0.25">
      <c r="B86"/>
      <c r="C86"/>
      <c r="D86"/>
      <c r="E86"/>
      <c r="F86"/>
      <c r="G86"/>
      <c r="H86"/>
      <c r="I86"/>
      <c r="J86"/>
      <c r="K86"/>
      <c r="L86"/>
      <c r="M86"/>
    </row>
    <row r="87" spans="2:13" x14ac:dyDescent="0.25">
      <c r="B87"/>
      <c r="C87"/>
      <c r="D87"/>
      <c r="E87"/>
      <c r="F87"/>
      <c r="G87"/>
      <c r="H87"/>
      <c r="I87"/>
      <c r="J87"/>
      <c r="K87"/>
      <c r="L87"/>
      <c r="M87"/>
    </row>
    <row r="88" spans="2:13" x14ac:dyDescent="0.25">
      <c r="B88"/>
      <c r="C88"/>
      <c r="D88"/>
      <c r="E88"/>
      <c r="F88"/>
      <c r="G88"/>
      <c r="H88"/>
      <c r="I88"/>
      <c r="J88"/>
      <c r="K88"/>
      <c r="L88"/>
      <c r="M88"/>
    </row>
    <row r="89" spans="2:13" x14ac:dyDescent="0.25">
      <c r="B89"/>
      <c r="C89"/>
      <c r="D89"/>
      <c r="E89"/>
      <c r="F89"/>
      <c r="G89"/>
      <c r="H89"/>
      <c r="I89"/>
      <c r="J89"/>
      <c r="K89"/>
      <c r="L89"/>
      <c r="M89"/>
    </row>
    <row r="90" spans="2:13" x14ac:dyDescent="0.25">
      <c r="B90"/>
      <c r="C90"/>
      <c r="D90"/>
      <c r="E90"/>
      <c r="F90"/>
      <c r="G90"/>
      <c r="H90"/>
      <c r="I90"/>
      <c r="J90"/>
      <c r="K90"/>
      <c r="L90"/>
      <c r="M90"/>
    </row>
    <row r="91" spans="2:13" x14ac:dyDescent="0.25">
      <c r="B91"/>
      <c r="C91"/>
      <c r="D91"/>
      <c r="E91"/>
      <c r="F91"/>
      <c r="G91"/>
      <c r="H91"/>
      <c r="I91"/>
      <c r="J91"/>
      <c r="K91"/>
      <c r="L91"/>
      <c r="M91"/>
    </row>
    <row r="92" spans="2:13" x14ac:dyDescent="0.25">
      <c r="B92"/>
      <c r="C92"/>
      <c r="D92"/>
      <c r="E92"/>
      <c r="F92"/>
      <c r="G92"/>
      <c r="H92"/>
      <c r="I92"/>
      <c r="J92"/>
      <c r="K92"/>
      <c r="L92"/>
      <c r="M92"/>
    </row>
    <row r="93" spans="2:13" x14ac:dyDescent="0.25">
      <c r="B93"/>
      <c r="C93"/>
      <c r="D93"/>
      <c r="E93"/>
      <c r="F93"/>
      <c r="G93"/>
      <c r="H93"/>
      <c r="I93"/>
      <c r="J93"/>
      <c r="K93"/>
      <c r="L93"/>
      <c r="M93"/>
    </row>
    <row r="94" spans="2:13" x14ac:dyDescent="0.25">
      <c r="B94"/>
      <c r="C94"/>
      <c r="D94"/>
      <c r="E94"/>
      <c r="F94"/>
      <c r="G94"/>
      <c r="H94"/>
      <c r="I94"/>
      <c r="J94"/>
      <c r="K94"/>
      <c r="L94"/>
      <c r="M94"/>
    </row>
    <row r="95" spans="2:13" x14ac:dyDescent="0.25">
      <c r="B95"/>
      <c r="C95"/>
      <c r="D95"/>
      <c r="E95"/>
      <c r="F95"/>
      <c r="G95"/>
      <c r="H95"/>
      <c r="I95"/>
      <c r="J95"/>
      <c r="K95"/>
      <c r="L95"/>
      <c r="M95"/>
    </row>
    <row r="96" spans="2:13" x14ac:dyDescent="0.25">
      <c r="B96"/>
      <c r="C96"/>
      <c r="D96"/>
      <c r="E96"/>
      <c r="F96"/>
      <c r="G96"/>
      <c r="H96"/>
      <c r="I96"/>
      <c r="J96"/>
      <c r="K96"/>
      <c r="L96"/>
      <c r="M96"/>
    </row>
    <row r="97" spans="2:13" x14ac:dyDescent="0.25">
      <c r="B97"/>
      <c r="C97"/>
      <c r="D97"/>
      <c r="E97"/>
      <c r="F97"/>
      <c r="G97"/>
      <c r="H97"/>
      <c r="I97"/>
      <c r="J97"/>
      <c r="K97"/>
      <c r="L97"/>
      <c r="M97"/>
    </row>
    <row r="98" spans="2:13" x14ac:dyDescent="0.25">
      <c r="B98"/>
      <c r="C98"/>
      <c r="D98"/>
      <c r="E98"/>
      <c r="F98"/>
      <c r="G98"/>
      <c r="H98"/>
      <c r="I98"/>
      <c r="J98"/>
      <c r="K98"/>
      <c r="L98"/>
      <c r="M98"/>
    </row>
    <row r="99" spans="2:13" x14ac:dyDescent="0.25">
      <c r="B99"/>
      <c r="C99"/>
      <c r="D99"/>
      <c r="E99"/>
      <c r="F99"/>
      <c r="G99"/>
      <c r="H99"/>
      <c r="I99"/>
      <c r="J99"/>
      <c r="K99"/>
      <c r="L99"/>
      <c r="M99"/>
    </row>
    <row r="100" spans="2:13" x14ac:dyDescent="0.25">
      <c r="B100"/>
      <c r="C100"/>
      <c r="D100"/>
      <c r="E100"/>
      <c r="F100"/>
      <c r="G100"/>
      <c r="H100"/>
      <c r="I100"/>
      <c r="J100"/>
      <c r="K100"/>
      <c r="L100"/>
      <c r="M100"/>
    </row>
    <row r="101" spans="2:13" x14ac:dyDescent="0.25">
      <c r="B101"/>
      <c r="C101"/>
      <c r="D101"/>
      <c r="E101"/>
      <c r="F101"/>
      <c r="G101"/>
      <c r="H101"/>
      <c r="I101"/>
      <c r="J101"/>
      <c r="K101"/>
      <c r="L101"/>
      <c r="M101"/>
    </row>
    <row r="102" spans="2:13" x14ac:dyDescent="0.25">
      <c r="B102"/>
      <c r="C102"/>
      <c r="D102"/>
      <c r="E102"/>
      <c r="F102"/>
      <c r="G102"/>
      <c r="H102"/>
      <c r="I102"/>
      <c r="J102"/>
      <c r="K102"/>
      <c r="L102"/>
      <c r="M102"/>
    </row>
    <row r="103" spans="2:13" x14ac:dyDescent="0.25">
      <c r="B103"/>
      <c r="C103"/>
      <c r="D103"/>
      <c r="E103"/>
      <c r="F103"/>
      <c r="G103"/>
      <c r="H103"/>
      <c r="I103"/>
      <c r="J103"/>
      <c r="K103"/>
      <c r="L103"/>
      <c r="M103"/>
    </row>
    <row r="104" spans="2:13" x14ac:dyDescent="0.25">
      <c r="B104"/>
      <c r="C104"/>
      <c r="D104"/>
      <c r="E104"/>
      <c r="F104"/>
      <c r="G104"/>
      <c r="H104"/>
      <c r="I104"/>
      <c r="J104"/>
      <c r="K104"/>
      <c r="L104"/>
      <c r="M104"/>
    </row>
    <row r="105" spans="2:13" x14ac:dyDescent="0.25">
      <c r="B105"/>
      <c r="C105"/>
      <c r="D105"/>
      <c r="E105"/>
      <c r="F105"/>
      <c r="G105"/>
      <c r="H105"/>
      <c r="I105"/>
      <c r="J105"/>
      <c r="K105"/>
      <c r="L105"/>
      <c r="M105"/>
    </row>
    <row r="106" spans="2:13" x14ac:dyDescent="0.25">
      <c r="B106"/>
      <c r="C106"/>
      <c r="D106"/>
      <c r="E106"/>
      <c r="F106"/>
      <c r="G106"/>
      <c r="H106"/>
      <c r="I106"/>
      <c r="J106"/>
      <c r="K106"/>
      <c r="L106"/>
      <c r="M106"/>
    </row>
    <row r="107" spans="2:13" x14ac:dyDescent="0.25">
      <c r="B107"/>
      <c r="C107"/>
      <c r="D107"/>
      <c r="E107"/>
      <c r="F107"/>
      <c r="G107"/>
      <c r="H107"/>
      <c r="I107"/>
      <c r="J107"/>
      <c r="K107"/>
      <c r="L107"/>
      <c r="M107"/>
    </row>
    <row r="108" spans="2:13" x14ac:dyDescent="0.25">
      <c r="B108"/>
      <c r="C108"/>
      <c r="D108"/>
      <c r="E108"/>
      <c r="F108"/>
      <c r="G108"/>
      <c r="H108"/>
      <c r="I108"/>
      <c r="J108"/>
      <c r="K108"/>
      <c r="L108"/>
      <c r="M108"/>
    </row>
    <row r="109" spans="2:13" x14ac:dyDescent="0.25">
      <c r="B109"/>
      <c r="C109"/>
      <c r="D109"/>
      <c r="E109"/>
      <c r="F109"/>
      <c r="G109"/>
      <c r="H109"/>
      <c r="I109"/>
      <c r="J109"/>
      <c r="K109"/>
      <c r="L109"/>
      <c r="M109"/>
    </row>
    <row r="110" spans="2:13" x14ac:dyDescent="0.25">
      <c r="B110"/>
      <c r="C110"/>
      <c r="D110"/>
      <c r="E110"/>
      <c r="F110"/>
      <c r="G110"/>
      <c r="H110"/>
      <c r="I110"/>
      <c r="J110"/>
      <c r="K110"/>
      <c r="L110"/>
      <c r="M110"/>
    </row>
  </sheetData>
  <mergeCells count="104">
    <mergeCell ref="C11:E11"/>
    <mergeCell ref="F11:G11"/>
    <mergeCell ref="H11:I11"/>
    <mergeCell ref="C12:E12"/>
    <mergeCell ref="F12:G12"/>
    <mergeCell ref="H12:I12"/>
    <mergeCell ref="B2:F2"/>
    <mergeCell ref="C9:E9"/>
    <mergeCell ref="F9:G9"/>
    <mergeCell ref="H9:I9"/>
    <mergeCell ref="C10:E10"/>
    <mergeCell ref="F10:G10"/>
    <mergeCell ref="H10:I10"/>
    <mergeCell ref="D4:E4"/>
    <mergeCell ref="D5:E5"/>
    <mergeCell ref="H4:I4"/>
    <mergeCell ref="H5:I5"/>
    <mergeCell ref="D6:G6"/>
    <mergeCell ref="D7:G7"/>
    <mergeCell ref="C18:E18"/>
    <mergeCell ref="F18:G18"/>
    <mergeCell ref="H18:I18"/>
    <mergeCell ref="C13:E13"/>
    <mergeCell ref="F13:G13"/>
    <mergeCell ref="H13:I13"/>
    <mergeCell ref="C14:E14"/>
    <mergeCell ref="F14:G14"/>
    <mergeCell ref="H14:I14"/>
    <mergeCell ref="C15:E15"/>
    <mergeCell ref="F15:G15"/>
    <mergeCell ref="H15:I15"/>
    <mergeCell ref="C16:E16"/>
    <mergeCell ref="F16:G16"/>
    <mergeCell ref="H16:I16"/>
    <mergeCell ref="C17:E17"/>
    <mergeCell ref="F17:G17"/>
    <mergeCell ref="H17:I17"/>
    <mergeCell ref="H28:I28"/>
    <mergeCell ref="D28:E28"/>
    <mergeCell ref="C21:E21"/>
    <mergeCell ref="F21:G21"/>
    <mergeCell ref="H21:I21"/>
    <mergeCell ref="F22:G22"/>
    <mergeCell ref="H22:I22"/>
    <mergeCell ref="C19:E19"/>
    <mergeCell ref="F19:G19"/>
    <mergeCell ref="H19:I19"/>
    <mergeCell ref="C20:E20"/>
    <mergeCell ref="F20:G20"/>
    <mergeCell ref="H20:I20"/>
    <mergeCell ref="H42:I42"/>
    <mergeCell ref="C37:E37"/>
    <mergeCell ref="F37:G37"/>
    <mergeCell ref="H37:I37"/>
    <mergeCell ref="C35:E35"/>
    <mergeCell ref="F35:G35"/>
    <mergeCell ref="H35:I35"/>
    <mergeCell ref="C36:E36"/>
    <mergeCell ref="F36:G36"/>
    <mergeCell ref="H36:I36"/>
    <mergeCell ref="C39:E39"/>
    <mergeCell ref="C40:E40"/>
    <mergeCell ref="F39:G39"/>
    <mergeCell ref="H39:I39"/>
    <mergeCell ref="F40:G40"/>
    <mergeCell ref="H40:I40"/>
    <mergeCell ref="C38:E38"/>
    <mergeCell ref="F38:G38"/>
    <mergeCell ref="H38:I38"/>
    <mergeCell ref="B46:E48"/>
    <mergeCell ref="J2:K2"/>
    <mergeCell ref="J26:K26"/>
    <mergeCell ref="J4:K5"/>
    <mergeCell ref="J28:K29"/>
    <mergeCell ref="H6:J7"/>
    <mergeCell ref="B22:E24"/>
    <mergeCell ref="B26:F26"/>
    <mergeCell ref="C45:E45"/>
    <mergeCell ref="F45:G45"/>
    <mergeCell ref="H45:I45"/>
    <mergeCell ref="F46:G46"/>
    <mergeCell ref="H46:I46"/>
    <mergeCell ref="C43:E43"/>
    <mergeCell ref="F43:G43"/>
    <mergeCell ref="H43:I43"/>
    <mergeCell ref="C44:E44"/>
    <mergeCell ref="F44:G44"/>
    <mergeCell ref="H44:I44"/>
    <mergeCell ref="C41:E41"/>
    <mergeCell ref="F41:G41"/>
    <mergeCell ref="H41:I41"/>
    <mergeCell ref="C42:E42"/>
    <mergeCell ref="F42:G42"/>
    <mergeCell ref="C33:E33"/>
    <mergeCell ref="F33:G33"/>
    <mergeCell ref="H33:I33"/>
    <mergeCell ref="C34:E34"/>
    <mergeCell ref="F34:G34"/>
    <mergeCell ref="H34:I34"/>
    <mergeCell ref="H30:J31"/>
    <mergeCell ref="D31:G31"/>
    <mergeCell ref="H29:I29"/>
    <mergeCell ref="D29:E29"/>
    <mergeCell ref="D30:G30"/>
  </mergeCells>
  <pageMargins left="0.31496062992125984" right="0.31496062992125984" top="0.35433070866141736" bottom="0.15748031496062992" header="0.31496062992125984" footer="0.31496062992125984"/>
  <pageSetup paperSize="9" scale="83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ASSB.FORM</vt:lpstr>
      <vt:lpstr>PROFILE</vt:lpstr>
      <vt:lpstr>ASSB.LIST</vt:lpstr>
      <vt:lpstr>STOCK</vt:lpstr>
      <vt:lpstr>FORM</vt:lpstr>
      <vt:lpstr>FORM!Print_Area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Hungping</dc:creator>
  <cp:lastModifiedBy>TCOM1</cp:lastModifiedBy>
  <cp:lastPrinted>2017-08-10T02:52:26Z</cp:lastPrinted>
  <dcterms:created xsi:type="dcterms:W3CDTF">2017-05-07T14:19:20Z</dcterms:created>
  <dcterms:modified xsi:type="dcterms:W3CDTF">2017-10-19T08:40:18Z</dcterms:modified>
</cp:coreProperties>
</file>