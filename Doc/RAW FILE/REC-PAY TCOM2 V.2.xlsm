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COM2\Desktop\"/>
    </mc:Choice>
  </mc:AlternateContent>
  <bookViews>
    <workbookView xWindow="0" yWindow="0" windowWidth="24000" windowHeight="9510" xr2:uid="{00000000-000D-0000-FFFF-FFFF00000000}"/>
  </bookViews>
  <sheets>
    <sheet name="INCEXP" sheetId="1" r:id="rId1"/>
    <sheet name="INCEXPLIST" sheetId="2" r:id="rId2"/>
    <sheet name="2559" sheetId="3" r:id="rId3"/>
  </sheets>
  <definedNames>
    <definedName name="_xlnm._FilterDatabase" localSheetId="1" hidden="1">INCEXPLIST!$A$3:$H$539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95" i="2" l="1"/>
  <c r="H294" i="2"/>
  <c r="H293" i="2"/>
  <c r="H292" i="2"/>
  <c r="H291" i="2"/>
  <c r="H290" i="2" l="1"/>
  <c r="H289" i="2"/>
  <c r="H288" i="2"/>
  <c r="H287" i="2"/>
  <c r="H286" i="2"/>
  <c r="H285" i="2"/>
  <c r="H284" i="2"/>
  <c r="H283" i="2"/>
  <c r="H282" i="2"/>
  <c r="H281" i="2"/>
  <c r="H280" i="2" l="1"/>
  <c r="H279" i="2"/>
  <c r="H278" i="2"/>
  <c r="H277" i="2"/>
  <c r="H276" i="2"/>
  <c r="H275" i="2"/>
  <c r="H274" i="2"/>
  <c r="H273" i="2"/>
  <c r="H272" i="2"/>
  <c r="H271" i="2"/>
  <c r="H270" i="2"/>
  <c r="H269" i="2" l="1"/>
  <c r="H268" i="2"/>
  <c r="H267" i="2"/>
  <c r="H266" i="2"/>
  <c r="H265" i="2" l="1"/>
  <c r="H264" i="2"/>
  <c r="H263" i="2"/>
  <c r="H262" i="2" l="1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3" i="2" l="1"/>
  <c r="H244" i="2" s="1"/>
  <c r="H245" i="2" s="1"/>
  <c r="H246" i="2" s="1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 l="1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160" i="2"/>
  <c r="H159" i="2"/>
  <c r="H192" i="2"/>
  <c r="H193" i="2" l="1"/>
  <c r="H194" i="2" s="1"/>
  <c r="H195" i="2" s="1"/>
  <c r="H196" i="2" s="1"/>
  <c r="H197" i="2" s="1"/>
  <c r="H198" i="2" s="1"/>
  <c r="H199" i="2" s="1"/>
  <c r="H200" i="2" s="1"/>
  <c r="H201" i="2" s="1"/>
  <c r="H202" i="2" s="1"/>
  <c r="H203" i="2" s="1"/>
  <c r="H204" i="2" s="1"/>
  <c r="H205" i="2" s="1"/>
  <c r="H206" i="2" s="1"/>
  <c r="H207" i="2" s="1"/>
  <c r="H161" i="2" l="1"/>
  <c r="H162" i="2" s="1"/>
  <c r="H163" i="2" s="1"/>
  <c r="H164" i="2" s="1"/>
  <c r="H165" i="2" s="1"/>
  <c r="H166" i="2" s="1"/>
  <c r="H167" i="2" s="1"/>
  <c r="H168" i="2" s="1"/>
  <c r="H169" i="2" s="1"/>
  <c r="H170" i="2" s="1"/>
  <c r="H171" i="2" s="1"/>
  <c r="H172" i="2" s="1"/>
  <c r="H173" i="2" s="1"/>
  <c r="H174" i="2" s="1"/>
  <c r="H175" i="2" s="1"/>
  <c r="H176" i="2" s="1"/>
  <c r="H178" i="2" s="1"/>
  <c r="H179" i="2" s="1"/>
  <c r="H180" i="2" s="1"/>
  <c r="H181" i="2" s="1"/>
  <c r="H182" i="2" s="1"/>
  <c r="H183" i="2" s="1"/>
  <c r="H184" i="2" s="1"/>
  <c r="H185" i="2" s="1"/>
  <c r="H186" i="2" s="1"/>
  <c r="H187" i="2" s="1"/>
  <c r="H188" i="2" s="1"/>
  <c r="H189" i="2" s="1"/>
  <c r="H190" i="2" s="1"/>
  <c r="H5" i="2" l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110" i="2" s="1"/>
  <c r="H111" i="2" s="1"/>
  <c r="H112" i="2" s="1"/>
  <c r="H113" i="2" s="1"/>
  <c r="H114" i="2" s="1"/>
  <c r="H115" i="2" s="1"/>
  <c r="H116" i="2" s="1"/>
  <c r="H117" i="2" s="1"/>
  <c r="H118" i="2" s="1"/>
  <c r="H119" i="2" s="1"/>
  <c r="H120" i="2" s="1"/>
  <c r="H121" i="2" s="1"/>
  <c r="H122" i="2" s="1"/>
  <c r="H123" i="2" s="1"/>
  <c r="H124" i="2" s="1"/>
  <c r="H125" i="2" s="1"/>
  <c r="H126" i="2" s="1"/>
  <c r="H127" i="2" s="1"/>
  <c r="H128" i="2" s="1"/>
  <c r="H129" i="2" s="1"/>
  <c r="H130" i="2" s="1"/>
  <c r="H131" i="2" s="1"/>
  <c r="H132" i="2" s="1"/>
  <c r="H133" i="2" s="1"/>
  <c r="H134" i="2" s="1"/>
  <c r="H135" i="2" s="1"/>
  <c r="H136" i="2" s="1"/>
  <c r="H137" i="2" s="1"/>
  <c r="H138" i="2" s="1"/>
  <c r="H139" i="2" s="1"/>
  <c r="H140" i="2" s="1"/>
  <c r="H141" i="2" s="1"/>
  <c r="H142" i="2" s="1"/>
  <c r="H143" i="2" s="1"/>
  <c r="H144" i="2" s="1"/>
  <c r="H145" i="2" s="1"/>
  <c r="H146" i="2" s="1"/>
  <c r="H147" i="2" s="1"/>
  <c r="H148" i="2" s="1"/>
  <c r="H149" i="2" s="1"/>
  <c r="H150" i="2" s="1"/>
  <c r="H151" i="2" s="1"/>
  <c r="H152" i="2" s="1"/>
  <c r="H153" i="2" s="1"/>
  <c r="H154" i="2" s="1"/>
  <c r="H155" i="2" s="1"/>
  <c r="H156" i="2" s="1"/>
  <c r="H157" i="2" s="1"/>
  <c r="G9" i="1" l="1"/>
  <c r="H3" i="1"/>
  <c r="F5" i="1" l="1"/>
  <c r="B2" i="2" l="1"/>
  <c r="D2" i="2" s="1"/>
</calcChain>
</file>

<file path=xl/sharedStrings.xml><?xml version="1.0" encoding="utf-8"?>
<sst xmlns="http://schemas.openxmlformats.org/spreadsheetml/2006/main" count="2834" uniqueCount="780">
  <si>
    <t>วันที่</t>
  </si>
  <si>
    <t>รายรับ</t>
  </si>
  <si>
    <t>รายจ่าย</t>
  </si>
  <si>
    <t>รายการ</t>
  </si>
  <si>
    <t>คงเหลือ</t>
  </si>
  <si>
    <t>ประเภท</t>
  </si>
  <si>
    <t>รายละเอียด</t>
  </si>
  <si>
    <t>วัสดุสิ้นเปลือง</t>
  </si>
  <si>
    <t>บาท</t>
  </si>
  <si>
    <t>ไม่ว่าง</t>
  </si>
  <si>
    <t>เงินประจำสัปดาห์</t>
  </si>
  <si>
    <t>ชื่อผู้เบิก</t>
  </si>
  <si>
    <t>ชื่อผู้เบิก:</t>
  </si>
  <si>
    <t>รายการ:</t>
  </si>
  <si>
    <t>รายละเอียด:</t>
  </si>
  <si>
    <t>จำนวนเงิน:</t>
  </si>
  <si>
    <t>ประเภท:</t>
  </si>
  <si>
    <t>อะไหล่</t>
  </si>
  <si>
    <t>สี</t>
  </si>
  <si>
    <t>นส.ชลธิชา ปาลกะวงศ์ ณ อยุทธยา</t>
  </si>
  <si>
    <t>Office</t>
  </si>
  <si>
    <t>นายสุปรีดา แจ่มศรี</t>
  </si>
  <si>
    <t>ช่างประกอบ</t>
  </si>
  <si>
    <t>นายจิรพงษ์ จิตรสมควร</t>
  </si>
  <si>
    <t>นายเทียนชัย</t>
  </si>
  <si>
    <t>ช่างพ่นสี</t>
  </si>
  <si>
    <t>นายชัยรัตน์ คำบุรี</t>
  </si>
  <si>
    <t>นายอิทธิ</t>
  </si>
  <si>
    <t>พนง.ฝึกงาน (สี)</t>
  </si>
  <si>
    <t>นายเข็มทอง</t>
  </si>
  <si>
    <t>ช่างขัดสี</t>
  </si>
  <si>
    <t>นายวัชราศร ไชยปัญญา (บอส)</t>
  </si>
  <si>
    <t>ผู้ช่วยประกอบ</t>
  </si>
  <si>
    <t>นายภูดิศ จตุสิทธางกูรณ์</t>
  </si>
  <si>
    <t>นายพัชรพล</t>
  </si>
  <si>
    <t>นายอานุเดช</t>
  </si>
  <si>
    <t>นายวรรธกร</t>
  </si>
  <si>
    <t>นายณัฐวุฒิ</t>
  </si>
  <si>
    <t>นายอภินัน</t>
  </si>
  <si>
    <t>นายอรรถพล วุฒิ</t>
  </si>
  <si>
    <t>พนง.ฝึกงาน (ประกอบ)</t>
  </si>
  <si>
    <t>รหัส</t>
  </si>
  <si>
    <t>ชื่อพนักงาน</t>
  </si>
  <si>
    <t>แผนก</t>
  </si>
  <si>
    <t>ค่าขนม</t>
  </si>
  <si>
    <t>นส.วิไลลักษณ์ ราศรี</t>
  </si>
  <si>
    <t>ใส่จำนวนเงินเข้าระบบ:</t>
  </si>
  <si>
    <t>รับเงินประจำสัปดาห์เข้าระบบ</t>
  </si>
  <si>
    <t>แผงแอร์,น้ำยาแอร์,น้ำมันคอม</t>
  </si>
  <si>
    <t>NISSAN TIIDA ฌค2117</t>
  </si>
  <si>
    <t>พนักงานเคลม กรุงไทย</t>
  </si>
  <si>
    <t>CITY สีขาว รอบคัน</t>
  </si>
  <si>
    <t>วาล์วแอร์</t>
  </si>
  <si>
    <t>ญท8391</t>
  </si>
  <si>
    <t>อื่นๆ</t>
  </si>
  <si>
    <t>ลวดเชื่อม</t>
  </si>
  <si>
    <t>ก่อสร้าง</t>
  </si>
  <si>
    <t>ค่ากับข้าวหมา</t>
  </si>
  <si>
    <t>น้ำมันเบนซิน 91</t>
  </si>
  <si>
    <t>กล่องECU ควบคุมแอร์</t>
  </si>
  <si>
    <t>ค่าแรงค้างจ่าย week2 เดือน9</t>
  </si>
  <si>
    <t>กาวร้อน</t>
  </si>
  <si>
    <t>ใบคัตเตอร์</t>
  </si>
  <si>
    <t>ยางขอบคิ้ว</t>
  </si>
  <si>
    <t>สวัสดิการ</t>
  </si>
  <si>
    <t>ค่าห้องพัก นักศึกษาฝึกงาน</t>
  </si>
  <si>
    <t>อะไหล่รถยนต์</t>
  </si>
  <si>
    <t>วรจักร</t>
  </si>
  <si>
    <t>ร้านพี่แอน</t>
  </si>
  <si>
    <t>TRC</t>
  </si>
  <si>
    <t>เบิกส่วนเกิน ล่วงหน้า</t>
  </si>
  <si>
    <t>ค่าเดินทางไปประกันภัย</t>
  </si>
  <si>
    <t>ธนชาต+มิตรแท้</t>
  </si>
  <si>
    <t>ปลั๊กไฟ</t>
  </si>
  <si>
    <t>เช็คไฟน้าสมศักดิ์</t>
  </si>
  <si>
    <t>ค่าแรง</t>
  </si>
  <si>
    <t>ค่าบริการเก็บขยะ</t>
  </si>
  <si>
    <t>เจ้าพระยา</t>
  </si>
  <si>
    <t>รับเงินประจำสัปดาห์ ล่วงหน้า</t>
  </si>
  <si>
    <t>หักเงินสด+EX 10,200 บาท</t>
  </si>
  <si>
    <t/>
  </si>
  <si>
    <t>ปะยาง ฟอร์ด 7711</t>
  </si>
  <si>
    <t>เช็คไฟ+เติมน้ำยาแอร์</t>
  </si>
  <si>
    <t>จ่าย VAT</t>
  </si>
  <si>
    <t>รุ่งเรืองอะไหล่</t>
  </si>
  <si>
    <t>น้ำยาแอร์+น้ำมันคอม</t>
  </si>
  <si>
    <t>2กฆ6277</t>
  </si>
  <si>
    <t>ใบพัดลม+น้ำมันพาวเวอร์+กรอบป้ายทะเบียน</t>
  </si>
  <si>
    <t>ผงซักฟอก</t>
  </si>
  <si>
    <t>กิ๊ฟช่องลม</t>
  </si>
  <si>
    <t>หลอดไฟใหญ่ หน้า</t>
  </si>
  <si>
    <t>พนักงานเคลมธนชาต</t>
  </si>
  <si>
    <t>พิรุณ</t>
  </si>
  <si>
    <t>บันทึก รายจ่ายประจำวัน</t>
  </si>
  <si>
    <t>บันทึกรายจ่ายประจำวัน</t>
  </si>
  <si>
    <t>พนักงานเคลม เทเวศ</t>
  </si>
  <si>
    <t>รังผึ้งแอร์</t>
  </si>
  <si>
    <t>พนักงานเคลมธนชาต พิรุณ</t>
  </si>
  <si>
    <t>ยายสน</t>
  </si>
  <si>
    <t>ค่าแรงช่าง</t>
  </si>
  <si>
    <t>ระหว่าง WEEK1 เดือน10</t>
  </si>
  <si>
    <t>TOYOTA VIGO เงินสด</t>
  </si>
  <si>
    <t>ญฐ3436 (7/10/16)</t>
  </si>
  <si>
    <t>น้ำมันเกียร์ NISSAN TIIDA</t>
  </si>
  <si>
    <t>ยกเลิกเคลม</t>
  </si>
  <si>
    <t>2117 (7/10/16)</t>
  </si>
  <si>
    <t>HONDA CIVIC (7/10/16)</t>
  </si>
  <si>
    <t>ปิยะศักดิ์</t>
  </si>
  <si>
    <t>หนังสือพิมพ์</t>
  </si>
  <si>
    <t>พนักงานเคลม</t>
  </si>
  <si>
    <t>ยางขอบสีดำ</t>
  </si>
  <si>
    <t>ตาข่ายพลาสติกดำ</t>
  </si>
  <si>
    <t>ตั้งศูนย์ล้อหน้า</t>
  </si>
  <si>
    <t>ISUZU D-MAX ผข2403</t>
  </si>
  <si>
    <t>รับเงินสดEX</t>
  </si>
  <si>
    <t>Exกรุงไทย HONDA ฎจ5578</t>
  </si>
  <si>
    <t>สีตราผึ้ง T-8E2</t>
  </si>
  <si>
    <t>เมืองไทย พี่หนึ่ง</t>
  </si>
  <si>
    <t>ช่างเชียรเบิก</t>
  </si>
  <si>
    <t>ใช้โอนหรือผ่านเช็ค</t>
  </si>
  <si>
    <t>กระจกบังลมหน้า</t>
  </si>
  <si>
    <t>ฝ่ายราคา กรุงไทย</t>
  </si>
  <si>
    <t>ณัฐพงษ์</t>
  </si>
  <si>
    <t>เบิกค่าแรง</t>
  </si>
  <si>
    <t>พี่แอ้ม</t>
  </si>
  <si>
    <t>เดินทางไปตั้งเบิกประกัน</t>
  </si>
  <si>
    <t>ประกันเทเวศ ประกันธนชาต</t>
  </si>
  <si>
    <t>กาวร้อน5ขวด</t>
  </si>
  <si>
    <t>กิ๊บVIOS น้ำมัน</t>
  </si>
  <si>
    <t>น้ำยาล้างห้องน้ำ</t>
  </si>
  <si>
    <t>ฝุ่นจีน</t>
  </si>
  <si>
    <t>เดินทางตั้งเบิกประกัน</t>
  </si>
  <si>
    <t>สยามซิตี้ เมืองไทย เอาอะไหล่บางพลี</t>
  </si>
  <si>
    <t>เบิกธนชาต</t>
  </si>
  <si>
    <t>ซื้ออะไหล่ร้านตุ่น</t>
  </si>
  <si>
    <t>ซื้ออะไหล่ร้านพี่แอน</t>
  </si>
  <si>
    <t>โอนทวีศักดิ์</t>
  </si>
  <si>
    <t>เข้าเช็ค TMB</t>
  </si>
  <si>
    <t>MB</t>
  </si>
  <si>
    <t>น้ำมันรถยนต์</t>
  </si>
  <si>
    <t xml:space="preserve">TOYOTA  ญท8391 </t>
  </si>
  <si>
    <t>กาวอีพ๊อกซี</t>
  </si>
  <si>
    <t>ทะเบียน8391</t>
  </si>
  <si>
    <t>ตั้งศูนย์รถยนต์,เติมน้ำมัน</t>
  </si>
  <si>
    <t>เทปพันสายไฟ</t>
  </si>
  <si>
    <t>2ม้วน</t>
  </si>
  <si>
    <t>น้ำมันสน,กิ๊บบังฝุ่น</t>
  </si>
  <si>
    <t>ทะเบียน2210</t>
  </si>
  <si>
    <t>รับEX MAZDA3</t>
  </si>
  <si>
    <t>เทเวศ ฌผ2181</t>
  </si>
  <si>
    <t>กาวซิลิโคลน</t>
  </si>
  <si>
    <t>สติกเกอร์</t>
  </si>
  <si>
    <t>D-max 2ใบ</t>
  </si>
  <si>
    <t>ร้านP.แอน</t>
  </si>
  <si>
    <t>แก๊ส,จอดรถ</t>
  </si>
  <si>
    <t>แปรงทองเหลือง</t>
  </si>
  <si>
    <t>แก๊สโซฮอล์91</t>
  </si>
  <si>
    <t>ตราหน้ากระจัง,หลอดไฟ</t>
  </si>
  <si>
    <t>สวิทห้องอบ</t>
  </si>
  <si>
    <t>ห้องพักเด็กฝึกงาน</t>
  </si>
  <si>
    <t>เดือนก.ย.</t>
  </si>
  <si>
    <t>ลูกปั่นหัวทราย</t>
  </si>
  <si>
    <t>น้ำมันรถมอเตอร์ไซร์</t>
  </si>
  <si>
    <t>หลอดไฟ 2 ไส้</t>
  </si>
  <si>
    <t>น้ำยาแอร์</t>
  </si>
  <si>
    <t>ISUZU</t>
  </si>
  <si>
    <t>ลูกปืนครัช,ยางแท่นเครื่อง</t>
  </si>
  <si>
    <t>กาวร้อน4หลอด</t>
  </si>
  <si>
    <t>กระดาษหนังสือพิมพ์</t>
  </si>
  <si>
    <t>ทะเบียน5553</t>
  </si>
  <si>
    <t>กิ๊บกันชนหน้าL</t>
  </si>
  <si>
    <t>ยืมน้องปิง</t>
  </si>
  <si>
    <t>เซียงกงบางนา</t>
  </si>
  <si>
    <t>ทางด่วนพิเศษ</t>
  </si>
  <si>
    <t>สาขาบางพลี-สุขสวัสดิ์</t>
  </si>
  <si>
    <t>กระจกมองข้าง</t>
  </si>
  <si>
    <t>EMCS</t>
  </si>
  <si>
    <t>เดือนส.ค. 59</t>
  </si>
  <si>
    <t>รับเงิน จากรายได้</t>
  </si>
  <si>
    <t>ฝาครอบสปอร์ตไลท์</t>
  </si>
  <si>
    <t>ฎล746</t>
  </si>
  <si>
    <t>น้ำมันเพาเวอร์+กรองอากาศ</t>
  </si>
  <si>
    <t>ชุดบล็อค</t>
  </si>
  <si>
    <t>เครื่องมือและอุปกรณ์ช่าง</t>
  </si>
  <si>
    <t>ทำไฟ+เติมน้ำยาแอร์</t>
  </si>
  <si>
    <t>ACCORD จมน้ำ</t>
  </si>
  <si>
    <t>วันชัย</t>
  </si>
  <si>
    <t>ธนชาต</t>
  </si>
  <si>
    <t>ค่าแรงตั้งเบิกประกัน</t>
  </si>
  <si>
    <t>เอกชัย</t>
  </si>
  <si>
    <t>ลูกหมาก</t>
  </si>
  <si>
    <t>ญษ593</t>
  </si>
  <si>
    <t>ทอนลูกค้า</t>
  </si>
  <si>
    <t>ฌล5561</t>
  </si>
  <si>
    <t>รับเงินจากรายได้</t>
  </si>
  <si>
    <t>MACRO</t>
  </si>
  <si>
    <t>กาววางกระจก</t>
  </si>
  <si>
    <t>3 ตัว</t>
  </si>
  <si>
    <t>กิ๊บล็อค</t>
  </si>
  <si>
    <t>5 ตัว</t>
  </si>
  <si>
    <t>แก้งาน FORD 6177</t>
  </si>
  <si>
    <t>ยางล้อรถยนต์50%</t>
  </si>
  <si>
    <t>TOYOTA  VIOS</t>
  </si>
  <si>
    <t>เรซิ่น</t>
  </si>
  <si>
    <t>น้ำประปา</t>
  </si>
  <si>
    <t>น้ำมัน</t>
  </si>
  <si>
    <t>รถมอเตอร์ไซร์</t>
  </si>
  <si>
    <t>ชาตแบตเตอรรี่</t>
  </si>
  <si>
    <t>แผงแอร์ซิตี้</t>
  </si>
  <si>
    <t>ISUZU D-MAX</t>
  </si>
  <si>
    <t>กระดาษเช็ดชู,ผ้าปิดจมูก</t>
  </si>
  <si>
    <t>สีพ่นพื้นเลย์แลนด์990</t>
  </si>
  <si>
    <t>เก่ง</t>
  </si>
  <si>
    <t>ภัทระ</t>
  </si>
  <si>
    <t>พนักงานฝ่ายราคา</t>
  </si>
  <si>
    <t>กรุงไทย ธนากร</t>
  </si>
  <si>
    <t>หลอดไฟ</t>
  </si>
  <si>
    <t>ดอกสว่าน</t>
  </si>
  <si>
    <t>อาหารสุนัข</t>
  </si>
  <si>
    <t>สติกเกอร์ประตู</t>
  </si>
  <si>
    <t>NISSAN1กล9300</t>
  </si>
  <si>
    <t>แบตเตอรรี่</t>
  </si>
  <si>
    <t>FORD</t>
  </si>
  <si>
    <t>เทเวศ</t>
  </si>
  <si>
    <t>น๊อต</t>
  </si>
  <si>
    <t>ยางขอบสเกิร์ตสีเทา</t>
  </si>
  <si>
    <t>ทะเบียน507</t>
  </si>
  <si>
    <t>หลอดเสียบ2ไส้</t>
  </si>
  <si>
    <t>4หลอด</t>
  </si>
  <si>
    <t>เคเบิ้ลทาย</t>
  </si>
  <si>
    <t>1ถุง</t>
  </si>
  <si>
    <t>กิ๊บพลาสติกซุ้มล้อ</t>
  </si>
  <si>
    <t>ตั้งเบิกประกัน</t>
  </si>
  <si>
    <t>พี่เอก</t>
  </si>
  <si>
    <t>เฮียสุพรรณ</t>
  </si>
  <si>
    <t>ลวดเชื่อมทองเหลือ</t>
  </si>
  <si>
    <t>5เส้น</t>
  </si>
  <si>
    <t>prerunner</t>
  </si>
  <si>
    <t>ค่าโทรศัพท์</t>
  </si>
  <si>
    <t>02-3880700,02-3881821</t>
  </si>
  <si>
    <t>รายการใหม่ ตั้งแต่วันที่ 1 พ.ย. 2559                             รายการใหม่ ตั้งแต่วันที่ 1 พ.ย. 2559                             รายการใหม่ ตั้งแต่วันที่ 1 พ.ย. 2559</t>
  </si>
  <si>
    <t>อะไหล่บ.เมก้า</t>
  </si>
  <si>
    <t>สีตราผึ้ง</t>
  </si>
  <si>
    <t>2กระป๋อง</t>
  </si>
  <si>
    <t>ตัวT เบอร์7</t>
  </si>
  <si>
    <t>ค่าขนส่งรับกุญแจ</t>
  </si>
  <si>
    <t>พนักงานเคลมเมืองไทย</t>
  </si>
  <si>
    <t>สมเกียรติ</t>
  </si>
  <si>
    <t>ทำกุญแจรถยนต์</t>
  </si>
  <si>
    <t>P.หนึ่ง</t>
  </si>
  <si>
    <t>อะไหล่D-MAX</t>
  </si>
  <si>
    <t>ผข2043</t>
  </si>
  <si>
    <t>ไฟใน</t>
  </si>
  <si>
    <t>ปะเก็น</t>
  </si>
  <si>
    <t>2ตัว</t>
  </si>
  <si>
    <t>ครอบกระจก</t>
  </si>
  <si>
    <t>แผงร้อน</t>
  </si>
  <si>
    <t>ฟอร์ด2006</t>
  </si>
  <si>
    <t>สายลัดออยคูบเลอร์</t>
  </si>
  <si>
    <t>กระดาษเช็ดชู้</t>
  </si>
  <si>
    <t>4ใบ</t>
  </si>
  <si>
    <t>พนักงานเคลมเทเวศบต2260</t>
  </si>
  <si>
    <t>คุณอดิศร</t>
  </si>
  <si>
    <t>พนักงานเคลมเทเวศ สท3986</t>
  </si>
  <si>
    <t>คุณนพคร</t>
  </si>
  <si>
    <t>ค่าโรงเรือน</t>
  </si>
  <si>
    <t>พี่เบริด์</t>
  </si>
  <si>
    <t>เบิกเงินสัปดาห์หน้า</t>
  </si>
  <si>
    <t>น้ำมันพาวเวอร์</t>
  </si>
  <si>
    <t>รถมอไซร์</t>
  </si>
  <si>
    <t>นั่งกับจากตั้งศูนย์</t>
  </si>
  <si>
    <t>กิ๊บ D-MAX</t>
  </si>
  <si>
    <t>30 ตัว</t>
  </si>
  <si>
    <t>หลอดไฟสปอตไลร์</t>
  </si>
  <si>
    <t>1หลอด</t>
  </si>
  <si>
    <t>พี่ธรรมนิต</t>
  </si>
  <si>
    <t>พี่ศักรินทร์</t>
  </si>
  <si>
    <t>น้องอานุเดช</t>
  </si>
  <si>
    <t>น้องเพชร</t>
  </si>
  <si>
    <t>น้าอุ้ย</t>
  </si>
  <si>
    <t>ปะยางรถมอไซร์</t>
  </si>
  <si>
    <t>น้ำมันเบรค</t>
  </si>
  <si>
    <t>2ชุด</t>
  </si>
  <si>
    <t>1016 2จุด</t>
  </si>
  <si>
    <t>12V 1ดวง</t>
  </si>
  <si>
    <t>ชานนท์</t>
  </si>
  <si>
    <t>หม้อน้ำ</t>
  </si>
  <si>
    <t>กิ๊ปยึดพลาสติกซุ้มล้อ</t>
  </si>
  <si>
    <t>ยางขอบสเกร์ต</t>
  </si>
  <si>
    <t>เบิกสัปดาห์</t>
  </si>
  <si>
    <t>อะไหล่ช่วงล่าง</t>
  </si>
  <si>
    <t>ตั้งศูนย์รถยนต์</t>
  </si>
  <si>
    <t>1ลิตร</t>
  </si>
  <si>
    <t>ยางรถยนต์</t>
  </si>
  <si>
    <t>2เส้น</t>
  </si>
  <si>
    <t>หลอดไฟสปอตไลท์</t>
  </si>
  <si>
    <t>พี่ปัจยา</t>
  </si>
  <si>
    <t>ค่าแรงช่างเหมา</t>
  </si>
  <si>
    <t>น้าปรีชา ช่างเคาะ</t>
  </si>
  <si>
    <t>ค่าปูน</t>
  </si>
  <si>
    <t>เฮียฮ้อจ่าย</t>
  </si>
  <si>
    <t>เบิกเงินที่เหลือสัปดาห์</t>
  </si>
  <si>
    <t>สัปดาห์ที่1ของเดือนพ.ย.</t>
  </si>
  <si>
    <t>ค่ายางISUZU 50%</t>
  </si>
  <si>
    <t>เบิกรายรับ บฉ6823</t>
  </si>
  <si>
    <t>60โล</t>
  </si>
  <si>
    <t>คอปเปอร์หางปลา</t>
  </si>
  <si>
    <t>ค่าสมาชิก</t>
  </si>
  <si>
    <t>สมาคมผู้สูงอายุ</t>
  </si>
  <si>
    <t>กาวยางใหญ่</t>
  </si>
  <si>
    <t>1กระป๋อง</t>
  </si>
  <si>
    <t>น้ำยาแวคแอร์</t>
  </si>
  <si>
    <t>ยางขอบสเกร์ตสีเทา</t>
  </si>
  <si>
    <t>10 เมตร</t>
  </si>
  <si>
    <t>ฝาครอบกระจกมอง</t>
  </si>
  <si>
    <t>ติดฟิลม์กระจกประตู</t>
  </si>
  <si>
    <t>VIGO 957</t>
  </si>
  <si>
    <t>ค่าน้ำมันรถน้องปิง</t>
  </si>
  <si>
    <t>กิ๊ปยึด</t>
  </si>
  <si>
    <t>วันที่14-19 พ.ย. 59</t>
  </si>
  <si>
    <t>ค่าขยะ</t>
  </si>
  <si>
    <t>ไปตั้งเบิกประกัน</t>
  </si>
  <si>
    <t>กรุงไทย</t>
  </si>
  <si>
    <t>น้องนุเบิก</t>
  </si>
  <si>
    <t>น้องฟลุ๊คเบิก</t>
  </si>
  <si>
    <t>เบิกเงินสัปดาห์</t>
  </si>
  <si>
    <t>พี่ภัทระ</t>
  </si>
  <si>
    <t>สัปดาห์วันที่14-19พ.ย.59</t>
  </si>
  <si>
    <t>วันที่14-19พ.ย.59</t>
  </si>
  <si>
    <t>ขวัญ</t>
  </si>
  <si>
    <t>น้องใหม่</t>
  </si>
  <si>
    <t>2หลอด</t>
  </si>
  <si>
    <t>แม่บ้าน</t>
  </si>
  <si>
    <t>ค่าแรงยายสน</t>
  </si>
  <si>
    <t>3คัน</t>
  </si>
  <si>
    <t>น้ำมันคอมแอร์</t>
  </si>
  <si>
    <t>สเปย์ปะเก็น</t>
  </si>
  <si>
    <t>เบิกเงินสัปดาหน้า</t>
  </si>
  <si>
    <t>สัปดาห์วันที่14-19 พ.ย. 59</t>
  </si>
  <si>
    <t>น้ำมันรถมอไซร์</t>
  </si>
  <si>
    <t>TOYOTA</t>
  </si>
  <si>
    <t>กิ๊ปปลายกันชน</t>
  </si>
  <si>
    <t>HONDA</t>
  </si>
  <si>
    <t>MITSUBISHI</t>
  </si>
  <si>
    <t>ตะกั่วสายไฟ</t>
  </si>
  <si>
    <t>แปรงลวด</t>
  </si>
  <si>
    <t>2อัน</t>
  </si>
  <si>
    <t>ฌห7145</t>
  </si>
  <si>
    <t>ลวดเชื่อม2.6</t>
  </si>
  <si>
    <t>1กล่อง</t>
  </si>
  <si>
    <t>เปลี่ยนจุ๊ป</t>
  </si>
  <si>
    <t>อาหารน้อง</t>
  </si>
  <si>
    <t>พนักงานเคลมเทเวศ</t>
  </si>
  <si>
    <t>ถง846</t>
  </si>
  <si>
    <t>น้องนุ</t>
  </si>
  <si>
    <t>ไฟแก้ม</t>
  </si>
  <si>
    <t>3โล</t>
  </si>
  <si>
    <t>โซเน็กใหญ่</t>
  </si>
  <si>
    <t>เครื่องถ่ายเอกสาร</t>
  </si>
  <si>
    <t>ยาโป๊ว</t>
  </si>
  <si>
    <t>กาวมหอุต</t>
  </si>
  <si>
    <t>กาวช้าง</t>
  </si>
  <si>
    <t>ยางดิสเบรค</t>
  </si>
  <si>
    <t>ผ้าเบรค</t>
  </si>
  <si>
    <t>หลอดไฟสองไส้</t>
  </si>
  <si>
    <t>ขายึดปลายกันชนหน้าR</t>
  </si>
  <si>
    <t>พลาสติกซุ้มล้อ</t>
  </si>
  <si>
    <t>หน้าL</t>
  </si>
  <si>
    <t>วันที่21-26/11/59</t>
  </si>
  <si>
    <t>พี่หนึ่ง</t>
  </si>
  <si>
    <t>พี่พิรุณ</t>
  </si>
  <si>
    <t>ประกอบรถยนต์</t>
  </si>
  <si>
    <t>พี่โจ</t>
  </si>
  <si>
    <t>บันไดVIGO</t>
  </si>
  <si>
    <t>1คู่</t>
  </si>
  <si>
    <t>ยางขอบสเกริ์ต</t>
  </si>
  <si>
    <t>1ม้วน</t>
  </si>
  <si>
    <t>ไฟตัดหมอก</t>
  </si>
  <si>
    <t>ซ้าย ขวา</t>
  </si>
  <si>
    <t>กาวยาง</t>
  </si>
  <si>
    <t>ดินสอลอกเลข</t>
  </si>
  <si>
    <t>10แท่ง</t>
  </si>
  <si>
    <t>บิลV</t>
  </si>
  <si>
    <t>สวิทเครื่องขัด</t>
  </si>
  <si>
    <t>น้องณุเบิก</t>
  </si>
  <si>
    <t>ท่อหด1เมตร</t>
  </si>
  <si>
    <t>กางปลา20ตัว</t>
  </si>
  <si>
    <t>เซ็นเซอร์2จุดมีจอ</t>
  </si>
  <si>
    <t>ซีลเพลาข้อเหวี่ยงหน้า</t>
  </si>
  <si>
    <t>อะไหล่บ.เมก้า ออโต้พาร์ท</t>
  </si>
  <si>
    <t>2รายการ</t>
  </si>
  <si>
    <t>วันที่28-3</t>
  </si>
  <si>
    <t>สก๊อตไบร์</t>
  </si>
  <si>
    <t>กาวรอบสัน</t>
  </si>
  <si>
    <t>หลอดใหญ่1หลอด</t>
  </si>
  <si>
    <t>DMAX</t>
  </si>
  <si>
    <t>ชุดแผงปิดรางน้ำ</t>
  </si>
  <si>
    <t>เมืองไทย</t>
  </si>
  <si>
    <t>P.สว่าง</t>
  </si>
  <si>
    <t>P.ศักรินทร์</t>
  </si>
  <si>
    <t>สุริโย</t>
  </si>
  <si>
    <t>น้องบอสเบิก</t>
  </si>
  <si>
    <t>น้องต้นเบิก</t>
  </si>
  <si>
    <t>หลอดไฟ2ไส้</t>
  </si>
  <si>
    <t>3หลอด</t>
  </si>
  <si>
    <t>พี่แอ้มเบิก</t>
  </si>
  <si>
    <t>รายสัปดาห์</t>
  </si>
  <si>
    <t>ชุดปะแจ</t>
  </si>
  <si>
    <t>1ชุด</t>
  </si>
  <si>
    <t>พงษ์ศลา</t>
  </si>
  <si>
    <t>หมอ</t>
  </si>
  <si>
    <t>สุนัข</t>
  </si>
  <si>
    <t>1ลูก</t>
  </si>
  <si>
    <t>ลูกปืนล้อหน้า</t>
  </si>
  <si>
    <t>D4D</t>
  </si>
  <si>
    <t>หมึกเติมเครื่องปริ้น</t>
  </si>
  <si>
    <t>4สี</t>
  </si>
  <si>
    <t>บ.ย.รุ่งโรจน์กลการ</t>
  </si>
  <si>
    <t>ไฟหน้าL,R</t>
  </si>
  <si>
    <t>เบิกเงิน</t>
  </si>
  <si>
    <t>น้องณุ</t>
  </si>
  <si>
    <t>ตั้งเบิกประกัน3ที่</t>
  </si>
  <si>
    <t>รับอะไหล่บ.ย.รุ่งโรจน์</t>
  </si>
  <si>
    <t>Exประกันภัยกรุงไทย</t>
  </si>
  <si>
    <t>2เคลม</t>
  </si>
  <si>
    <t>เสาอากาศ</t>
  </si>
  <si>
    <t>VIGO</t>
  </si>
  <si>
    <t>กิ๊บยึดพลาสติกซุ้มล้อ</t>
  </si>
  <si>
    <t>ดอกรีเวตร์</t>
  </si>
  <si>
    <t>5-10/12/59</t>
  </si>
  <si>
    <t>ค่าไฟฟ้า</t>
  </si>
  <si>
    <t>น้ำมันเครื่อง</t>
  </si>
  <si>
    <t>กิ๊ป</t>
  </si>
  <si>
    <t>1ตัว</t>
  </si>
  <si>
    <t>ใบขัดสาหร่าย</t>
  </si>
  <si>
    <t>1ใบ</t>
  </si>
  <si>
    <t>4โล</t>
  </si>
  <si>
    <t>กรอบพลาสติก</t>
  </si>
  <si>
    <t>1อัน</t>
  </si>
  <si>
    <t>ไดเออร์ D4D</t>
  </si>
  <si>
    <t>กาวมหาอุด</t>
  </si>
  <si>
    <t>กรอง</t>
  </si>
  <si>
    <t>สเปยรย์สปาร์ด</t>
  </si>
  <si>
    <t>1ห้อง</t>
  </si>
  <si>
    <t>ห้องพักน้องท๊อป</t>
  </si>
  <si>
    <t>ตัวยึดVIGO</t>
  </si>
  <si>
    <t>น้ำมันเครื่อง,กรองอากาศ</t>
  </si>
  <si>
    <t>ยาง</t>
  </si>
  <si>
    <t>กรรไกร</t>
  </si>
  <si>
    <t>2ด้าน</t>
  </si>
  <si>
    <t>มีดคัดเตอร์</t>
  </si>
  <si>
    <t>1ด้าม</t>
  </si>
  <si>
    <t>เทปพัน</t>
  </si>
  <si>
    <t>ติดตั้งกระจกบังลมหน้า</t>
  </si>
  <si>
    <t>HONDA CITY</t>
  </si>
  <si>
    <t>เบิกเงินเดือน</t>
  </si>
  <si>
    <t>เอ</t>
  </si>
  <si>
    <t>กาว</t>
  </si>
  <si>
    <t>ไฟหน้า</t>
  </si>
  <si>
    <t>แวค</t>
  </si>
  <si>
    <t>ช่างเหมา</t>
  </si>
  <si>
    <t>ประกอบ</t>
  </si>
  <si>
    <t>กล้วย</t>
  </si>
  <si>
    <t>2ถุง</t>
  </si>
  <si>
    <t>ไม้กวาด</t>
  </si>
  <si>
    <t>3ด้าม</t>
  </si>
  <si>
    <t>น้าอุ๊ย</t>
  </si>
  <si>
    <t>จิรพงษ์</t>
  </si>
  <si>
    <t>แปลงขัดห้องน้ำ</t>
  </si>
  <si>
    <t>พลาสติกใส</t>
  </si>
  <si>
    <t>12-17/12/59</t>
  </si>
  <si>
    <t>เก็บขยะ</t>
  </si>
  <si>
    <t>ประจำเดือน</t>
  </si>
  <si>
    <t>กรุงไทย,เจ้าพระยา,มิตรแท้</t>
  </si>
  <si>
    <t>EXCESS</t>
  </si>
  <si>
    <t>เปลี่ยนวาวถังแก็สNGV</t>
  </si>
  <si>
    <t>เทเวศ 8379</t>
  </si>
  <si>
    <t>ปลั๊ค2</t>
  </si>
  <si>
    <t>สายยาว2</t>
  </si>
  <si>
    <t>ชาตแบตเตอร์รี่</t>
  </si>
  <si>
    <t>จาระบี</t>
  </si>
  <si>
    <t>ยางกันฝุ่นเพลาตัวใน</t>
  </si>
  <si>
    <t>MAZDA2</t>
  </si>
  <si>
    <t>ธรรมนิต</t>
  </si>
  <si>
    <t>พี่โจ้</t>
  </si>
  <si>
    <t>อะไหล่HONDA</t>
  </si>
  <si>
    <t>5รายการ</t>
  </si>
  <si>
    <t>CALIBRE</t>
  </si>
  <si>
    <t>แฟ็ป</t>
  </si>
  <si>
    <t>108ช็อป</t>
  </si>
  <si>
    <t>ช่างเบิก</t>
  </si>
  <si>
    <t>เงินเดือน</t>
  </si>
  <si>
    <t>ยาวยาง</t>
  </si>
  <si>
    <t>กระดาษเช็ดชู</t>
  </si>
  <si>
    <t>อะไหล่ลูกค้า</t>
  </si>
  <si>
    <t>เหล็กยึดโครงหน้ารถตัวกลาง</t>
  </si>
  <si>
    <t>มอไซร์ส่งอะไหล่</t>
  </si>
  <si>
    <t>สีมุก2กระป๋อง</t>
  </si>
  <si>
    <t>ร้านสีมงคลชัย</t>
  </si>
  <si>
    <t>หลอดไฟใหญ่</t>
  </si>
  <si>
    <t>หลอดไฟหรี่</t>
  </si>
  <si>
    <t>ศักรินทร์</t>
  </si>
  <si>
    <t>สายรัด</t>
  </si>
  <si>
    <t>4ห่อ</t>
  </si>
  <si>
    <t>หลอดเสียบ</t>
  </si>
  <si>
    <t xml:space="preserve">หลอดไฟ </t>
  </si>
  <si>
    <t>สเปย์ดำเงา</t>
  </si>
  <si>
    <t>4กระป๋อง</t>
  </si>
  <si>
    <t>เทเวศ ธนชาต</t>
  </si>
  <si>
    <t>ค่าแรงสัปดาห์</t>
  </si>
  <si>
    <t>พี่อ้วน</t>
  </si>
  <si>
    <t>ขั้วไฟเลี้ยวมุม</t>
  </si>
  <si>
    <t>กิ๊บตั้งไฟ</t>
  </si>
  <si>
    <t>หลอดไฟหน้า</t>
  </si>
  <si>
    <t>พลาสติกกรอบเหล็ก</t>
  </si>
  <si>
    <t>หัวฉีดน้ำฝน</t>
  </si>
  <si>
    <t>ฟิวจิ๋ว</t>
  </si>
  <si>
    <t>มอเตอร์</t>
  </si>
  <si>
    <t>ปัดน้ำฝน</t>
  </si>
  <si>
    <t>Hiracer</t>
  </si>
  <si>
    <t>น้องท๊อป</t>
  </si>
  <si>
    <t>ห้องพัก406 เดือนพ.ย.</t>
  </si>
  <si>
    <t>เดือนธ.ค.</t>
  </si>
  <si>
    <t>ห้องพักเด็กฝึกงาน 303</t>
  </si>
  <si>
    <t>เบิกเงินล่วงหน้า</t>
  </si>
  <si>
    <t>น้องน้ำ</t>
  </si>
  <si>
    <t>อานุเดช</t>
  </si>
  <si>
    <t>อีเอ็มซีเอส</t>
  </si>
  <si>
    <t>สวัสดิการพนักงานเคลม</t>
  </si>
  <si>
    <t>ตัวทีเบอร์10</t>
  </si>
  <si>
    <t>สีดำ 2เมตร</t>
  </si>
  <si>
    <t>ใบปั่นซ้อน</t>
  </si>
  <si>
    <t>2ใบ</t>
  </si>
  <si>
    <t>ธรรมณิชย์</t>
  </si>
  <si>
    <t>สมเกียรติ์</t>
  </si>
  <si>
    <t>วิทวัฒน์</t>
  </si>
  <si>
    <t>เฉลิมชัย</t>
  </si>
  <si>
    <t>คืน50%ยางล้อรถยนต์</t>
  </si>
  <si>
    <t>ธนชาต T ญฒ6732</t>
  </si>
  <si>
    <t>เบิกล่วงหน้าเงินเดือน</t>
  </si>
  <si>
    <t>อิทธิ</t>
  </si>
  <si>
    <t>อะไหล่พี่โจ</t>
  </si>
  <si>
    <t>ยาแม่บ้าน</t>
  </si>
  <si>
    <t>2ด้าม</t>
  </si>
  <si>
    <t>แว็ค</t>
  </si>
  <si>
    <t>26-30/12/59</t>
  </si>
  <si>
    <t>หลอดไฟ H7</t>
  </si>
  <si>
    <t>เบิกล่วงหน้า</t>
  </si>
  <si>
    <t>น้าพล</t>
  </si>
  <si>
    <t>กิ๊บ</t>
  </si>
  <si>
    <t>26-31/12/59</t>
  </si>
  <si>
    <t>บ.ทีโอที</t>
  </si>
  <si>
    <t>เบอร์023881821</t>
  </si>
  <si>
    <t>เบอร์023880700</t>
  </si>
  <si>
    <t>ปืนยิงซิลิโคลน</t>
  </si>
  <si>
    <t>กาวโยโกวางกระจก</t>
  </si>
  <si>
    <t>เฮียสมศักดิ์</t>
  </si>
  <si>
    <t>เช็คระบบไฟ</t>
  </si>
  <si>
    <t>ขั้วไฟ,หลอดไฟ</t>
  </si>
  <si>
    <t>2,1</t>
  </si>
  <si>
    <t>ติดกระจก</t>
  </si>
  <si>
    <t>น้าเชียร</t>
  </si>
  <si>
    <t>พลาสเตอร์ยา</t>
  </si>
  <si>
    <t>ท่อดำ</t>
  </si>
  <si>
    <t>เงินสัปดาห์</t>
  </si>
  <si>
    <t>สีโป้วแดง3ศร</t>
  </si>
  <si>
    <t>จานทราย</t>
  </si>
  <si>
    <t>ผ้าเบรคหลัง</t>
  </si>
  <si>
    <t>สายดึงฝากระโปรง</t>
  </si>
  <si>
    <t>สีโป๊ว3ศร</t>
  </si>
  <si>
    <t>ติดฟิลม์กระจกบังลมหน้า</t>
  </si>
  <si>
    <t>1บาน</t>
  </si>
  <si>
    <t>ท่อยางแท้</t>
  </si>
  <si>
    <t>พี่โย</t>
  </si>
  <si>
    <t>สกรูกันโคลงลูกหมาก</t>
  </si>
  <si>
    <t>น๊อต,กิ๊บ</t>
  </si>
  <si>
    <t>ผงซักฟอก,กาวยาง</t>
  </si>
  <si>
    <t>ใบเจียร</t>
  </si>
  <si>
    <t>ใบปั่นกระดาษทรายซ้อน</t>
  </si>
  <si>
    <t>บรรทัดต่อไป 527</t>
  </si>
  <si>
    <t>ข้อมูล ปี 2559</t>
  </si>
  <si>
    <t>หัวแร้ง</t>
  </si>
  <si>
    <t>ข้าวสาร</t>
  </si>
  <si>
    <t>กับข้าว,น้ำยาล้างห้องน้ำ</t>
  </si>
  <si>
    <t>พนักงานเคลมExcex</t>
  </si>
  <si>
    <t>น้ำตับ</t>
  </si>
  <si>
    <t>ปลั๊กเสียบ,น๊อตเกียวปล่อย</t>
  </si>
  <si>
    <t>ยางล้อหน้าR 50%</t>
  </si>
  <si>
    <t>อะไหล่ร้านเชิดชัย</t>
  </si>
  <si>
    <t>สีพ่นตราผึ้ง</t>
  </si>
  <si>
    <t>ซิลิโคลนดำ</t>
  </si>
  <si>
    <t>อะไหล่บางพลี</t>
  </si>
  <si>
    <t>เช็คไฟเครื่องโชว์ศูนย์TOYOTA</t>
  </si>
  <si>
    <t>เติมน้ำมันรถมอเตอร์ไซร์</t>
  </si>
  <si>
    <t>แชมพูเห็บหมัด,รักษาเรื่อน</t>
  </si>
  <si>
    <t>ถ่านนาฬิกา,โซเน็ก</t>
  </si>
  <si>
    <t>น๊อตปลายสว่าน</t>
  </si>
  <si>
    <t>ชุดกุญแจดอกจัน,ครีมปากจรเข้</t>
  </si>
  <si>
    <t>ใบตัด,ลวดเชื่อม,ลูกบิด</t>
  </si>
  <si>
    <t>น้ำมันรถยนต์Ford</t>
  </si>
  <si>
    <t>ช่างอุ้ยเบิก</t>
  </si>
  <si>
    <t>ช่างเทียนเบิก</t>
  </si>
  <si>
    <t>ช่างเหมาเบิก</t>
  </si>
  <si>
    <t>กล่องไม้ขีด</t>
  </si>
  <si>
    <t>สูบส้วม</t>
  </si>
  <si>
    <t>ยางขอบสเกริต์สีเทา1ม้วน</t>
  </si>
  <si>
    <t>ซิลิโคลนสีดำ1หลอด</t>
  </si>
  <si>
    <t>สายพาoB101,B120</t>
  </si>
  <si>
    <t>โซเน็ก</t>
  </si>
  <si>
    <t>กาวโยโก</t>
  </si>
  <si>
    <t>ส่วนเกินสยามเทพา</t>
  </si>
  <si>
    <t>อะไหล่ร้านศิริชัย</t>
  </si>
  <si>
    <t>สีผสมตราผึ้ง4กระป๋อง</t>
  </si>
  <si>
    <t>กระดาษทรายซ้อน,กระดาษหนังสือพิมพ์</t>
  </si>
  <si>
    <t>กระดาษA4</t>
  </si>
  <si>
    <t>สีผสม</t>
  </si>
  <si>
    <t>เปลี่ยนแป๊ปท่อไอเสีย</t>
  </si>
  <si>
    <t>น้ำมันเบรค,ประเก็น</t>
  </si>
  <si>
    <t>สีผสมตราผึ้ง</t>
  </si>
  <si>
    <t>กระดาษเช็ดชู,สก๊อตไบต์</t>
  </si>
  <si>
    <t>เบิกเงินวันที่13/09/60</t>
  </si>
  <si>
    <t>อะไหล่เซียงกงบางนา</t>
  </si>
  <si>
    <t>ซิลิโคลนสีดำ</t>
  </si>
  <si>
    <t>ค่าแรงพี่โจ</t>
  </si>
  <si>
    <t>อะไหล่ประตูหน้าอู่</t>
  </si>
  <si>
    <t>หนังสือพิมพ์25/12</t>
  </si>
  <si>
    <t>กิ๊บToyota</t>
  </si>
  <si>
    <t>สีผสมพิเศษ</t>
  </si>
  <si>
    <t>เดินทางตั้งเบิกประกัน3ที่</t>
  </si>
  <si>
    <t>กาวซีเมนเหล็ก</t>
  </si>
  <si>
    <t>กาวโยโก2หลอด</t>
  </si>
  <si>
    <t>แปรงทาสี,น้ำมันรถมอเตอร์ไซร์</t>
  </si>
  <si>
    <t>ไฟซินน้อนH</t>
  </si>
  <si>
    <t>ซิลิโคล,ซันไล</t>
  </si>
  <si>
    <t>สีโป๊วแดง3ศร</t>
  </si>
  <si>
    <t>สิริโคลนยาว</t>
  </si>
  <si>
    <t>กระดาษเช็ดชู,ผงซักฟอก</t>
  </si>
  <si>
    <t>ผ้าปิดจมูก</t>
  </si>
  <si>
    <t>ลูกดีเบล</t>
  </si>
  <si>
    <t>ไขควงสี่แฉก</t>
  </si>
  <si>
    <t>น๊อตยึดT</t>
  </si>
  <si>
    <t>เหล็ก</t>
  </si>
  <si>
    <t>คอปเปอร์เกลียวน๊อตเครื่องปั่น</t>
  </si>
  <si>
    <t>เชื่อมอะโลมิเนียม</t>
  </si>
  <si>
    <t>สีผสม4กระป๋อง</t>
  </si>
  <si>
    <t>ซิลิโคลน</t>
  </si>
  <si>
    <t>นมหนู,กาวอีป๊อกซี่</t>
  </si>
  <si>
    <t>จานขัดฝอย 1ใบ</t>
  </si>
  <si>
    <t>น้าอุ้ยเบิกค่าแรง</t>
  </si>
  <si>
    <t>สีพ่น</t>
  </si>
  <si>
    <t>กระดาษทรายทรงซ้อน</t>
  </si>
  <si>
    <t>ใบตัด,ผงซักฟอก</t>
  </si>
  <si>
    <t>ใบตัด</t>
  </si>
  <si>
    <t>หัวเชื่อม2หัว</t>
  </si>
  <si>
    <t>ยางหิ้วท่อ</t>
  </si>
  <si>
    <t>น๊อตเบอร์10</t>
  </si>
  <si>
    <t>น้ำมันมอเตอร์ไซร์เฮียฮ้อ</t>
  </si>
  <si>
    <t>คอปเปอร์ชาร์ทน้ำยา</t>
  </si>
  <si>
    <t>สีพ่นตราผึ้ง 2 กระป๋อง</t>
  </si>
  <si>
    <t>สีพ่น 2กระป๋อง</t>
  </si>
  <si>
    <t>น้ำมันมอเตอร์ไซร์อู่</t>
  </si>
  <si>
    <t>ลวดไฟฟ้า</t>
  </si>
  <si>
    <t>แก็สโซฮอส์91</t>
  </si>
  <si>
    <t>หนังสือพิมพ์10</t>
  </si>
  <si>
    <t>นำกล่องไปซ่อมที่พระราม2</t>
  </si>
  <si>
    <t>พี่เอกตั้งเบิกประกันกรุงไทย</t>
  </si>
  <si>
    <t>หัวน๊อตM6 50ตัว</t>
  </si>
  <si>
    <t>เงินถอนเฮียท๊อป</t>
  </si>
  <si>
    <t>เงินสัปดาห์จากพี่แอ้ม</t>
  </si>
  <si>
    <t>เหล็กรู 2 เส้น</t>
  </si>
  <si>
    <t>ยาแก้ปวด</t>
  </si>
  <si>
    <t>ธนาคารธนชาต พี่ปุ๊ก</t>
  </si>
  <si>
    <t>น๊อต 12 ตัว</t>
  </si>
  <si>
    <t>พรุ๊กเหล็ก ช่างเหมาก่อสร้าง</t>
  </si>
  <si>
    <t>ใบตัด,ปลั๊กกาว,ปลั๊กเสียบ,แปรงทาสี</t>
  </si>
  <si>
    <t>6 ช่างเหมาก่อสร้าง</t>
  </si>
  <si>
    <t>น้ำมัน,ไสไดเออร์</t>
  </si>
  <si>
    <t>2  พี่ม้า</t>
  </si>
  <si>
    <t xml:space="preserve">สติกเกอร์Dmax </t>
  </si>
  <si>
    <t>1 ถษ10 (1707022)</t>
  </si>
  <si>
    <t>รถขยะ</t>
  </si>
  <si>
    <t>ดินสอเทียนเน้นแผล</t>
  </si>
  <si>
    <t>2 ช่างก่อสร้าง</t>
  </si>
  <si>
    <t>ใบตัดเหล็ก,ใบตัดเลส</t>
  </si>
  <si>
    <t>สิริโคลน,น้ำยาล้างห้องน้ำ,น้ำยาล้างจาน</t>
  </si>
  <si>
    <t>กิ๊บแผงประตู,3M</t>
  </si>
  <si>
    <t>เข็มรัดสายลม</t>
  </si>
  <si>
    <t>สีพ่นตราผึ้ง  4 กระป๋อง</t>
  </si>
  <si>
    <t>สีโป้วแดง3ศร,ผ้าปิดจมูก</t>
  </si>
  <si>
    <t>รายรับยืมเงิน</t>
  </si>
  <si>
    <t>ใบตัด14</t>
  </si>
  <si>
    <t>เกลียวปล่อยปลายสว่า 1 กล่อง</t>
  </si>
  <si>
    <t>SONAX</t>
  </si>
  <si>
    <t>ไฟฉายLED</t>
  </si>
  <si>
    <t>1  เงินจากน้องปิงโอนให้เฮียท๊อป</t>
  </si>
  <si>
    <t>สีพ่น 4 กระป๋อง</t>
  </si>
  <si>
    <t xml:space="preserve">ยืมรายรับพี่แอ้ม </t>
  </si>
  <si>
    <t>1 วันที่7/10/60</t>
  </si>
  <si>
    <t>อาหารหมา</t>
  </si>
  <si>
    <t>ค่าประกอบกระจังหน้า</t>
  </si>
  <si>
    <t>หัวน๊อค+แหวน</t>
  </si>
  <si>
    <t>เกลียวปล่อยสว่าน</t>
  </si>
  <si>
    <t>สติกเกอร์ DMAX</t>
  </si>
  <si>
    <t>กาวร้อน 2 อัน</t>
  </si>
  <si>
    <t>สก๊อตไบ</t>
  </si>
  <si>
    <t>แป๊บวีโก้</t>
  </si>
  <si>
    <t>ติดฟิลม์กระจก</t>
  </si>
  <si>
    <t>น้ำมันรถยนต์ TOYOTA</t>
  </si>
  <si>
    <t>ซิลิโคลนดำ,ผ้าปิดจมูก</t>
  </si>
  <si>
    <t>กิ๊บยึดพลาสิกซุ้มล้อ 20 ตัว</t>
  </si>
  <si>
    <t>ข้าวสาร,น้ำยาล้างห้องน้ำ</t>
  </si>
  <si>
    <t>คืนน้องปิง</t>
  </si>
  <si>
    <t>โอริง</t>
  </si>
  <si>
    <t>V ร้านรุ่งเรือง,ค่ามอไซร์</t>
  </si>
  <si>
    <t>น้าเข็มทองเบิก</t>
  </si>
  <si>
    <t>พี่อ้นธนชาต</t>
  </si>
  <si>
    <t>พี่แอ้มเบิกค่าแรง</t>
  </si>
  <si>
    <t>น้ำมันรถยนต์FORD</t>
  </si>
  <si>
    <t>ดอกสว่าน 3ดอก</t>
  </si>
  <si>
    <t>สิริโคลนดำ</t>
  </si>
  <si>
    <t>ปองโซนิก</t>
  </si>
  <si>
    <t>ติดฟิลม์กระจกหูช้าง,ประตูR</t>
  </si>
  <si>
    <t xml:space="preserve">สเกริสต์กันชนหน้า </t>
  </si>
  <si>
    <t>น้ำยาF11</t>
  </si>
  <si>
    <t>เทปกาวม้วนเล็ก</t>
  </si>
  <si>
    <t>น้ำมันเบนซิน</t>
  </si>
  <si>
    <t>สีพ่นตราผึ้ง  5 กระป๋อง</t>
  </si>
  <si>
    <t>วีว่า 10 มิล</t>
  </si>
  <si>
    <t>กาวร้อน,สติกเกอร์ดำ</t>
  </si>
  <si>
    <t>ดอกสว่านเหล็ด,ผงซักฟอก</t>
  </si>
  <si>
    <t>ช่างเคาะเหมาเบิก</t>
  </si>
  <si>
    <t>น้ำยาเป็ด</t>
  </si>
  <si>
    <t>สวิทกระจกแอนซ่า</t>
  </si>
  <si>
    <t>หัวน๊อต,แหวน</t>
  </si>
  <si>
    <t>สีพ่นตราผึ้งดำด้าน</t>
  </si>
  <si>
    <t>ดอกสว่าน 1 อัน</t>
  </si>
  <si>
    <t>แป๊บแอร์ CU2006</t>
  </si>
  <si>
    <t>น้ำยาล้างเครื่อง</t>
  </si>
  <si>
    <t>ค่าแรงช่างเคาะเหมา</t>
  </si>
  <si>
    <t>เหล็กฉาก</t>
  </si>
  <si>
    <t>ค่าแรงช่างสีน้าตุ้ย</t>
  </si>
  <si>
    <t>อะไหล่HONDA 756</t>
  </si>
  <si>
    <t>กรองอากาศ,กรองเครื่อง</t>
  </si>
  <si>
    <t>กรองอากาศT,น้ำมันเครื่อง</t>
  </si>
  <si>
    <t>น้องปิง</t>
  </si>
  <si>
    <t>เทปกาว</t>
  </si>
  <si>
    <t>เคลียร์ซับหมึก PT</t>
  </si>
  <si>
    <t>สิริโคลนใส</t>
  </si>
  <si>
    <t>พนักงานเคลมพี่ภัทระ</t>
  </si>
  <si>
    <t>น้ำมันมอเตอร์ไซร์</t>
  </si>
  <si>
    <t>สติกเกอร์กะบะ</t>
  </si>
  <si>
    <t>สก๊อตไบ,แปรงขัด</t>
  </si>
  <si>
    <t>ไฟเลี้ยวกระจกมองข้าง</t>
  </si>
  <si>
    <t>สีพ่นตราผึ้ง 3 กระป๋อง</t>
  </si>
  <si>
    <t>น้ำยาลอกคราบ</t>
  </si>
  <si>
    <t>น้ำยาล้างจาน,น้ำยาล้างห้องน้ำ</t>
  </si>
  <si>
    <t>พัดลม</t>
  </si>
  <si>
    <t>พนักงานเคลมกรุงไทย</t>
  </si>
  <si>
    <t>เดินทางตั้งเบิกประกันภัย</t>
  </si>
  <si>
    <t>หนังสือพิมพ์25</t>
  </si>
  <si>
    <t>สีพ่นตราผึ้ง,สีมุข</t>
  </si>
  <si>
    <t>ฝุ่นจีน,แม่สีน้ำ,ใบขัดสนิม</t>
  </si>
  <si>
    <t>เงินสัปดาห์ (เบิกจากรายรับ)</t>
  </si>
  <si>
    <t>สเกิร์ตTRC</t>
  </si>
  <si>
    <t>ล้อแม็ค 1 วง</t>
  </si>
  <si>
    <t>ทางด่วน,น้ำมันรถยนต์</t>
  </si>
  <si>
    <t>หัวศรแอร์</t>
  </si>
  <si>
    <t>สายไฟ VSF</t>
  </si>
  <si>
    <t>หัวเชื่อม 2 หัว</t>
  </si>
  <si>
    <t>กระดาษทรายซ้อน,สก็อตไบ</t>
  </si>
  <si>
    <t>DEALS</t>
  </si>
  <si>
    <t>ตั้งเบิกประกันภัย</t>
  </si>
  <si>
    <t>พนักงานเคลมบ.โปรเคลม</t>
  </si>
  <si>
    <t>อะไหล่น้องปิง</t>
  </si>
  <si>
    <t>สีพ่นตราผึ้ง 4 กระป๋อง</t>
  </si>
  <si>
    <t>ให้พี่สุนทร</t>
  </si>
  <si>
    <t>ค่าน้ำประปา</t>
  </si>
  <si>
    <t>รับเงินสัปดาห์</t>
  </si>
  <si>
    <t>น้ำมันเบลซิล</t>
  </si>
  <si>
    <t>ทางด่วน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</si>
</sst>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87" formatCode="[$-107041E]d\ mmm\ yy;@"/>
    <numFmt numFmtId="188" formatCode="[$-1070000]d/m/yy;@"/>
  </numFmts>
  <fonts count="15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1"/>
      <color rgb="FFFA7D00"/>
      <name val="Tahoma"/>
      <family val="2"/>
      <charset val="222"/>
      <scheme val="minor"/>
    </font>
    <font>
      <sz val="20"/>
      <color rgb="FF000000"/>
      <name val="Tahoma"/>
      <family val="2"/>
    </font>
    <font>
      <b/>
      <sz val="22"/>
      <color theme="1"/>
      <name val="Tahoma"/>
      <family val="2"/>
      <scheme val="minor"/>
    </font>
    <font>
      <sz val="16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6"/>
      <color theme="1"/>
      <name val="Tahoma"/>
      <family val="2"/>
      <scheme val="minor"/>
    </font>
    <font>
      <b/>
      <sz val="11"/>
      <color rgb="FFFA7D00"/>
      <name val="Tahoma"/>
      <family val="2"/>
      <charset val="222"/>
      <scheme val="minor"/>
    </font>
    <font>
      <sz val="14"/>
      <color theme="1"/>
      <name val="Tahoma"/>
      <family val="2"/>
      <scheme val="minor"/>
    </font>
    <font>
      <b/>
      <sz val="22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4"/>
      <color theme="0"/>
      <name val="Tahoma"/>
      <family val="2"/>
      <scheme val="minor"/>
    </font>
    <font>
      <sz val="20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5" borderId="26" applyNumberFormat="0" applyAlignment="0" applyProtection="0"/>
  </cellStyleXfs>
  <cellXfs count="91">
    <xf numFmtId="0" fontId="0" fillId="0" borderId="0" xfId="0"/>
    <xf numFmtId="188" fontId="0" fillId="0" borderId="0" xfId="0" applyNumberFormat="1"/>
    <xf numFmtId="43" fontId="0" fillId="0" borderId="0" xfId="1" applyFont="1"/>
    <xf numFmtId="187" fontId="4" fillId="0" borderId="0" xfId="0" applyNumberFormat="1" applyFont="1" applyBorder="1" applyAlignment="1">
      <alignment horizontal="left"/>
    </xf>
    <xf numFmtId="187" fontId="5" fillId="0" borderId="0" xfId="0" applyNumberFormat="1" applyFont="1" applyBorder="1"/>
    <xf numFmtId="0" fontId="5" fillId="0" borderId="0" xfId="0" applyFont="1" applyBorder="1"/>
    <xf numFmtId="43" fontId="5" fillId="0" borderId="0" xfId="1" applyFont="1" applyBorder="1"/>
    <xf numFmtId="0" fontId="6" fillId="0" borderId="0" xfId="0" applyFont="1" applyBorder="1"/>
    <xf numFmtId="0" fontId="5" fillId="0" borderId="0" xfId="0" applyNumberFormat="1" applyFont="1" applyBorder="1" applyAlignment="1">
      <alignment horizontal="center" vertical="center"/>
    </xf>
    <xf numFmtId="0" fontId="5" fillId="0" borderId="0" xfId="0" applyNumberFormat="1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187" fontId="7" fillId="0" borderId="22" xfId="0" applyNumberFormat="1" applyFont="1" applyBorder="1" applyAlignment="1">
      <alignment horizontal="center"/>
    </xf>
    <xf numFmtId="187" fontId="7" fillId="0" borderId="23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0" borderId="24" xfId="1" applyFont="1" applyBorder="1" applyAlignment="1">
      <alignment horizontal="center"/>
    </xf>
    <xf numFmtId="0" fontId="6" fillId="0" borderId="0" xfId="0" applyFont="1" applyAlignment="1">
      <alignment horizontal="center"/>
    </xf>
    <xf numFmtId="187" fontId="5" fillId="4" borderId="13" xfId="0" applyNumberFormat="1" applyFont="1" applyFill="1" applyBorder="1" applyAlignment="1">
      <alignment horizontal="left"/>
    </xf>
    <xf numFmtId="187" fontId="5" fillId="4" borderId="13" xfId="0" applyNumberFormat="1" applyFont="1" applyFill="1" applyBorder="1"/>
    <xf numFmtId="0" fontId="5" fillId="4" borderId="13" xfId="0" applyFont="1" applyFill="1" applyBorder="1"/>
    <xf numFmtId="43" fontId="5" fillId="4" borderId="13" xfId="1" applyFont="1" applyFill="1" applyBorder="1"/>
    <xf numFmtId="43" fontId="5" fillId="4" borderId="13" xfId="1" applyFont="1" applyFill="1" applyBorder="1" applyAlignment="1">
      <alignment horizontal="left"/>
    </xf>
    <xf numFmtId="0" fontId="6" fillId="0" borderId="0" xfId="0" applyFont="1"/>
    <xf numFmtId="187" fontId="5" fillId="4" borderId="10" xfId="0" applyNumberFormat="1" applyFont="1" applyFill="1" applyBorder="1" applyAlignment="1">
      <alignment horizontal="left"/>
    </xf>
    <xf numFmtId="187" fontId="5" fillId="4" borderId="10" xfId="0" applyNumberFormat="1" applyFont="1" applyFill="1" applyBorder="1"/>
    <xf numFmtId="0" fontId="5" fillId="4" borderId="10" xfId="0" applyFont="1" applyFill="1" applyBorder="1"/>
    <xf numFmtId="43" fontId="5" fillId="4" borderId="10" xfId="1" applyFont="1" applyFill="1" applyBorder="1"/>
    <xf numFmtId="43" fontId="5" fillId="4" borderId="10" xfId="1" applyFont="1" applyFill="1" applyBorder="1" applyAlignment="1">
      <alignment horizontal="left"/>
    </xf>
    <xf numFmtId="187" fontId="5" fillId="0" borderId="10" xfId="0" applyNumberFormat="1" applyFont="1" applyBorder="1" applyAlignment="1">
      <alignment horizontal="left"/>
    </xf>
    <xf numFmtId="187" fontId="5" fillId="0" borderId="10" xfId="0" applyNumberFormat="1" applyFont="1" applyBorder="1"/>
    <xf numFmtId="0" fontId="5" fillId="0" borderId="10" xfId="0" applyFont="1" applyBorder="1" applyAlignment="1">
      <alignment horizontal="left"/>
    </xf>
    <xf numFmtId="43" fontId="5" fillId="0" borderId="10" xfId="1" applyFont="1" applyBorder="1" applyAlignment="1">
      <alignment horizontal="left"/>
    </xf>
    <xf numFmtId="43" fontId="5" fillId="0" borderId="10" xfId="1" applyFont="1" applyBorder="1"/>
    <xf numFmtId="187" fontId="5" fillId="0" borderId="10" xfId="0" quotePrefix="1" applyNumberFormat="1" applyFont="1" applyBorder="1" applyAlignment="1">
      <alignment horizontal="left"/>
    </xf>
    <xf numFmtId="0" fontId="5" fillId="0" borderId="10" xfId="0" applyFont="1" applyBorder="1"/>
    <xf numFmtId="0" fontId="8" fillId="5" borderId="26" xfId="2" applyFont="1"/>
    <xf numFmtId="43" fontId="5" fillId="2" borderId="10" xfId="1" applyFont="1" applyFill="1" applyBorder="1"/>
    <xf numFmtId="0" fontId="9" fillId="2" borderId="0" xfId="0" applyFont="1" applyFill="1"/>
    <xf numFmtId="0" fontId="11" fillId="2" borderId="0" xfId="0" applyFont="1" applyFill="1"/>
    <xf numFmtId="0" fontId="9" fillId="0" borderId="0" xfId="0" applyFont="1"/>
    <xf numFmtId="0" fontId="9" fillId="2" borderId="2" xfId="0" applyFont="1" applyFill="1" applyBorder="1"/>
    <xf numFmtId="43" fontId="13" fillId="4" borderId="1" xfId="1" applyFont="1" applyFill="1" applyBorder="1" applyAlignment="1" applyProtection="1">
      <alignment horizontal="center" vertical="center"/>
      <protection locked="0"/>
    </xf>
    <xf numFmtId="0" fontId="9" fillId="2" borderId="3" xfId="0" applyFont="1" applyFill="1" applyBorder="1"/>
    <xf numFmtId="0" fontId="9" fillId="2" borderId="7" xfId="0" applyFont="1" applyFill="1" applyBorder="1"/>
    <xf numFmtId="0" fontId="9" fillId="2" borderId="0" xfId="0" applyFont="1" applyFill="1" applyBorder="1"/>
    <xf numFmtId="0" fontId="9" fillId="2" borderId="0" xfId="0" applyFont="1" applyFill="1" applyBorder="1" applyAlignment="1">
      <alignment horizontal="right"/>
    </xf>
    <xf numFmtId="187" fontId="9" fillId="2" borderId="0" xfId="0" applyNumberFormat="1" applyFont="1" applyFill="1" applyBorder="1" applyAlignment="1"/>
    <xf numFmtId="0" fontId="9" fillId="2" borderId="8" xfId="0" applyFont="1" applyFill="1" applyBorder="1"/>
    <xf numFmtId="0" fontId="14" fillId="2" borderId="0" xfId="0" applyFont="1" applyFill="1"/>
    <xf numFmtId="0" fontId="9" fillId="3" borderId="10" xfId="0" applyFont="1" applyFill="1" applyBorder="1" applyAlignment="1" applyProtection="1">
      <protection locked="0"/>
    </xf>
    <xf numFmtId="43" fontId="9" fillId="3" borderId="12" xfId="1" applyFont="1" applyFill="1" applyBorder="1" applyAlignment="1" applyProtection="1"/>
    <xf numFmtId="0" fontId="9" fillId="0" borderId="12" xfId="0" applyFont="1" applyBorder="1" applyAlignment="1"/>
    <xf numFmtId="0" fontId="9" fillId="2" borderId="0" xfId="0" applyFont="1" applyFill="1" applyBorder="1" applyProtection="1">
      <protection locked="0"/>
    </xf>
    <xf numFmtId="0" fontId="9" fillId="2" borderId="0" xfId="0" applyFont="1" applyFill="1" applyBorder="1" applyAlignment="1">
      <alignment horizontal="center"/>
    </xf>
    <xf numFmtId="0" fontId="9" fillId="0" borderId="7" xfId="0" applyFont="1" applyBorder="1"/>
    <xf numFmtId="0" fontId="9" fillId="2" borderId="14" xfId="0" applyFont="1" applyFill="1" applyBorder="1" applyAlignment="1">
      <alignment horizontal="center"/>
    </xf>
    <xf numFmtId="0" fontId="9" fillId="2" borderId="16" xfId="0" applyFont="1" applyFill="1" applyBorder="1" applyAlignment="1">
      <alignment horizontal="center"/>
    </xf>
    <xf numFmtId="0" fontId="9" fillId="2" borderId="17" xfId="0" applyFont="1" applyFill="1" applyBorder="1"/>
    <xf numFmtId="0" fontId="9" fillId="2" borderId="18" xfId="0" applyFont="1" applyFill="1" applyBorder="1"/>
    <xf numFmtId="0" fontId="9" fillId="2" borderId="10" xfId="0" applyFont="1" applyFill="1" applyBorder="1"/>
    <xf numFmtId="0" fontId="9" fillId="2" borderId="11" xfId="0" applyFont="1" applyFill="1" applyBorder="1" applyAlignment="1">
      <alignment horizontal="left"/>
    </xf>
    <xf numFmtId="0" fontId="9" fillId="2" borderId="12" xfId="0" applyFont="1" applyFill="1" applyBorder="1" applyAlignment="1">
      <alignment horizontal="left"/>
    </xf>
    <xf numFmtId="0" fontId="9" fillId="2" borderId="19" xfId="0" applyFont="1" applyFill="1" applyBorder="1"/>
    <xf numFmtId="0" fontId="9" fillId="2" borderId="20" xfId="0" applyFont="1" applyFill="1" applyBorder="1"/>
    <xf numFmtId="0" fontId="9" fillId="2" borderId="21" xfId="0" applyFont="1" applyFill="1" applyBorder="1"/>
    <xf numFmtId="0" fontId="9" fillId="2" borderId="4" xfId="0" applyFont="1" applyFill="1" applyBorder="1"/>
    <xf numFmtId="0" fontId="9" fillId="2" borderId="9" xfId="0" applyFont="1" applyFill="1" applyBorder="1"/>
    <xf numFmtId="0" fontId="9" fillId="2" borderId="5" xfId="0" applyFont="1" applyFill="1" applyBorder="1"/>
    <xf numFmtId="0" fontId="11" fillId="0" borderId="0" xfId="0" applyFont="1"/>
    <xf numFmtId="0" fontId="9" fillId="2" borderId="10" xfId="0" applyFont="1" applyFill="1" applyBorder="1" applyAlignment="1"/>
    <xf numFmtId="0" fontId="9" fillId="2" borderId="18" xfId="0" applyFont="1" applyFill="1" applyBorder="1" applyAlignment="1"/>
    <xf numFmtId="0" fontId="9" fillId="2" borderId="20" xfId="0" applyFont="1" applyFill="1" applyBorder="1" applyAlignment="1"/>
    <xf numFmtId="0" fontId="9" fillId="2" borderId="21" xfId="0" applyFont="1" applyFill="1" applyBorder="1" applyAlignment="1"/>
    <xf numFmtId="0" fontId="9" fillId="0" borderId="10" xfId="0" applyFont="1" applyFill="1" applyBorder="1" applyAlignment="1">
      <alignment horizontal="left"/>
    </xf>
    <xf numFmtId="0" fontId="9" fillId="2" borderId="15" xfId="0" applyFont="1" applyFill="1" applyBorder="1" applyAlignment="1">
      <alignment horizontal="center"/>
    </xf>
    <xf numFmtId="0" fontId="9" fillId="2" borderId="16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left"/>
    </xf>
    <xf numFmtId="0" fontId="9" fillId="3" borderId="10" xfId="0" applyFont="1" applyFill="1" applyBorder="1" applyAlignment="1" applyProtection="1">
      <alignment horizontal="left"/>
      <protection locked="0"/>
    </xf>
    <xf numFmtId="0" fontId="9" fillId="2" borderId="0" xfId="0" applyFont="1" applyFill="1" applyBorder="1" applyAlignment="1">
      <alignment horizontal="right"/>
    </xf>
    <xf numFmtId="0" fontId="10" fillId="2" borderId="9" xfId="0" applyFont="1" applyFill="1" applyBorder="1" applyAlignment="1">
      <alignment horizontal="left"/>
    </xf>
    <xf numFmtId="0" fontId="9" fillId="2" borderId="6" xfId="0" applyFont="1" applyFill="1" applyBorder="1" applyAlignment="1" applyProtection="1">
      <alignment horizontal="center"/>
      <protection locked="0"/>
    </xf>
    <xf numFmtId="0" fontId="12" fillId="2" borderId="6" xfId="0" applyFont="1" applyFill="1" applyBorder="1" applyAlignment="1" applyProtection="1">
      <alignment horizontal="center"/>
      <protection locked="0"/>
    </xf>
    <xf numFmtId="0" fontId="9" fillId="2" borderId="6" xfId="0" applyFont="1" applyFill="1" applyBorder="1" applyAlignment="1">
      <alignment horizontal="right" vertical="top"/>
    </xf>
    <xf numFmtId="0" fontId="9" fillId="2" borderId="3" xfId="0" applyFont="1" applyFill="1" applyBorder="1" applyAlignment="1">
      <alignment horizontal="right" vertical="top"/>
    </xf>
    <xf numFmtId="43" fontId="9" fillId="3" borderId="11" xfId="1" applyFont="1" applyFill="1" applyBorder="1" applyAlignment="1" applyProtection="1">
      <alignment horizontal="center"/>
      <protection locked="0"/>
    </xf>
    <xf numFmtId="43" fontId="9" fillId="3" borderId="25" xfId="1" applyFont="1" applyFill="1" applyBorder="1" applyAlignment="1" applyProtection="1">
      <alignment horizontal="center"/>
      <protection locked="0"/>
    </xf>
    <xf numFmtId="0" fontId="9" fillId="3" borderId="11" xfId="0" applyFont="1" applyFill="1" applyBorder="1" applyAlignment="1" applyProtection="1">
      <alignment horizontal="center"/>
      <protection locked="0"/>
    </xf>
    <xf numFmtId="0" fontId="9" fillId="3" borderId="25" xfId="0" applyFont="1" applyFill="1" applyBorder="1" applyAlignment="1" applyProtection="1">
      <alignment horizontal="center"/>
      <protection locked="0"/>
    </xf>
    <xf numFmtId="187" fontId="7" fillId="0" borderId="11" xfId="0" applyNumberFormat="1" applyFont="1" applyBorder="1" applyAlignment="1">
      <alignment horizontal="center"/>
    </xf>
    <xf numFmtId="187" fontId="7" fillId="0" borderId="25" xfId="0" applyNumberFormat="1" applyFont="1" applyBorder="1" applyAlignment="1">
      <alignment horizontal="center"/>
    </xf>
    <xf numFmtId="187" fontId="7" fillId="0" borderId="12" xfId="0" applyNumberFormat="1" applyFont="1" applyBorder="1" applyAlignment="1">
      <alignment horizontal="center"/>
    </xf>
  </cellXfs>
  <cellStyles count="3">
    <cellStyle name="Calculation" xfId="2" builtinId="22"/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C$2" lockText="1" noThreeD="1"/>
</file>

<file path=xl/ctrlProps/ctrlProp2.xml><?xml version="1.0" encoding="utf-8"?>
<formControlPr xmlns="http://schemas.microsoft.com/office/spreadsheetml/2009/9/main" objectType="CheckBox" fmlaLink="$E$2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19050</xdr:rowOff>
        </xdr:from>
        <xdr:to>
          <xdr:col>3</xdr:col>
          <xdr:colOff>409575</xdr:colOff>
          <xdr:row>3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19050</xdr:rowOff>
        </xdr:from>
        <xdr:to>
          <xdr:col>5</xdr:col>
          <xdr:colOff>266700</xdr:colOff>
          <xdr:row>3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676275</xdr:colOff>
          <xdr:row>4</xdr:row>
          <xdr:rowOff>9525</xdr:rowOff>
        </xdr:from>
        <xdr:to>
          <xdr:col>8</xdr:col>
          <xdr:colOff>1076325</xdr:colOff>
          <xdr:row>6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th-TH" sz="2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บันทึก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676275</xdr:colOff>
          <xdr:row>6</xdr:row>
          <xdr:rowOff>152400</xdr:rowOff>
        </xdr:from>
        <xdr:to>
          <xdr:col>8</xdr:col>
          <xdr:colOff>1076325</xdr:colOff>
          <xdr:row>8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th-TH" sz="2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ล้างข้อมูล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57150</xdr:rowOff>
        </xdr:from>
        <xdr:to>
          <xdr:col>4</xdr:col>
          <xdr:colOff>238125</xdr:colOff>
          <xdr:row>1</xdr:row>
          <xdr:rowOff>438150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th-TH" sz="2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รับเงินเข้าระบบ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</xdr:row>
          <xdr:rowOff>85725</xdr:rowOff>
        </xdr:from>
        <xdr:to>
          <xdr:col>1</xdr:col>
          <xdr:colOff>1143000</xdr:colOff>
          <xdr:row>1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th-TH" sz="2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จัดเรียงข้อมูล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9"/>
  <sheetViews>
    <sheetView tabSelected="1" zoomScale="120" zoomScaleNormal="120" workbookViewId="0">
      <selection activeCell="E5" sqref="E5"/>
    </sheetView>
  </sheetViews>
  <sheetFormatPr defaultColWidth="9.125" defaultRowHeight="18" x14ac:dyDescent="0.25"/>
  <cols>
    <col min="1" max="2" width="1.75" style="39" customWidth="1"/>
    <col min="3" max="3" width="5.75" style="39" customWidth="1"/>
    <col min="4" max="4" width="12.625" style="39" customWidth="1"/>
    <col min="5" max="5" width="7.875" style="39" customWidth="1"/>
    <col min="6" max="6" width="9.375" style="39" customWidth="1"/>
    <col min="7" max="7" width="11.75" style="39" customWidth="1"/>
    <col min="8" max="8" width="15.75" style="39" customWidth="1"/>
    <col min="9" max="9" width="25.125" style="39" customWidth="1"/>
    <col min="10" max="10" width="1.75" style="39" customWidth="1"/>
    <col min="11" max="11" width="1.75" style="68" customWidth="1"/>
    <col min="12" max="12" width="15.125" style="68" customWidth="1"/>
    <col min="13" max="13" width="8.375" style="39" customWidth="1"/>
    <col min="14" max="14" width="9.125" style="39"/>
    <col min="15" max="15" width="17.25" style="39" customWidth="1"/>
    <col min="16" max="16" width="12.75" style="39" customWidth="1"/>
    <col min="17" max="17" width="9.125" style="39"/>
    <col min="18" max="19" width="1.75" style="39" customWidth="1"/>
    <col min="20" max="16384" width="9.125" style="39"/>
  </cols>
  <sheetData>
    <row r="1" spans="1:15" ht="36" customHeight="1" thickBot="1" x14ac:dyDescent="0.4">
      <c r="A1" s="37"/>
      <c r="B1" s="79" t="s">
        <v>94</v>
      </c>
      <c r="C1" s="79"/>
      <c r="D1" s="79"/>
      <c r="E1" s="79"/>
      <c r="F1" s="79"/>
      <c r="G1" s="79"/>
      <c r="H1" s="79"/>
      <c r="I1" s="79"/>
      <c r="J1" s="79"/>
      <c r="K1" s="38"/>
      <c r="L1" s="38"/>
      <c r="M1" s="37"/>
      <c r="N1" s="37"/>
      <c r="O1" s="37"/>
    </row>
    <row r="2" spans="1:15" ht="39" customHeight="1" thickBot="1" x14ac:dyDescent="0.3">
      <c r="A2" s="37"/>
      <c r="B2" s="40"/>
      <c r="C2" s="80" t="b">
        <v>0</v>
      </c>
      <c r="D2" s="80"/>
      <c r="E2" s="81" t="b">
        <v>0</v>
      </c>
      <c r="F2" s="81"/>
      <c r="G2" s="82" t="s">
        <v>46</v>
      </c>
      <c r="H2" s="83"/>
      <c r="I2" s="41"/>
      <c r="J2" s="42"/>
      <c r="K2" s="38"/>
      <c r="L2" s="38"/>
      <c r="M2" s="37"/>
      <c r="N2" s="37"/>
      <c r="O2" s="37"/>
    </row>
    <row r="3" spans="1:15" x14ac:dyDescent="0.25">
      <c r="A3" s="37"/>
      <c r="B3" s="43"/>
      <c r="C3" s="44"/>
      <c r="D3" s="44" t="s">
        <v>1</v>
      </c>
      <c r="E3" s="44"/>
      <c r="F3" s="44" t="s">
        <v>2</v>
      </c>
      <c r="G3" s="45" t="s">
        <v>0</v>
      </c>
      <c r="H3" s="46">
        <f ca="1">NOW()</f>
        <v>43028.737775347225</v>
      </c>
      <c r="I3" s="46"/>
      <c r="J3" s="47"/>
      <c r="K3" s="38"/>
      <c r="L3" s="48"/>
      <c r="M3" s="37"/>
      <c r="N3" s="37"/>
      <c r="O3" s="37"/>
    </row>
    <row r="4" spans="1:15" ht="9.75" customHeight="1" x14ac:dyDescent="0.25">
      <c r="A4" s="37"/>
      <c r="B4" s="43"/>
      <c r="C4" s="44"/>
      <c r="D4" s="44"/>
      <c r="E4" s="44"/>
      <c r="F4" s="44"/>
      <c r="G4" s="44"/>
      <c r="H4" s="44"/>
      <c r="I4" s="44"/>
      <c r="J4" s="47"/>
      <c r="K4" s="38"/>
      <c r="L4" s="38"/>
      <c r="M4" s="37"/>
      <c r="N4" s="37"/>
      <c r="O4" s="37"/>
    </row>
    <row r="5" spans="1:15" ht="17.25" customHeight="1" x14ac:dyDescent="0.25">
      <c r="A5" s="37"/>
      <c r="B5" s="43"/>
      <c r="C5" s="78" t="s">
        <v>12</v>
      </c>
      <c r="D5" s="78"/>
      <c r="E5" s="49"/>
      <c r="F5" s="73" t="str">
        <f>IF(E5="","",VLOOKUP(E5,F12:H27,2,FALSE))</f>
        <v/>
      </c>
      <c r="G5" s="73"/>
      <c r="H5" s="44"/>
      <c r="I5" s="44"/>
      <c r="J5" s="47"/>
      <c r="K5" s="38"/>
      <c r="L5" s="38"/>
      <c r="M5" s="37"/>
      <c r="N5" s="37"/>
      <c r="O5" s="37"/>
    </row>
    <row r="6" spans="1:15" ht="17.25" customHeight="1" x14ac:dyDescent="0.25">
      <c r="A6" s="37"/>
      <c r="B6" s="43"/>
      <c r="C6" s="78" t="s">
        <v>13</v>
      </c>
      <c r="D6" s="78"/>
      <c r="E6" s="77"/>
      <c r="F6" s="77"/>
      <c r="G6" s="77"/>
      <c r="H6" s="44"/>
      <c r="I6" s="44"/>
      <c r="J6" s="47"/>
      <c r="K6" s="38"/>
      <c r="L6" s="38"/>
      <c r="M6" s="37"/>
      <c r="N6" s="37"/>
      <c r="O6" s="37"/>
    </row>
    <row r="7" spans="1:15" ht="17.25" customHeight="1" x14ac:dyDescent="0.25">
      <c r="A7" s="37"/>
      <c r="B7" s="43"/>
      <c r="C7" s="78" t="s">
        <v>14</v>
      </c>
      <c r="D7" s="78"/>
      <c r="E7" s="77"/>
      <c r="F7" s="77"/>
      <c r="G7" s="77"/>
      <c r="H7" s="44"/>
      <c r="I7" s="44"/>
      <c r="J7" s="47"/>
      <c r="K7" s="38"/>
      <c r="L7" s="38"/>
      <c r="M7" s="37"/>
      <c r="N7" s="37"/>
      <c r="O7" s="37"/>
    </row>
    <row r="8" spans="1:15" ht="17.25" customHeight="1" x14ac:dyDescent="0.25">
      <c r="A8" s="37"/>
      <c r="B8" s="43"/>
      <c r="C8" s="78" t="s">
        <v>15</v>
      </c>
      <c r="D8" s="78"/>
      <c r="E8" s="84"/>
      <c r="F8" s="85"/>
      <c r="G8" s="50" t="s">
        <v>8</v>
      </c>
      <c r="H8" s="44"/>
      <c r="I8" s="44"/>
      <c r="J8" s="47"/>
      <c r="K8" s="38"/>
      <c r="L8" s="38"/>
      <c r="M8" s="37"/>
      <c r="N8" s="37"/>
      <c r="O8" s="37"/>
    </row>
    <row r="9" spans="1:15" ht="17.25" customHeight="1" x14ac:dyDescent="0.25">
      <c r="A9" s="37"/>
      <c r="B9" s="43"/>
      <c r="C9" s="78" t="s">
        <v>16</v>
      </c>
      <c r="D9" s="78"/>
      <c r="E9" s="86"/>
      <c r="F9" s="87"/>
      <c r="G9" s="51" t="str">
        <f>IF(E9="","",VLOOKUP(E9,C12:E21,2,FALSE))</f>
        <v/>
      </c>
      <c r="H9" s="44"/>
      <c r="I9" s="44"/>
      <c r="J9" s="47"/>
      <c r="K9" s="38"/>
      <c r="L9" s="38"/>
      <c r="M9" s="37"/>
      <c r="N9" s="37"/>
      <c r="O9" s="37"/>
    </row>
    <row r="10" spans="1:15" ht="8.25" customHeight="1" thickBot="1" x14ac:dyDescent="0.3">
      <c r="A10" s="37"/>
      <c r="B10" s="43"/>
      <c r="C10" s="45"/>
      <c r="D10" s="45"/>
      <c r="E10" s="52"/>
      <c r="F10" s="53"/>
      <c r="G10" s="53"/>
      <c r="H10" s="44"/>
      <c r="I10" s="44"/>
      <c r="J10" s="47"/>
      <c r="K10" s="38"/>
      <c r="L10" s="38"/>
      <c r="M10" s="37"/>
      <c r="N10" s="37"/>
      <c r="O10" s="37"/>
    </row>
    <row r="11" spans="1:15" ht="17.25" customHeight="1" x14ac:dyDescent="0.25">
      <c r="A11" s="37"/>
      <c r="B11" s="54"/>
      <c r="C11" s="55" t="s">
        <v>41</v>
      </c>
      <c r="D11" s="74" t="s">
        <v>5</v>
      </c>
      <c r="E11" s="75"/>
      <c r="F11" s="55" t="s">
        <v>41</v>
      </c>
      <c r="G11" s="74" t="s">
        <v>42</v>
      </c>
      <c r="H11" s="74"/>
      <c r="I11" s="56" t="s">
        <v>43</v>
      </c>
      <c r="J11" s="47"/>
      <c r="K11" s="38"/>
      <c r="L11" s="38"/>
      <c r="M11" s="37"/>
      <c r="N11" s="37"/>
      <c r="O11" s="37"/>
    </row>
    <row r="12" spans="1:15" ht="18" customHeight="1" x14ac:dyDescent="0.25">
      <c r="A12" s="37"/>
      <c r="B12" s="54"/>
      <c r="C12" s="57">
        <v>1</v>
      </c>
      <c r="D12" s="69" t="s">
        <v>17</v>
      </c>
      <c r="E12" s="70"/>
      <c r="F12" s="57">
        <v>1</v>
      </c>
      <c r="G12" s="76" t="s">
        <v>19</v>
      </c>
      <c r="H12" s="76"/>
      <c r="I12" s="58" t="s">
        <v>20</v>
      </c>
      <c r="J12" s="47"/>
      <c r="K12" s="38"/>
      <c r="L12" s="38"/>
      <c r="M12" s="37"/>
      <c r="N12" s="37"/>
      <c r="O12" s="37"/>
    </row>
    <row r="13" spans="1:15" ht="18" customHeight="1" x14ac:dyDescent="0.25">
      <c r="A13" s="37"/>
      <c r="B13" s="54"/>
      <c r="C13" s="57">
        <v>2</v>
      </c>
      <c r="D13" s="69" t="s">
        <v>18</v>
      </c>
      <c r="E13" s="70"/>
      <c r="F13" s="57">
        <v>2</v>
      </c>
      <c r="G13" s="59" t="s">
        <v>45</v>
      </c>
      <c r="H13" s="59"/>
      <c r="I13" s="58" t="s">
        <v>20</v>
      </c>
      <c r="J13" s="47"/>
      <c r="K13" s="38"/>
      <c r="L13" s="38"/>
      <c r="M13" s="37"/>
      <c r="N13" s="37"/>
      <c r="O13" s="37"/>
    </row>
    <row r="14" spans="1:15" ht="18" customHeight="1" x14ac:dyDescent="0.25">
      <c r="A14" s="37"/>
      <c r="B14" s="54"/>
      <c r="C14" s="57">
        <v>3</v>
      </c>
      <c r="D14" s="69" t="s">
        <v>7</v>
      </c>
      <c r="E14" s="70"/>
      <c r="F14" s="57">
        <v>5</v>
      </c>
      <c r="G14" s="59" t="s">
        <v>21</v>
      </c>
      <c r="H14" s="59"/>
      <c r="I14" s="58" t="s">
        <v>22</v>
      </c>
      <c r="J14" s="47"/>
      <c r="K14" s="38"/>
      <c r="L14" s="38"/>
      <c r="M14" s="37"/>
      <c r="N14" s="37"/>
      <c r="O14" s="37"/>
    </row>
    <row r="15" spans="1:15" ht="18" customHeight="1" x14ac:dyDescent="0.25">
      <c r="A15" s="37"/>
      <c r="B15" s="54"/>
      <c r="C15" s="57">
        <v>4</v>
      </c>
      <c r="D15" s="69" t="s">
        <v>44</v>
      </c>
      <c r="E15" s="70"/>
      <c r="F15" s="57">
        <v>6</v>
      </c>
      <c r="G15" s="59" t="s">
        <v>23</v>
      </c>
      <c r="H15" s="59"/>
      <c r="I15" s="58" t="s">
        <v>22</v>
      </c>
      <c r="J15" s="47"/>
      <c r="K15" s="38"/>
      <c r="L15" s="38"/>
      <c r="M15" s="37"/>
      <c r="N15" s="37"/>
      <c r="O15" s="37"/>
    </row>
    <row r="16" spans="1:15" ht="18" customHeight="1" x14ac:dyDescent="0.25">
      <c r="A16" s="37"/>
      <c r="B16" s="54"/>
      <c r="C16" s="57">
        <v>5</v>
      </c>
      <c r="D16" s="69" t="s">
        <v>64</v>
      </c>
      <c r="E16" s="70"/>
      <c r="F16" s="57">
        <v>7</v>
      </c>
      <c r="G16" s="59" t="s">
        <v>24</v>
      </c>
      <c r="H16" s="59"/>
      <c r="I16" s="58" t="s">
        <v>25</v>
      </c>
      <c r="J16" s="47"/>
      <c r="K16" s="38"/>
      <c r="L16" s="38"/>
      <c r="M16" s="37"/>
      <c r="N16" s="37"/>
      <c r="O16" s="37"/>
    </row>
    <row r="17" spans="1:15" ht="18" customHeight="1" x14ac:dyDescent="0.25">
      <c r="A17" s="37"/>
      <c r="B17" s="54"/>
      <c r="C17" s="57">
        <v>6</v>
      </c>
      <c r="D17" s="69" t="s">
        <v>75</v>
      </c>
      <c r="E17" s="70"/>
      <c r="F17" s="57">
        <v>9</v>
      </c>
      <c r="G17" s="59" t="s">
        <v>26</v>
      </c>
      <c r="H17" s="59"/>
      <c r="I17" s="58" t="s">
        <v>25</v>
      </c>
      <c r="J17" s="47"/>
      <c r="K17" s="38"/>
      <c r="L17" s="38"/>
      <c r="M17" s="37"/>
      <c r="N17" s="37"/>
      <c r="O17" s="37"/>
    </row>
    <row r="18" spans="1:15" ht="18" customHeight="1" x14ac:dyDescent="0.25">
      <c r="A18" s="37"/>
      <c r="B18" s="54"/>
      <c r="C18" s="57">
        <v>7</v>
      </c>
      <c r="D18" s="69"/>
      <c r="E18" s="70"/>
      <c r="F18" s="57">
        <v>11</v>
      </c>
      <c r="G18" s="60" t="s">
        <v>27</v>
      </c>
      <c r="H18" s="61"/>
      <c r="I18" s="58" t="s">
        <v>28</v>
      </c>
      <c r="J18" s="47"/>
      <c r="K18" s="38"/>
      <c r="L18" s="38"/>
      <c r="M18" s="37"/>
      <c r="N18" s="37"/>
      <c r="O18" s="37"/>
    </row>
    <row r="19" spans="1:15" ht="18" customHeight="1" x14ac:dyDescent="0.25">
      <c r="A19" s="37"/>
      <c r="B19" s="54"/>
      <c r="C19" s="57">
        <v>8</v>
      </c>
      <c r="D19" s="69"/>
      <c r="E19" s="70"/>
      <c r="F19" s="57">
        <v>12</v>
      </c>
      <c r="G19" s="59" t="s">
        <v>29</v>
      </c>
      <c r="H19" s="59"/>
      <c r="I19" s="58" t="s">
        <v>30</v>
      </c>
      <c r="J19" s="47"/>
      <c r="K19" s="38"/>
      <c r="L19" s="38"/>
      <c r="M19" s="37"/>
      <c r="N19" s="37"/>
      <c r="O19" s="37"/>
    </row>
    <row r="20" spans="1:15" ht="18" customHeight="1" x14ac:dyDescent="0.25">
      <c r="A20" s="37"/>
      <c r="B20" s="54"/>
      <c r="C20" s="57">
        <v>9</v>
      </c>
      <c r="D20" s="69"/>
      <c r="E20" s="70"/>
      <c r="F20" s="57">
        <v>22</v>
      </c>
      <c r="G20" s="59" t="s">
        <v>31</v>
      </c>
      <c r="H20" s="59"/>
      <c r="I20" s="58" t="s">
        <v>32</v>
      </c>
      <c r="J20" s="47"/>
      <c r="K20" s="38"/>
      <c r="L20" s="38"/>
      <c r="M20" s="37"/>
      <c r="N20" s="37"/>
      <c r="O20" s="37"/>
    </row>
    <row r="21" spans="1:15" ht="18" customHeight="1" thickBot="1" x14ac:dyDescent="0.3">
      <c r="A21" s="37"/>
      <c r="B21" s="54"/>
      <c r="C21" s="62">
        <v>10</v>
      </c>
      <c r="D21" s="71" t="s">
        <v>54</v>
      </c>
      <c r="E21" s="72"/>
      <c r="F21" s="57">
        <v>24</v>
      </c>
      <c r="G21" s="59" t="s">
        <v>33</v>
      </c>
      <c r="H21" s="59"/>
      <c r="I21" s="58" t="s">
        <v>20</v>
      </c>
      <c r="J21" s="47"/>
      <c r="K21" s="38"/>
      <c r="L21" s="38"/>
      <c r="M21" s="37"/>
      <c r="N21" s="37"/>
      <c r="O21" s="37"/>
    </row>
    <row r="22" spans="1:15" x14ac:dyDescent="0.25">
      <c r="A22" s="37"/>
      <c r="B22" s="54"/>
      <c r="C22" s="44"/>
      <c r="D22" s="44"/>
      <c r="E22" s="44"/>
      <c r="F22" s="57">
        <v>27</v>
      </c>
      <c r="G22" s="59" t="s">
        <v>34</v>
      </c>
      <c r="H22" s="59"/>
      <c r="I22" s="58" t="s">
        <v>28</v>
      </c>
      <c r="J22" s="47"/>
      <c r="K22" s="38"/>
      <c r="L22" s="38"/>
      <c r="M22" s="37"/>
      <c r="N22" s="37"/>
      <c r="O22" s="37"/>
    </row>
    <row r="23" spans="1:15" x14ac:dyDescent="0.25">
      <c r="A23" s="37"/>
      <c r="B23" s="54"/>
      <c r="C23" s="44"/>
      <c r="D23" s="44"/>
      <c r="E23" s="44"/>
      <c r="F23" s="57">
        <v>28</v>
      </c>
      <c r="G23" s="59" t="s">
        <v>35</v>
      </c>
      <c r="H23" s="59"/>
      <c r="I23" s="58" t="s">
        <v>28</v>
      </c>
      <c r="J23" s="47"/>
      <c r="K23" s="38"/>
      <c r="L23" s="38"/>
      <c r="M23" s="37"/>
      <c r="N23" s="37"/>
      <c r="O23" s="37"/>
    </row>
    <row r="24" spans="1:15" x14ac:dyDescent="0.25">
      <c r="A24" s="37"/>
      <c r="B24" s="54"/>
      <c r="C24" s="44"/>
      <c r="D24" s="44"/>
      <c r="E24" s="44"/>
      <c r="F24" s="57">
        <v>29</v>
      </c>
      <c r="G24" s="59" t="s">
        <v>36</v>
      </c>
      <c r="H24" s="59"/>
      <c r="I24" s="58" t="s">
        <v>28</v>
      </c>
      <c r="J24" s="47"/>
      <c r="K24" s="38"/>
      <c r="L24" s="38"/>
      <c r="M24" s="37"/>
      <c r="N24" s="37"/>
      <c r="O24" s="37"/>
    </row>
    <row r="25" spans="1:15" x14ac:dyDescent="0.25">
      <c r="A25" s="37"/>
      <c r="B25" s="54"/>
      <c r="C25" s="44"/>
      <c r="D25" s="44"/>
      <c r="E25" s="44"/>
      <c r="F25" s="57">
        <v>30</v>
      </c>
      <c r="G25" s="59" t="s">
        <v>37</v>
      </c>
      <c r="H25" s="59"/>
      <c r="I25" s="58" t="s">
        <v>28</v>
      </c>
      <c r="J25" s="47"/>
      <c r="K25" s="38"/>
      <c r="L25" s="38"/>
      <c r="M25" s="37"/>
      <c r="N25" s="37"/>
      <c r="O25" s="37"/>
    </row>
    <row r="26" spans="1:15" x14ac:dyDescent="0.25">
      <c r="A26" s="37"/>
      <c r="B26" s="43"/>
      <c r="C26" s="44"/>
      <c r="D26" s="44"/>
      <c r="E26" s="44"/>
      <c r="F26" s="57">
        <v>31</v>
      </c>
      <c r="G26" s="60" t="s">
        <v>38</v>
      </c>
      <c r="H26" s="61"/>
      <c r="I26" s="58" t="s">
        <v>28</v>
      </c>
      <c r="J26" s="47"/>
      <c r="K26" s="38"/>
      <c r="L26" s="38"/>
      <c r="M26" s="37"/>
      <c r="N26" s="37"/>
      <c r="O26" s="37"/>
    </row>
    <row r="27" spans="1:15" ht="18.75" thickBot="1" x14ac:dyDescent="0.3">
      <c r="A27" s="37"/>
      <c r="B27" s="43"/>
      <c r="C27" s="44"/>
      <c r="D27" s="44"/>
      <c r="E27" s="44"/>
      <c r="F27" s="62">
        <v>37</v>
      </c>
      <c r="G27" s="63" t="s">
        <v>39</v>
      </c>
      <c r="H27" s="63"/>
      <c r="I27" s="64" t="s">
        <v>40</v>
      </c>
      <c r="J27" s="47"/>
      <c r="K27" s="38"/>
      <c r="L27" s="38"/>
      <c r="M27" s="37"/>
      <c r="N27" s="37"/>
      <c r="O27" s="37"/>
    </row>
    <row r="28" spans="1:15" ht="18.75" thickBot="1" x14ac:dyDescent="0.3">
      <c r="A28" s="37"/>
      <c r="B28" s="65"/>
      <c r="C28" s="66"/>
      <c r="D28" s="66"/>
      <c r="E28" s="66"/>
      <c r="F28" s="66"/>
      <c r="G28" s="66"/>
      <c r="H28" s="66"/>
      <c r="I28" s="66"/>
      <c r="J28" s="67"/>
      <c r="K28" s="38"/>
      <c r="L28" s="38"/>
      <c r="M28" s="37"/>
      <c r="N28" s="37"/>
      <c r="O28" s="37"/>
    </row>
    <row r="29" spans="1:15" x14ac:dyDescent="0.25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8"/>
      <c r="L29" s="38"/>
      <c r="M29" s="37"/>
      <c r="N29" s="37"/>
      <c r="O29" s="37"/>
    </row>
    <row r="30" spans="1:15" x14ac:dyDescent="0.25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8"/>
      <c r="L30" s="38"/>
      <c r="M30" s="37"/>
      <c r="N30" s="37"/>
      <c r="O30" s="37"/>
    </row>
    <row r="31" spans="1:15" x14ac:dyDescent="0.25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8"/>
      <c r="L31" s="38"/>
      <c r="M31" s="37"/>
      <c r="N31" s="37"/>
      <c r="O31" s="37"/>
    </row>
    <row r="32" spans="1:15" x14ac:dyDescent="0.25">
      <c r="A32" s="37"/>
      <c r="B32" s="37"/>
      <c r="C32" s="37"/>
      <c r="D32" s="38"/>
      <c r="E32" s="38"/>
      <c r="F32" s="38"/>
      <c r="G32" s="38"/>
      <c r="H32" s="38"/>
      <c r="I32" s="38"/>
      <c r="J32" s="37"/>
      <c r="K32" s="38"/>
      <c r="L32" s="38"/>
      <c r="M32" s="37"/>
      <c r="N32" s="37"/>
      <c r="O32" s="37"/>
    </row>
    <row r="33" spans="1:15" x14ac:dyDescent="0.25">
      <c r="A33" s="37"/>
      <c r="B33" s="37"/>
      <c r="C33" s="37"/>
      <c r="D33" s="38"/>
      <c r="E33" s="38"/>
      <c r="F33" s="38"/>
      <c r="G33" s="38"/>
      <c r="H33" s="38"/>
      <c r="I33" s="38"/>
      <c r="J33" s="37"/>
      <c r="K33" s="38"/>
      <c r="L33" s="38"/>
      <c r="M33" s="37"/>
      <c r="N33" s="37"/>
      <c r="O33" s="37"/>
    </row>
    <row r="34" spans="1:15" x14ac:dyDescent="0.25">
      <c r="A34" s="37"/>
      <c r="B34" s="37"/>
      <c r="C34" s="37"/>
      <c r="D34" s="38"/>
      <c r="E34" s="38"/>
      <c r="F34" s="38"/>
      <c r="G34" s="38"/>
      <c r="H34" s="38"/>
      <c r="I34" s="38"/>
      <c r="J34" s="37"/>
      <c r="K34" s="38"/>
      <c r="L34" s="38"/>
      <c r="M34" s="37"/>
      <c r="N34" s="37"/>
      <c r="O34" s="37"/>
    </row>
    <row r="35" spans="1:15" x14ac:dyDescent="0.25">
      <c r="A35" s="37"/>
      <c r="B35" s="37"/>
      <c r="C35" s="37"/>
      <c r="D35" s="38"/>
      <c r="E35" s="38"/>
      <c r="F35" s="38"/>
      <c r="G35" s="38"/>
      <c r="H35" s="38"/>
      <c r="I35" s="38"/>
      <c r="J35" s="37"/>
      <c r="K35" s="38"/>
      <c r="L35" s="38"/>
      <c r="M35" s="37"/>
      <c r="N35" s="37"/>
      <c r="O35" s="37"/>
    </row>
    <row r="36" spans="1:15" x14ac:dyDescent="0.25">
      <c r="A36" s="37"/>
      <c r="B36" s="37"/>
      <c r="C36" s="37"/>
      <c r="D36" s="38"/>
      <c r="E36" s="38"/>
      <c r="F36" s="38"/>
      <c r="G36" s="38"/>
      <c r="H36" s="38"/>
      <c r="I36" s="38"/>
      <c r="J36" s="37"/>
      <c r="K36" s="38"/>
      <c r="L36" s="38"/>
      <c r="M36" s="37"/>
      <c r="N36" s="37"/>
      <c r="O36" s="37"/>
    </row>
    <row r="37" spans="1:15" x14ac:dyDescent="0.25">
      <c r="A37" s="37"/>
      <c r="B37" s="37"/>
      <c r="C37" s="37"/>
      <c r="D37" s="38"/>
      <c r="E37" s="38"/>
      <c r="F37" s="38"/>
      <c r="G37" s="38"/>
      <c r="H37" s="38"/>
      <c r="I37" s="38"/>
      <c r="J37" s="37"/>
      <c r="K37" s="38"/>
      <c r="L37" s="38"/>
      <c r="M37" s="37"/>
      <c r="N37" s="37"/>
      <c r="O37" s="37"/>
    </row>
    <row r="38" spans="1:15" x14ac:dyDescent="0.25">
      <c r="A38" s="37"/>
      <c r="B38" s="37"/>
      <c r="C38" s="37"/>
      <c r="D38" s="38"/>
      <c r="E38" s="38"/>
      <c r="F38" s="38"/>
      <c r="G38" s="38"/>
      <c r="H38" s="38"/>
      <c r="I38" s="38"/>
      <c r="J38" s="37"/>
      <c r="K38" s="38"/>
      <c r="L38" s="38"/>
      <c r="M38" s="37"/>
      <c r="N38" s="37"/>
      <c r="O38" s="37"/>
    </row>
    <row r="39" spans="1:15" x14ac:dyDescent="0.25">
      <c r="A39" s="37"/>
      <c r="B39" s="37"/>
      <c r="C39" s="37"/>
      <c r="D39" s="38"/>
      <c r="E39" s="38"/>
      <c r="F39" s="38"/>
      <c r="G39" s="38"/>
      <c r="H39" s="38"/>
      <c r="I39" s="38"/>
      <c r="J39" s="37"/>
      <c r="K39" s="38"/>
      <c r="L39" s="38"/>
      <c r="M39" s="37"/>
      <c r="N39" s="37"/>
      <c r="O39" s="37"/>
    </row>
  </sheetData>
  <sheetProtection sheet="1" objects="1" scenarios="1" selectLockedCells="1"/>
  <sortState ref="A2:F3">
    <sortCondition ref="A2"/>
  </sortState>
  <mergeCells count="27">
    <mergeCell ref="B1:J1"/>
    <mergeCell ref="C2:D2"/>
    <mergeCell ref="E2:F2"/>
    <mergeCell ref="G2:H2"/>
    <mergeCell ref="D18:E18"/>
    <mergeCell ref="D12:E12"/>
    <mergeCell ref="C5:D5"/>
    <mergeCell ref="C6:D6"/>
    <mergeCell ref="C7:D7"/>
    <mergeCell ref="C8:D8"/>
    <mergeCell ref="E6:G6"/>
    <mergeCell ref="E8:F8"/>
    <mergeCell ref="E9:F9"/>
    <mergeCell ref="D19:E19"/>
    <mergeCell ref="D20:E20"/>
    <mergeCell ref="D21:E21"/>
    <mergeCell ref="F5:G5"/>
    <mergeCell ref="D11:E11"/>
    <mergeCell ref="G11:H11"/>
    <mergeCell ref="G12:H12"/>
    <mergeCell ref="D13:E13"/>
    <mergeCell ref="D14:E14"/>
    <mergeCell ref="D15:E15"/>
    <mergeCell ref="D16:E16"/>
    <mergeCell ref="D17:E17"/>
    <mergeCell ref="E7:G7"/>
    <mergeCell ref="C9:D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 macro="[0]!chkid1">
                <anchor moveWithCells="1">
                  <from>
                    <xdr:col>2</xdr:col>
                    <xdr:colOff>9525</xdr:colOff>
                    <xdr:row>2</xdr:row>
                    <xdr:rowOff>19050</xdr:rowOff>
                  </from>
                  <to>
                    <xdr:col>3</xdr:col>
                    <xdr:colOff>409575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 macro="[0]!chkid2">
                <anchor moveWithCells="1">
                  <from>
                    <xdr:col>4</xdr:col>
                    <xdr:colOff>9525</xdr:colOff>
                    <xdr:row>2</xdr:row>
                    <xdr:rowOff>19050</xdr:rowOff>
                  </from>
                  <to>
                    <xdr:col>5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addINCEXPLIST">
                <anchor moveWithCells="1" sizeWithCells="1">
                  <from>
                    <xdr:col>7</xdr:col>
                    <xdr:colOff>676275</xdr:colOff>
                    <xdr:row>4</xdr:row>
                    <xdr:rowOff>9525</xdr:rowOff>
                  </from>
                  <to>
                    <xdr:col>8</xdr:col>
                    <xdr:colOff>1076325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rINCEXPLIST">
                <anchor moveWithCells="1" sizeWithCells="1">
                  <from>
                    <xdr:col>7</xdr:col>
                    <xdr:colOff>676275</xdr:colOff>
                    <xdr:row>6</xdr:row>
                    <xdr:rowOff>152400</xdr:rowOff>
                  </from>
                  <to>
                    <xdr:col>8</xdr:col>
                    <xdr:colOff>1076325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addmoney">
                <anchor moveWithCells="1" sizeWithCells="1">
                  <from>
                    <xdr:col>2</xdr:col>
                    <xdr:colOff>28575</xdr:colOff>
                    <xdr:row>1</xdr:row>
                    <xdr:rowOff>57150</xdr:rowOff>
                  </from>
                  <to>
                    <xdr:col>4</xdr:col>
                    <xdr:colOff>238125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539"/>
  <sheetViews>
    <sheetView zoomScale="95" zoomScaleNormal="95" workbookViewId="0">
      <pane ySplit="3" topLeftCell="A280" activePane="bottomLeft" state="frozen"/>
      <selection pane="bottomLeft" activeCell="A2" sqref="A2"/>
    </sheetView>
  </sheetViews>
  <sheetFormatPr defaultRowHeight="19.5" x14ac:dyDescent="0.25"/>
  <cols>
    <col min="1" max="1" width="16.75" style="28" customWidth="1"/>
    <col min="2" max="2" width="12.25" style="29" customWidth="1"/>
    <col min="3" max="3" width="21.125" style="29" customWidth="1"/>
    <col min="4" max="5" width="38.125" style="34" customWidth="1"/>
    <col min="6" max="7" width="19.375" style="32" customWidth="1"/>
    <col min="8" max="8" width="23.75" style="32" customWidth="1"/>
    <col min="9" max="16384" width="9" style="22"/>
  </cols>
  <sheetData>
    <row r="1" spans="1:8" s="7" customFormat="1" ht="27" x14ac:dyDescent="0.35">
      <c r="A1" s="3" t="s">
        <v>93</v>
      </c>
      <c r="B1" s="4"/>
      <c r="C1" s="4"/>
      <c r="D1" s="5"/>
      <c r="E1" s="5"/>
      <c r="F1" s="6"/>
      <c r="G1" s="6"/>
      <c r="H1" s="6"/>
    </row>
    <row r="2" spans="1:8" s="7" customFormat="1" ht="43.5" customHeight="1" thickBot="1" x14ac:dyDescent="0.3">
      <c r="A2" s="8" t="s">
        <v>9</v>
      </c>
      <c r="B2" s="9">
        <f>COUNTA(A:A)+1</f>
        <v>296</v>
      </c>
      <c r="C2" s="9"/>
      <c r="D2" s="10" t="str">
        <f>"บรรทัดต่อไป "&amp;B2</f>
        <v>บรรทัดต่อไป 296</v>
      </c>
      <c r="E2" s="10"/>
      <c r="F2" s="6"/>
      <c r="G2" s="6"/>
      <c r="H2" s="6"/>
    </row>
    <row r="3" spans="1:8" s="16" customFormat="1" ht="20.25" thickBot="1" x14ac:dyDescent="0.3">
      <c r="A3" s="11" t="s">
        <v>0</v>
      </c>
      <c r="B3" s="12" t="s">
        <v>5</v>
      </c>
      <c r="C3" s="12" t="s">
        <v>11</v>
      </c>
      <c r="D3" s="13" t="s">
        <v>3</v>
      </c>
      <c r="E3" s="13" t="s">
        <v>6</v>
      </c>
      <c r="F3" s="14" t="s">
        <v>1</v>
      </c>
      <c r="G3" s="14" t="s">
        <v>2</v>
      </c>
      <c r="H3" s="15" t="s">
        <v>4</v>
      </c>
    </row>
    <row r="4" spans="1:8" x14ac:dyDescent="0.25">
      <c r="A4" s="17" t="s">
        <v>47</v>
      </c>
      <c r="B4" s="18" t="s">
        <v>80</v>
      </c>
      <c r="C4" s="18" t="s">
        <v>80</v>
      </c>
      <c r="D4" s="19"/>
      <c r="E4" s="19"/>
      <c r="F4" s="20"/>
      <c r="G4" s="20"/>
      <c r="H4" s="21"/>
    </row>
    <row r="5" spans="1:8" x14ac:dyDescent="0.25">
      <c r="A5" s="23">
        <v>42982.440228703701</v>
      </c>
      <c r="B5" s="24"/>
      <c r="C5" s="24"/>
      <c r="D5" s="25" t="s">
        <v>10</v>
      </c>
      <c r="E5" s="25"/>
      <c r="F5" s="26">
        <v>20000</v>
      </c>
      <c r="G5" s="26"/>
      <c r="H5" s="27">
        <f>F5</f>
        <v>20000</v>
      </c>
    </row>
    <row r="6" spans="1:8" x14ac:dyDescent="0.25">
      <c r="A6" s="23">
        <v>42982.661478125003</v>
      </c>
      <c r="B6" s="24" t="s">
        <v>7</v>
      </c>
      <c r="C6" s="24" t="s">
        <v>45</v>
      </c>
      <c r="D6" s="25">
        <v>1</v>
      </c>
      <c r="E6" s="25" t="s">
        <v>582</v>
      </c>
      <c r="F6" s="26"/>
      <c r="G6" s="26">
        <v>340</v>
      </c>
      <c r="H6" s="27">
        <f t="shared" ref="H6:H12" si="0">H5+F6-G6</f>
        <v>19660</v>
      </c>
    </row>
    <row r="7" spans="1:8" x14ac:dyDescent="0.25">
      <c r="A7" s="28">
        <v>42982.662923495373</v>
      </c>
      <c r="B7" s="29" t="s">
        <v>17</v>
      </c>
      <c r="C7" s="29" t="s">
        <v>23</v>
      </c>
      <c r="D7" s="30">
        <v>1</v>
      </c>
      <c r="E7" s="30" t="s">
        <v>581</v>
      </c>
      <c r="F7" s="31"/>
      <c r="G7" s="31">
        <v>260</v>
      </c>
      <c r="H7" s="32">
        <f t="shared" si="0"/>
        <v>19400</v>
      </c>
    </row>
    <row r="8" spans="1:8" x14ac:dyDescent="0.25">
      <c r="A8" s="33">
        <v>42982.667252546293</v>
      </c>
      <c r="B8" s="29" t="s">
        <v>7</v>
      </c>
      <c r="C8" s="29" t="s">
        <v>45</v>
      </c>
      <c r="D8" s="30">
        <v>1</v>
      </c>
      <c r="E8" s="30" t="s">
        <v>583</v>
      </c>
      <c r="F8" s="31"/>
      <c r="G8" s="31">
        <v>220</v>
      </c>
      <c r="H8" s="32">
        <f t="shared" si="0"/>
        <v>19180</v>
      </c>
    </row>
    <row r="9" spans="1:8" x14ac:dyDescent="0.25">
      <c r="A9" s="28">
        <v>42982.668100925926</v>
      </c>
      <c r="B9" s="29" t="s">
        <v>64</v>
      </c>
      <c r="C9" s="29" t="s">
        <v>45</v>
      </c>
      <c r="D9" s="34">
        <v>1</v>
      </c>
      <c r="E9" s="34" t="s">
        <v>109</v>
      </c>
      <c r="G9" s="32">
        <v>1500</v>
      </c>
      <c r="H9" s="32">
        <f t="shared" si="0"/>
        <v>17680</v>
      </c>
    </row>
    <row r="10" spans="1:8" x14ac:dyDescent="0.25">
      <c r="A10" s="23">
        <v>42982.668636111113</v>
      </c>
      <c r="B10" s="24" t="s">
        <v>75</v>
      </c>
      <c r="C10" s="24" t="s">
        <v>45</v>
      </c>
      <c r="D10" s="25">
        <v>1</v>
      </c>
      <c r="E10" s="25" t="s">
        <v>98</v>
      </c>
      <c r="F10" s="26"/>
      <c r="G10" s="26">
        <v>1200</v>
      </c>
      <c r="H10" s="26">
        <f t="shared" si="0"/>
        <v>16480</v>
      </c>
    </row>
    <row r="11" spans="1:8" x14ac:dyDescent="0.25">
      <c r="A11" s="23">
        <v>42982.669510532411</v>
      </c>
      <c r="B11" s="24" t="s">
        <v>7</v>
      </c>
      <c r="C11" s="24" t="s">
        <v>23</v>
      </c>
      <c r="D11" s="25">
        <v>1</v>
      </c>
      <c r="E11" s="25" t="s">
        <v>139</v>
      </c>
      <c r="F11" s="26"/>
      <c r="G11" s="26">
        <v>200</v>
      </c>
      <c r="H11" s="26">
        <f t="shared" si="0"/>
        <v>16280</v>
      </c>
    </row>
    <row r="12" spans="1:8" x14ac:dyDescent="0.25">
      <c r="A12" s="23">
        <v>42982.677466782407</v>
      </c>
      <c r="B12" s="24" t="s">
        <v>64</v>
      </c>
      <c r="C12" s="24" t="s">
        <v>45</v>
      </c>
      <c r="D12" s="25">
        <v>1</v>
      </c>
      <c r="E12" s="25" t="s">
        <v>584</v>
      </c>
      <c r="F12" s="26"/>
      <c r="G12" s="26">
        <v>4000</v>
      </c>
      <c r="H12" s="26">
        <f t="shared" si="0"/>
        <v>12280</v>
      </c>
    </row>
    <row r="13" spans="1:8" x14ac:dyDescent="0.25">
      <c r="A13" s="28">
        <v>42983.637903125004</v>
      </c>
      <c r="B13" s="29" t="s">
        <v>7</v>
      </c>
      <c r="C13" s="29" t="s">
        <v>29</v>
      </c>
      <c r="D13" s="34">
        <v>1</v>
      </c>
      <c r="E13" s="34" t="s">
        <v>585</v>
      </c>
      <c r="G13" s="32">
        <v>210</v>
      </c>
      <c r="H13" s="32">
        <f t="shared" ref="H13:H18" si="1">H12+F13-G13</f>
        <v>12070</v>
      </c>
    </row>
    <row r="14" spans="1:8" x14ac:dyDescent="0.25">
      <c r="A14" s="28">
        <v>42983.638817708335</v>
      </c>
      <c r="B14" s="29" t="s">
        <v>75</v>
      </c>
      <c r="C14" s="29" t="s">
        <v>45</v>
      </c>
      <c r="D14" s="34">
        <v>1</v>
      </c>
      <c r="E14" s="34" t="s">
        <v>321</v>
      </c>
      <c r="G14" s="32">
        <v>300</v>
      </c>
      <c r="H14" s="32">
        <f t="shared" si="1"/>
        <v>11770</v>
      </c>
    </row>
    <row r="15" spans="1:8" x14ac:dyDescent="0.25">
      <c r="A15" s="28">
        <v>42983.639882060183</v>
      </c>
      <c r="B15" s="29" t="s">
        <v>7</v>
      </c>
      <c r="C15" s="29" t="s">
        <v>23</v>
      </c>
      <c r="D15" s="34">
        <v>2</v>
      </c>
      <c r="E15" s="34" t="s">
        <v>586</v>
      </c>
      <c r="G15" s="32">
        <v>50</v>
      </c>
      <c r="H15" s="32">
        <f t="shared" si="1"/>
        <v>11720</v>
      </c>
    </row>
    <row r="16" spans="1:8" x14ac:dyDescent="0.25">
      <c r="A16" s="23">
        <v>42983.64399074074</v>
      </c>
      <c r="B16" s="24" t="s">
        <v>17</v>
      </c>
      <c r="C16" s="24" t="s">
        <v>45</v>
      </c>
      <c r="D16" s="25">
        <v>1</v>
      </c>
      <c r="E16" s="25" t="s">
        <v>587</v>
      </c>
      <c r="F16" s="26"/>
      <c r="G16" s="26">
        <v>2500</v>
      </c>
      <c r="H16" s="26">
        <f t="shared" si="1"/>
        <v>9220</v>
      </c>
    </row>
    <row r="17" spans="1:8" x14ac:dyDescent="0.25">
      <c r="A17" s="23">
        <v>42983.672548495371</v>
      </c>
      <c r="B17" s="24" t="s">
        <v>17</v>
      </c>
      <c r="C17" s="24" t="s">
        <v>19</v>
      </c>
      <c r="D17" s="25">
        <v>1</v>
      </c>
      <c r="E17" s="25" t="s">
        <v>588</v>
      </c>
      <c r="F17" s="26"/>
      <c r="G17" s="26">
        <v>8400</v>
      </c>
      <c r="H17" s="26">
        <f t="shared" si="1"/>
        <v>820</v>
      </c>
    </row>
    <row r="18" spans="1:8" x14ac:dyDescent="0.25">
      <c r="A18" s="23">
        <v>42983.720251967592</v>
      </c>
      <c r="B18" s="24" t="s">
        <v>80</v>
      </c>
      <c r="C18" s="24" t="s">
        <v>45</v>
      </c>
      <c r="D18" s="25">
        <v>1</v>
      </c>
      <c r="E18" s="25" t="s">
        <v>10</v>
      </c>
      <c r="F18" s="26">
        <v>10000</v>
      </c>
      <c r="G18" s="26"/>
      <c r="H18" s="26">
        <f t="shared" si="1"/>
        <v>10820</v>
      </c>
    </row>
    <row r="19" spans="1:8" x14ac:dyDescent="0.25">
      <c r="A19" s="28">
        <v>42984.596716666667</v>
      </c>
      <c r="B19" s="29" t="s">
        <v>75</v>
      </c>
      <c r="C19" s="29" t="s">
        <v>19</v>
      </c>
      <c r="D19" s="34">
        <v>1</v>
      </c>
      <c r="E19" s="34" t="s">
        <v>297</v>
      </c>
      <c r="G19" s="32">
        <v>3000</v>
      </c>
      <c r="H19" s="32">
        <f t="shared" ref="H19:H25" si="2">H18+F19-G19</f>
        <v>7820</v>
      </c>
    </row>
    <row r="20" spans="1:8" x14ac:dyDescent="0.25">
      <c r="A20" s="28">
        <v>42984.597470370369</v>
      </c>
      <c r="B20" s="29" t="s">
        <v>18</v>
      </c>
      <c r="C20" s="29" t="s">
        <v>24</v>
      </c>
      <c r="D20" s="34">
        <v>1</v>
      </c>
      <c r="E20" s="34" t="s">
        <v>589</v>
      </c>
      <c r="G20" s="32">
        <v>1840</v>
      </c>
      <c r="H20" s="32">
        <f t="shared" si="2"/>
        <v>5980</v>
      </c>
    </row>
    <row r="21" spans="1:8" x14ac:dyDescent="0.25">
      <c r="A21" s="28">
        <v>42984.598113078704</v>
      </c>
      <c r="B21" s="29" t="s">
        <v>7</v>
      </c>
      <c r="C21" s="29" t="s">
        <v>45</v>
      </c>
      <c r="D21" s="34">
        <v>1</v>
      </c>
      <c r="E21" s="34" t="s">
        <v>590</v>
      </c>
      <c r="G21" s="32">
        <v>90</v>
      </c>
      <c r="H21" s="32">
        <f t="shared" si="2"/>
        <v>5890</v>
      </c>
    </row>
    <row r="22" spans="1:8" x14ac:dyDescent="0.25">
      <c r="A22" s="23">
        <v>42984.671518981479</v>
      </c>
      <c r="B22" s="24" t="s">
        <v>17</v>
      </c>
      <c r="C22" s="24" t="s">
        <v>19</v>
      </c>
      <c r="D22" s="25">
        <v>1</v>
      </c>
      <c r="E22" s="25" t="s">
        <v>591</v>
      </c>
      <c r="F22" s="26"/>
      <c r="G22" s="26">
        <v>4300</v>
      </c>
      <c r="H22" s="26">
        <f t="shared" si="2"/>
        <v>1590</v>
      </c>
    </row>
    <row r="23" spans="1:8" x14ac:dyDescent="0.25">
      <c r="A23" s="23">
        <v>42984.676137962961</v>
      </c>
      <c r="B23" s="24" t="s">
        <v>75</v>
      </c>
      <c r="C23" s="24" t="s">
        <v>23</v>
      </c>
      <c r="D23" s="25">
        <v>1</v>
      </c>
      <c r="E23" s="25" t="s">
        <v>592</v>
      </c>
      <c r="F23" s="26"/>
      <c r="G23" s="26">
        <v>300</v>
      </c>
      <c r="H23" s="26">
        <f t="shared" si="2"/>
        <v>1290</v>
      </c>
    </row>
    <row r="24" spans="1:8" x14ac:dyDescent="0.25">
      <c r="A24" s="23">
        <v>42984.678046527777</v>
      </c>
      <c r="B24" s="24" t="s">
        <v>75</v>
      </c>
      <c r="C24" s="24" t="s">
        <v>45</v>
      </c>
      <c r="D24" s="25">
        <v>1</v>
      </c>
      <c r="E24" s="25" t="s">
        <v>421</v>
      </c>
      <c r="F24" s="26"/>
      <c r="G24" s="26">
        <v>500</v>
      </c>
      <c r="H24" s="26">
        <f t="shared" si="2"/>
        <v>790</v>
      </c>
    </row>
    <row r="25" spans="1:8" x14ac:dyDescent="0.25">
      <c r="A25" s="28">
        <v>42984.679046412035</v>
      </c>
      <c r="B25" s="29" t="s">
        <v>64</v>
      </c>
      <c r="C25" s="29" t="s">
        <v>45</v>
      </c>
      <c r="D25" s="34">
        <v>1</v>
      </c>
      <c r="E25" s="34" t="s">
        <v>593</v>
      </c>
      <c r="G25" s="32">
        <v>95</v>
      </c>
      <c r="H25" s="32">
        <f t="shared" si="2"/>
        <v>695</v>
      </c>
    </row>
    <row r="26" spans="1:8" x14ac:dyDescent="0.25">
      <c r="A26" s="28">
        <v>42985.713227314816</v>
      </c>
      <c r="B26" s="29" t="s">
        <v>80</v>
      </c>
      <c r="C26" s="29" t="s">
        <v>45</v>
      </c>
      <c r="D26" s="34">
        <v>1</v>
      </c>
      <c r="E26" s="34" t="s">
        <v>10</v>
      </c>
      <c r="F26" s="32">
        <v>10000</v>
      </c>
      <c r="H26" s="32">
        <f t="shared" ref="H26:H37" si="3">H25+F26-G26</f>
        <v>10695</v>
      </c>
    </row>
    <row r="27" spans="1:8" x14ac:dyDescent="0.25">
      <c r="A27" s="28">
        <v>42985.71449525463</v>
      </c>
      <c r="B27" s="29" t="s">
        <v>7</v>
      </c>
      <c r="C27" s="29" t="s">
        <v>45</v>
      </c>
      <c r="D27" s="34">
        <v>1</v>
      </c>
      <c r="E27" s="34" t="s">
        <v>594</v>
      </c>
      <c r="G27" s="32">
        <v>920</v>
      </c>
      <c r="H27" s="32">
        <f t="shared" si="3"/>
        <v>9775</v>
      </c>
    </row>
    <row r="28" spans="1:8" x14ac:dyDescent="0.25">
      <c r="A28" s="23">
        <v>42985.716387499997</v>
      </c>
      <c r="B28" s="24" t="s">
        <v>7</v>
      </c>
      <c r="C28" s="24" t="s">
        <v>23</v>
      </c>
      <c r="D28" s="25">
        <v>1</v>
      </c>
      <c r="E28" s="25" t="s">
        <v>595</v>
      </c>
      <c r="F28" s="26"/>
      <c r="G28" s="26">
        <v>134</v>
      </c>
      <c r="H28" s="32">
        <f t="shared" si="3"/>
        <v>9641</v>
      </c>
    </row>
    <row r="29" spans="1:8" x14ac:dyDescent="0.25">
      <c r="A29" s="23">
        <v>42985.717346180558</v>
      </c>
      <c r="B29" s="24" t="s">
        <v>64</v>
      </c>
      <c r="C29" s="24" t="s">
        <v>29</v>
      </c>
      <c r="D29" s="25">
        <v>1</v>
      </c>
      <c r="E29" s="25" t="s">
        <v>593</v>
      </c>
      <c r="F29" s="26"/>
      <c r="G29" s="26">
        <v>100</v>
      </c>
      <c r="H29" s="32">
        <f t="shared" si="3"/>
        <v>9541</v>
      </c>
    </row>
    <row r="30" spans="1:8" x14ac:dyDescent="0.25">
      <c r="A30" s="23">
        <v>42985.718434027774</v>
      </c>
      <c r="B30" s="24" t="s">
        <v>17</v>
      </c>
      <c r="C30" s="24" t="s">
        <v>45</v>
      </c>
      <c r="D30" s="25">
        <v>1</v>
      </c>
      <c r="E30" s="25" t="s">
        <v>596</v>
      </c>
      <c r="F30" s="26"/>
      <c r="G30" s="26">
        <v>135</v>
      </c>
      <c r="H30" s="26">
        <f t="shared" si="3"/>
        <v>9406</v>
      </c>
    </row>
    <row r="31" spans="1:8" x14ac:dyDescent="0.25">
      <c r="A31" s="28">
        <v>42985.727495486113</v>
      </c>
      <c r="B31" s="29" t="s">
        <v>7</v>
      </c>
      <c r="C31" s="29" t="s">
        <v>45</v>
      </c>
      <c r="D31" s="34">
        <v>2</v>
      </c>
      <c r="E31" s="34" t="s">
        <v>597</v>
      </c>
      <c r="G31" s="32">
        <v>420</v>
      </c>
      <c r="H31" s="32">
        <f t="shared" si="3"/>
        <v>8986</v>
      </c>
    </row>
    <row r="32" spans="1:8" x14ac:dyDescent="0.25">
      <c r="A32" s="28">
        <v>42985.735565972223</v>
      </c>
      <c r="B32" s="29" t="s">
        <v>7</v>
      </c>
      <c r="C32" s="29" t="s">
        <v>45</v>
      </c>
      <c r="D32" s="34">
        <v>2</v>
      </c>
      <c r="E32" s="34" t="s">
        <v>598</v>
      </c>
      <c r="G32" s="32">
        <v>315</v>
      </c>
      <c r="H32" s="32">
        <f t="shared" si="3"/>
        <v>8671</v>
      </c>
    </row>
    <row r="33" spans="1:8" x14ac:dyDescent="0.25">
      <c r="A33" s="28">
        <v>42985.739152083333</v>
      </c>
      <c r="B33" s="29" t="s">
        <v>64</v>
      </c>
      <c r="C33" s="29" t="s">
        <v>45</v>
      </c>
      <c r="D33" s="34">
        <v>1</v>
      </c>
      <c r="E33" s="34" t="s">
        <v>599</v>
      </c>
      <c r="G33" s="32">
        <v>500</v>
      </c>
      <c r="H33" s="32">
        <f t="shared" si="3"/>
        <v>8171</v>
      </c>
    </row>
    <row r="34" spans="1:8" x14ac:dyDescent="0.25">
      <c r="A34" s="23">
        <v>42985.741521643518</v>
      </c>
      <c r="B34" s="24" t="s">
        <v>75</v>
      </c>
      <c r="C34" s="24" t="s">
        <v>19</v>
      </c>
      <c r="D34" s="25">
        <v>1</v>
      </c>
      <c r="E34" s="25" t="s">
        <v>600</v>
      </c>
      <c r="F34" s="26"/>
      <c r="G34" s="26">
        <v>500</v>
      </c>
      <c r="H34" s="26">
        <f t="shared" si="3"/>
        <v>7671</v>
      </c>
    </row>
    <row r="35" spans="1:8" x14ac:dyDescent="0.25">
      <c r="A35" s="23">
        <v>42985.742531828706</v>
      </c>
      <c r="B35" s="24" t="s">
        <v>75</v>
      </c>
      <c r="C35" s="24" t="s">
        <v>19</v>
      </c>
      <c r="D35" s="25">
        <v>1</v>
      </c>
      <c r="E35" s="25" t="s">
        <v>601</v>
      </c>
      <c r="F35" s="26"/>
      <c r="G35" s="26">
        <v>200</v>
      </c>
      <c r="H35" s="26">
        <f t="shared" si="3"/>
        <v>7471</v>
      </c>
    </row>
    <row r="36" spans="1:8" x14ac:dyDescent="0.25">
      <c r="A36" s="23">
        <v>42985.74325925926</v>
      </c>
      <c r="B36" s="24" t="s">
        <v>75</v>
      </c>
      <c r="C36" s="24" t="s">
        <v>19</v>
      </c>
      <c r="D36" s="25">
        <v>1</v>
      </c>
      <c r="E36" s="25" t="s">
        <v>602</v>
      </c>
      <c r="F36" s="26"/>
      <c r="G36" s="26">
        <v>2000</v>
      </c>
      <c r="H36" s="26">
        <f t="shared" si="3"/>
        <v>5471</v>
      </c>
    </row>
    <row r="37" spans="1:8" x14ac:dyDescent="0.25">
      <c r="A37" s="28">
        <v>42985.747179513892</v>
      </c>
      <c r="B37" s="29" t="s">
        <v>17</v>
      </c>
      <c r="C37" s="29" t="s">
        <v>45</v>
      </c>
      <c r="D37" s="34">
        <v>1</v>
      </c>
      <c r="E37" s="34" t="s">
        <v>603</v>
      </c>
      <c r="G37" s="32">
        <v>1160</v>
      </c>
      <c r="H37" s="32">
        <f t="shared" si="3"/>
        <v>4311</v>
      </c>
    </row>
    <row r="38" spans="1:8" x14ac:dyDescent="0.25">
      <c r="A38" s="28">
        <v>42986.478708796298</v>
      </c>
      <c r="B38" s="29" t="s">
        <v>64</v>
      </c>
      <c r="C38" s="29" t="s">
        <v>45</v>
      </c>
      <c r="D38" s="34">
        <v>1</v>
      </c>
      <c r="E38" s="34" t="s">
        <v>604</v>
      </c>
      <c r="G38" s="32">
        <v>1000</v>
      </c>
      <c r="H38" s="32">
        <f t="shared" ref="H38:H43" si="4">H37+F38-G38</f>
        <v>3311</v>
      </c>
    </row>
    <row r="39" spans="1:8" x14ac:dyDescent="0.25">
      <c r="A39" s="28">
        <v>42986.659064467596</v>
      </c>
      <c r="B39" s="29" t="s">
        <v>7</v>
      </c>
      <c r="C39" s="29" t="s">
        <v>45</v>
      </c>
      <c r="D39" s="34">
        <v>1</v>
      </c>
      <c r="E39" s="34" t="s">
        <v>605</v>
      </c>
      <c r="G39" s="32">
        <v>1300</v>
      </c>
      <c r="H39" s="32">
        <f t="shared" si="4"/>
        <v>2011</v>
      </c>
    </row>
    <row r="40" spans="1:8" x14ac:dyDescent="0.25">
      <c r="A40" s="23">
        <v>42986.659777777779</v>
      </c>
      <c r="B40" s="24" t="s">
        <v>7</v>
      </c>
      <c r="C40" s="24" t="s">
        <v>45</v>
      </c>
      <c r="D40" s="25">
        <v>1</v>
      </c>
      <c r="E40" s="25" t="s">
        <v>606</v>
      </c>
      <c r="F40" s="26"/>
      <c r="G40" s="26">
        <v>100</v>
      </c>
      <c r="H40" s="26">
        <f t="shared" si="4"/>
        <v>1911</v>
      </c>
    </row>
    <row r="41" spans="1:8" x14ac:dyDescent="0.25">
      <c r="A41" s="23">
        <v>42986.661232638886</v>
      </c>
      <c r="B41" s="24" t="s">
        <v>7</v>
      </c>
      <c r="C41" s="24" t="s">
        <v>45</v>
      </c>
      <c r="D41" s="25">
        <v>2</v>
      </c>
      <c r="E41" s="25" t="s">
        <v>607</v>
      </c>
      <c r="F41" s="26"/>
      <c r="G41" s="26">
        <v>1356</v>
      </c>
      <c r="H41" s="26">
        <f t="shared" si="4"/>
        <v>555</v>
      </c>
    </row>
    <row r="42" spans="1:8" x14ac:dyDescent="0.25">
      <c r="A42" s="23">
        <v>42986.688510995373</v>
      </c>
      <c r="B42" s="24" t="s">
        <v>7</v>
      </c>
      <c r="C42" s="24" t="s">
        <v>45</v>
      </c>
      <c r="D42" s="25">
        <v>1</v>
      </c>
      <c r="E42" s="25" t="s">
        <v>608</v>
      </c>
      <c r="F42" s="26"/>
      <c r="G42" s="26">
        <v>95</v>
      </c>
      <c r="H42" s="26">
        <f t="shared" si="4"/>
        <v>460</v>
      </c>
    </row>
    <row r="43" spans="1:8" x14ac:dyDescent="0.25">
      <c r="A43" s="28">
        <v>42986.71980752315</v>
      </c>
      <c r="B43" s="29" t="s">
        <v>7</v>
      </c>
      <c r="C43" s="29" t="s">
        <v>45</v>
      </c>
      <c r="D43" s="34">
        <v>1</v>
      </c>
      <c r="E43" s="34" t="s">
        <v>585</v>
      </c>
      <c r="G43" s="32">
        <v>150</v>
      </c>
      <c r="H43" s="32">
        <f t="shared" si="4"/>
        <v>310</v>
      </c>
    </row>
    <row r="44" spans="1:8" x14ac:dyDescent="0.25">
      <c r="A44" s="28">
        <v>42987.710978009258</v>
      </c>
      <c r="B44" s="29" t="s">
        <v>7</v>
      </c>
      <c r="C44" s="29" t="s">
        <v>23</v>
      </c>
      <c r="D44" s="34">
        <v>1</v>
      </c>
      <c r="E44" s="34" t="s">
        <v>609</v>
      </c>
      <c r="G44" s="32">
        <v>200</v>
      </c>
      <c r="H44" s="32">
        <f t="shared" ref="H44:H50" si="5">H43+F44-G44</f>
        <v>110</v>
      </c>
    </row>
    <row r="45" spans="1:8" x14ac:dyDescent="0.25">
      <c r="A45" s="28">
        <v>42987.711893749998</v>
      </c>
      <c r="B45" s="29" t="s">
        <v>7</v>
      </c>
      <c r="C45" s="29" t="s">
        <v>45</v>
      </c>
      <c r="D45" s="34">
        <v>1</v>
      </c>
      <c r="E45" s="34" t="s">
        <v>108</v>
      </c>
      <c r="G45" s="32">
        <v>100</v>
      </c>
      <c r="H45" s="32">
        <f t="shared" si="5"/>
        <v>10</v>
      </c>
    </row>
    <row r="46" spans="1:8" x14ac:dyDescent="0.25">
      <c r="A46" s="23">
        <v>42989.675886111108</v>
      </c>
      <c r="B46" s="24" t="s">
        <v>80</v>
      </c>
      <c r="C46" s="24" t="s">
        <v>80</v>
      </c>
      <c r="D46" s="25">
        <v>1</v>
      </c>
      <c r="E46" s="25" t="s">
        <v>10</v>
      </c>
      <c r="F46" s="26">
        <v>10000</v>
      </c>
      <c r="G46" s="26"/>
      <c r="H46" s="26">
        <f t="shared" si="5"/>
        <v>10010</v>
      </c>
    </row>
    <row r="47" spans="1:8" x14ac:dyDescent="0.25">
      <c r="A47" s="23">
        <v>42989.679350115737</v>
      </c>
      <c r="B47" s="24" t="s">
        <v>17</v>
      </c>
      <c r="C47" s="24" t="s">
        <v>19</v>
      </c>
      <c r="D47" s="25">
        <v>1</v>
      </c>
      <c r="E47" s="25" t="s">
        <v>610</v>
      </c>
      <c r="F47" s="26"/>
      <c r="G47" s="26">
        <v>2200</v>
      </c>
      <c r="H47" s="26">
        <f t="shared" si="5"/>
        <v>7810</v>
      </c>
    </row>
    <row r="48" spans="1:8" x14ac:dyDescent="0.25">
      <c r="A48" s="23">
        <v>42989.682229745369</v>
      </c>
      <c r="B48" s="24" t="s">
        <v>17</v>
      </c>
      <c r="C48" s="24" t="s">
        <v>19</v>
      </c>
      <c r="D48" s="25">
        <v>1</v>
      </c>
      <c r="E48" s="25" t="s">
        <v>611</v>
      </c>
      <c r="F48" s="26"/>
      <c r="G48" s="26">
        <v>2500</v>
      </c>
      <c r="H48" s="26">
        <f t="shared" si="5"/>
        <v>5310</v>
      </c>
    </row>
    <row r="49" spans="1:8" x14ac:dyDescent="0.25">
      <c r="A49" s="28">
        <v>42989.683576041665</v>
      </c>
      <c r="B49" s="29" t="s">
        <v>18</v>
      </c>
      <c r="C49" s="29" t="s">
        <v>24</v>
      </c>
      <c r="D49" s="34">
        <v>1</v>
      </c>
      <c r="E49" s="34" t="s">
        <v>612</v>
      </c>
      <c r="G49" s="32">
        <v>1800</v>
      </c>
      <c r="H49" s="32">
        <f t="shared" si="5"/>
        <v>3510</v>
      </c>
    </row>
    <row r="50" spans="1:8" x14ac:dyDescent="0.25">
      <c r="A50" s="28">
        <v>42989.685900925928</v>
      </c>
      <c r="B50" s="29" t="s">
        <v>64</v>
      </c>
      <c r="C50" s="29" t="s">
        <v>45</v>
      </c>
      <c r="D50" s="34">
        <v>1</v>
      </c>
      <c r="E50" s="34" t="s">
        <v>162</v>
      </c>
      <c r="G50" s="32">
        <v>60</v>
      </c>
      <c r="H50" s="32">
        <f t="shared" si="5"/>
        <v>3450</v>
      </c>
    </row>
    <row r="51" spans="1:8" x14ac:dyDescent="0.25">
      <c r="A51" s="28">
        <v>42990.724037384258</v>
      </c>
      <c r="B51" s="29" t="s">
        <v>7</v>
      </c>
      <c r="C51" s="29" t="s">
        <v>45</v>
      </c>
      <c r="D51" s="34">
        <v>2</v>
      </c>
      <c r="E51" s="34" t="s">
        <v>613</v>
      </c>
      <c r="G51" s="32">
        <v>355</v>
      </c>
      <c r="H51" s="32">
        <f t="shared" ref="H51:H56" si="6">H50+F51-G51</f>
        <v>3095</v>
      </c>
    </row>
    <row r="52" spans="1:8" x14ac:dyDescent="0.25">
      <c r="A52" s="23">
        <v>42990.724621759262</v>
      </c>
      <c r="B52" s="24" t="s">
        <v>7</v>
      </c>
      <c r="C52" s="24" t="s">
        <v>45</v>
      </c>
      <c r="D52" s="25">
        <v>1</v>
      </c>
      <c r="E52" s="25" t="s">
        <v>614</v>
      </c>
      <c r="F52" s="26"/>
      <c r="G52" s="26">
        <v>80</v>
      </c>
      <c r="H52" s="26">
        <f t="shared" si="6"/>
        <v>3015</v>
      </c>
    </row>
    <row r="53" spans="1:8" x14ac:dyDescent="0.25">
      <c r="A53" s="23">
        <v>42990.725884490741</v>
      </c>
      <c r="B53" s="24" t="s">
        <v>18</v>
      </c>
      <c r="C53" s="24" t="s">
        <v>24</v>
      </c>
      <c r="D53" s="25">
        <v>1</v>
      </c>
      <c r="E53" s="25" t="s">
        <v>615</v>
      </c>
      <c r="F53" s="26"/>
      <c r="G53" s="26">
        <v>1680</v>
      </c>
      <c r="H53" s="26">
        <f t="shared" si="6"/>
        <v>1335</v>
      </c>
    </row>
    <row r="54" spans="1:8" x14ac:dyDescent="0.25">
      <c r="A54" s="23">
        <v>42990.726518402778</v>
      </c>
      <c r="B54" s="24" t="s">
        <v>17</v>
      </c>
      <c r="C54" s="24" t="s">
        <v>23</v>
      </c>
      <c r="D54" s="25">
        <v>1</v>
      </c>
      <c r="E54" s="25" t="s">
        <v>616</v>
      </c>
      <c r="F54" s="26"/>
      <c r="G54" s="26">
        <v>800</v>
      </c>
      <c r="H54" s="26">
        <f t="shared" si="6"/>
        <v>535</v>
      </c>
    </row>
    <row r="55" spans="1:8" x14ac:dyDescent="0.25">
      <c r="A55" s="28">
        <v>42990.727632754628</v>
      </c>
      <c r="B55" s="29" t="s">
        <v>64</v>
      </c>
      <c r="C55" s="29" t="s">
        <v>29</v>
      </c>
      <c r="D55" s="34">
        <v>1</v>
      </c>
      <c r="E55" s="34" t="s">
        <v>593</v>
      </c>
      <c r="G55" s="32">
        <v>60</v>
      </c>
      <c r="H55" s="32">
        <f t="shared" si="6"/>
        <v>475</v>
      </c>
    </row>
    <row r="56" spans="1:8" x14ac:dyDescent="0.25">
      <c r="A56" s="28">
        <v>42990.728162268519</v>
      </c>
      <c r="B56" s="29" t="s">
        <v>7</v>
      </c>
      <c r="C56" s="29" t="s">
        <v>45</v>
      </c>
      <c r="D56" s="34">
        <v>1</v>
      </c>
      <c r="E56" s="34" t="s">
        <v>585</v>
      </c>
      <c r="G56" s="32">
        <v>200</v>
      </c>
      <c r="H56" s="32">
        <f t="shared" si="6"/>
        <v>275</v>
      </c>
    </row>
    <row r="57" spans="1:8" x14ac:dyDescent="0.25">
      <c r="A57" s="28">
        <v>42991.709712962962</v>
      </c>
      <c r="B57" s="29" t="s">
        <v>64</v>
      </c>
      <c r="C57" s="29" t="s">
        <v>45</v>
      </c>
      <c r="D57" s="34">
        <v>2</v>
      </c>
      <c r="E57" s="34" t="s">
        <v>617</v>
      </c>
      <c r="G57" s="32">
        <v>140</v>
      </c>
      <c r="H57" s="32">
        <f t="shared" ref="H57:H63" si="7">H56+F57-G57</f>
        <v>135</v>
      </c>
    </row>
    <row r="58" spans="1:8" x14ac:dyDescent="0.25">
      <c r="A58" s="23">
        <v>42992.718892592595</v>
      </c>
      <c r="B58" s="24" t="s">
        <v>80</v>
      </c>
      <c r="C58" s="24" t="s">
        <v>80</v>
      </c>
      <c r="D58" s="25">
        <v>1</v>
      </c>
      <c r="E58" s="25" t="s">
        <v>10</v>
      </c>
      <c r="F58" s="26">
        <v>2000</v>
      </c>
      <c r="G58" s="26"/>
      <c r="H58" s="26">
        <f t="shared" si="7"/>
        <v>2135</v>
      </c>
    </row>
    <row r="59" spans="1:8" x14ac:dyDescent="0.25">
      <c r="A59" s="23">
        <v>42992.719804745371</v>
      </c>
      <c r="B59" s="24" t="s">
        <v>18</v>
      </c>
      <c r="C59" s="24" t="s">
        <v>24</v>
      </c>
      <c r="D59" s="25">
        <v>1</v>
      </c>
      <c r="E59" s="25" t="s">
        <v>618</v>
      </c>
      <c r="F59" s="26"/>
      <c r="G59" s="26">
        <v>1875</v>
      </c>
      <c r="H59" s="26">
        <f t="shared" si="7"/>
        <v>260</v>
      </c>
    </row>
    <row r="60" spans="1:8" x14ac:dyDescent="0.25">
      <c r="A60" s="23">
        <v>42992.720786921294</v>
      </c>
      <c r="B60" s="24" t="s">
        <v>7</v>
      </c>
      <c r="C60" s="24" t="s">
        <v>45</v>
      </c>
      <c r="D60" s="25">
        <v>2</v>
      </c>
      <c r="E60" s="25" t="s">
        <v>619</v>
      </c>
      <c r="F60" s="26"/>
      <c r="G60" s="26">
        <v>70</v>
      </c>
      <c r="H60" s="26">
        <f t="shared" si="7"/>
        <v>190</v>
      </c>
    </row>
    <row r="61" spans="1:8" x14ac:dyDescent="0.25">
      <c r="A61" s="28">
        <v>42992.725058564814</v>
      </c>
      <c r="B61" s="29" t="s">
        <v>75</v>
      </c>
      <c r="C61" s="29" t="s">
        <v>24</v>
      </c>
      <c r="D61" s="34">
        <v>1</v>
      </c>
      <c r="E61" s="34" t="s">
        <v>620</v>
      </c>
      <c r="G61" s="32">
        <v>100</v>
      </c>
      <c r="H61" s="32">
        <f t="shared" si="7"/>
        <v>90</v>
      </c>
    </row>
    <row r="62" spans="1:8" x14ac:dyDescent="0.25">
      <c r="A62" s="28">
        <v>42993.729564814814</v>
      </c>
      <c r="B62" s="29" t="s">
        <v>80</v>
      </c>
      <c r="C62" s="29" t="s">
        <v>80</v>
      </c>
      <c r="D62" s="34">
        <v>1</v>
      </c>
      <c r="E62" s="34" t="s">
        <v>564</v>
      </c>
      <c r="F62" s="32">
        <v>5000</v>
      </c>
      <c r="H62" s="32">
        <f t="shared" si="7"/>
        <v>5090</v>
      </c>
    </row>
    <row r="63" spans="1:8" x14ac:dyDescent="0.25">
      <c r="A63" s="28">
        <v>42993.730197800927</v>
      </c>
      <c r="B63" s="29" t="s">
        <v>18</v>
      </c>
      <c r="C63" s="29" t="s">
        <v>24</v>
      </c>
      <c r="D63" s="34">
        <v>1</v>
      </c>
      <c r="E63" s="34" t="s">
        <v>242</v>
      </c>
      <c r="G63" s="32">
        <v>815</v>
      </c>
      <c r="H63" s="32">
        <f t="shared" si="7"/>
        <v>4275</v>
      </c>
    </row>
    <row r="64" spans="1:8" x14ac:dyDescent="0.25">
      <c r="A64" s="23">
        <v>42994.582058217595</v>
      </c>
      <c r="B64" s="24" t="s">
        <v>17</v>
      </c>
      <c r="C64" s="24" t="s">
        <v>19</v>
      </c>
      <c r="D64" s="25">
        <v>1</v>
      </c>
      <c r="E64" s="25" t="s">
        <v>621</v>
      </c>
      <c r="F64" s="26"/>
      <c r="G64" s="26">
        <v>4000</v>
      </c>
      <c r="H64" s="26">
        <f t="shared" ref="H64:H71" si="8">H63+F64-G64</f>
        <v>275</v>
      </c>
    </row>
    <row r="65" spans="1:8" x14ac:dyDescent="0.25">
      <c r="A65" s="23">
        <v>42994.594962731484</v>
      </c>
      <c r="B65" s="24" t="s">
        <v>7</v>
      </c>
      <c r="C65" s="24" t="s">
        <v>23</v>
      </c>
      <c r="D65" s="25">
        <v>1</v>
      </c>
      <c r="E65" s="25" t="s">
        <v>622</v>
      </c>
      <c r="F65" s="26"/>
      <c r="G65" s="26">
        <v>200</v>
      </c>
      <c r="H65" s="26">
        <f t="shared" si="8"/>
        <v>75</v>
      </c>
    </row>
    <row r="66" spans="1:8" x14ac:dyDescent="0.25">
      <c r="A66" s="23">
        <v>42996.714525115742</v>
      </c>
      <c r="B66" s="24" t="s">
        <v>80</v>
      </c>
      <c r="C66" s="24" t="s">
        <v>80</v>
      </c>
      <c r="D66" s="25">
        <v>1</v>
      </c>
      <c r="E66" s="25" t="s">
        <v>564</v>
      </c>
      <c r="F66" s="26">
        <v>5500</v>
      </c>
      <c r="G66" s="26"/>
      <c r="H66" s="26">
        <f t="shared" si="8"/>
        <v>5575</v>
      </c>
    </row>
    <row r="67" spans="1:8" x14ac:dyDescent="0.25">
      <c r="A67" s="28">
        <v>42996.715574652779</v>
      </c>
      <c r="B67" s="29" t="s">
        <v>17</v>
      </c>
      <c r="C67" s="29" t="s">
        <v>45</v>
      </c>
      <c r="D67" s="34">
        <v>6</v>
      </c>
      <c r="E67" s="34" t="s">
        <v>17</v>
      </c>
      <c r="G67" s="32">
        <v>1570</v>
      </c>
      <c r="H67" s="32">
        <f t="shared" si="8"/>
        <v>4005</v>
      </c>
    </row>
    <row r="68" spans="1:8" x14ac:dyDescent="0.25">
      <c r="A68" s="28">
        <v>42996.716571643519</v>
      </c>
      <c r="B68" s="29" t="s">
        <v>75</v>
      </c>
      <c r="C68" s="29" t="s">
        <v>45</v>
      </c>
      <c r="D68" s="34">
        <v>1</v>
      </c>
      <c r="E68" s="34" t="s">
        <v>623</v>
      </c>
      <c r="G68" s="32">
        <v>2500</v>
      </c>
      <c r="H68" s="32">
        <f t="shared" si="8"/>
        <v>1505</v>
      </c>
    </row>
    <row r="69" spans="1:8" x14ac:dyDescent="0.25">
      <c r="A69" s="28">
        <v>42996.718011921294</v>
      </c>
      <c r="B69" s="29" t="s">
        <v>17</v>
      </c>
      <c r="C69" s="29" t="s">
        <v>45</v>
      </c>
      <c r="D69" s="34">
        <v>1</v>
      </c>
      <c r="E69" s="34" t="s">
        <v>624</v>
      </c>
      <c r="G69" s="32">
        <v>1430</v>
      </c>
      <c r="H69" s="32">
        <f t="shared" si="8"/>
        <v>75</v>
      </c>
    </row>
    <row r="70" spans="1:8" x14ac:dyDescent="0.25">
      <c r="A70" s="23">
        <v>42996.718900115739</v>
      </c>
      <c r="B70" s="24" t="s">
        <v>80</v>
      </c>
      <c r="C70" s="24" t="s">
        <v>45</v>
      </c>
      <c r="D70" s="25">
        <v>1</v>
      </c>
      <c r="E70" s="25" t="s">
        <v>564</v>
      </c>
      <c r="F70" s="26">
        <v>500</v>
      </c>
      <c r="G70" s="26"/>
      <c r="H70" s="26">
        <f t="shared" si="8"/>
        <v>575</v>
      </c>
    </row>
    <row r="71" spans="1:8" x14ac:dyDescent="0.25">
      <c r="A71" s="23">
        <v>42996.719471064818</v>
      </c>
      <c r="B71" s="24" t="s">
        <v>7</v>
      </c>
      <c r="C71" s="24" t="s">
        <v>24</v>
      </c>
      <c r="D71" s="25">
        <v>1</v>
      </c>
      <c r="E71" s="25" t="s">
        <v>625</v>
      </c>
      <c r="F71" s="26"/>
      <c r="G71" s="26">
        <v>300</v>
      </c>
      <c r="H71" s="26">
        <f t="shared" si="8"/>
        <v>275</v>
      </c>
    </row>
    <row r="72" spans="1:8" x14ac:dyDescent="0.25">
      <c r="A72" s="23">
        <v>42997.72968877315</v>
      </c>
      <c r="B72" s="24" t="s">
        <v>80</v>
      </c>
      <c r="C72" s="24" t="s">
        <v>80</v>
      </c>
      <c r="D72" s="25">
        <v>1</v>
      </c>
      <c r="E72" s="25" t="s">
        <v>564</v>
      </c>
      <c r="F72" s="26">
        <v>1500</v>
      </c>
      <c r="G72" s="26"/>
      <c r="H72" s="26">
        <f t="shared" ref="H72:H79" si="9">H71+F72-G72</f>
        <v>1775</v>
      </c>
    </row>
    <row r="73" spans="1:8" x14ac:dyDescent="0.25">
      <c r="A73" s="28">
        <v>42997.730376388892</v>
      </c>
      <c r="B73" s="29" t="s">
        <v>17</v>
      </c>
      <c r="C73" s="29" t="s">
        <v>23</v>
      </c>
      <c r="D73" s="34">
        <v>1</v>
      </c>
      <c r="E73" s="34" t="s">
        <v>626</v>
      </c>
      <c r="G73" s="32">
        <v>200</v>
      </c>
      <c r="H73" s="32">
        <f t="shared" si="9"/>
        <v>1575</v>
      </c>
    </row>
    <row r="74" spans="1:8" x14ac:dyDescent="0.25">
      <c r="A74" s="28">
        <v>42997.7307693287</v>
      </c>
      <c r="B74" s="29" t="s">
        <v>18</v>
      </c>
      <c r="C74" s="29" t="s">
        <v>24</v>
      </c>
      <c r="D74" s="34">
        <v>1</v>
      </c>
      <c r="E74" s="34" t="s">
        <v>627</v>
      </c>
      <c r="G74" s="32">
        <v>790</v>
      </c>
      <c r="H74" s="32">
        <f t="shared" si="9"/>
        <v>785</v>
      </c>
    </row>
    <row r="75" spans="1:8" x14ac:dyDescent="0.25">
      <c r="A75" s="28">
        <v>42997.731084259256</v>
      </c>
      <c r="B75" s="29" t="s">
        <v>7</v>
      </c>
      <c r="C75" s="29" t="s">
        <v>45</v>
      </c>
      <c r="D75" s="34">
        <v>1</v>
      </c>
      <c r="E75" s="34" t="s">
        <v>585</v>
      </c>
      <c r="G75" s="32">
        <v>200</v>
      </c>
      <c r="H75" s="32">
        <f t="shared" si="9"/>
        <v>585</v>
      </c>
    </row>
    <row r="76" spans="1:8" x14ac:dyDescent="0.25">
      <c r="A76" s="23">
        <v>42997.731985069448</v>
      </c>
      <c r="B76" s="24" t="s">
        <v>75</v>
      </c>
      <c r="C76" s="24" t="s">
        <v>45</v>
      </c>
      <c r="D76" s="25">
        <v>1</v>
      </c>
      <c r="E76" s="25" t="s">
        <v>628</v>
      </c>
      <c r="F76" s="26"/>
      <c r="G76" s="26">
        <v>500</v>
      </c>
      <c r="H76" s="26">
        <f t="shared" si="9"/>
        <v>85</v>
      </c>
    </row>
    <row r="77" spans="1:8" x14ac:dyDescent="0.25">
      <c r="A77" s="23">
        <v>42998.721133217594</v>
      </c>
      <c r="B77" s="24" t="s">
        <v>80</v>
      </c>
      <c r="C77" s="24" t="s">
        <v>80</v>
      </c>
      <c r="D77" s="25">
        <v>1</v>
      </c>
      <c r="E77" s="25" t="s">
        <v>564</v>
      </c>
      <c r="F77" s="26">
        <v>1000</v>
      </c>
      <c r="G77" s="26"/>
      <c r="H77" s="26">
        <f t="shared" si="9"/>
        <v>1085</v>
      </c>
    </row>
    <row r="78" spans="1:8" x14ac:dyDescent="0.25">
      <c r="A78" s="23">
        <v>42998.721881134261</v>
      </c>
      <c r="B78" s="24" t="s">
        <v>7</v>
      </c>
      <c r="C78" s="24" t="s">
        <v>23</v>
      </c>
      <c r="D78" s="25">
        <v>1</v>
      </c>
      <c r="E78" s="25" t="s">
        <v>629</v>
      </c>
      <c r="F78" s="26"/>
      <c r="G78" s="26">
        <v>100</v>
      </c>
      <c r="H78" s="26">
        <f t="shared" si="9"/>
        <v>985</v>
      </c>
    </row>
    <row r="79" spans="1:8" x14ac:dyDescent="0.25">
      <c r="A79" s="28">
        <v>42998.722319328706</v>
      </c>
      <c r="B79" s="29" t="s">
        <v>7</v>
      </c>
      <c r="C79" s="29" t="s">
        <v>23</v>
      </c>
      <c r="D79" s="34">
        <v>1</v>
      </c>
      <c r="E79" s="34" t="s">
        <v>630</v>
      </c>
      <c r="G79" s="32">
        <v>400</v>
      </c>
      <c r="H79" s="32">
        <f t="shared" si="9"/>
        <v>585</v>
      </c>
    </row>
    <row r="80" spans="1:8" x14ac:dyDescent="0.25">
      <c r="A80" s="28">
        <v>42999.6443693287</v>
      </c>
      <c r="B80" s="29" t="s">
        <v>80</v>
      </c>
      <c r="C80" s="29" t="s">
        <v>80</v>
      </c>
      <c r="D80" s="34">
        <v>1</v>
      </c>
      <c r="E80" s="34" t="s">
        <v>564</v>
      </c>
      <c r="F80" s="32">
        <v>10000</v>
      </c>
      <c r="H80" s="32">
        <f t="shared" ref="H80:H88" si="10">H79+F80-G80</f>
        <v>10585</v>
      </c>
    </row>
    <row r="81" spans="1:8" x14ac:dyDescent="0.25">
      <c r="A81" s="28">
        <v>42999.652464004626</v>
      </c>
      <c r="B81" s="29" t="s">
        <v>64</v>
      </c>
      <c r="C81" s="29" t="s">
        <v>45</v>
      </c>
      <c r="D81" s="34">
        <v>2</v>
      </c>
      <c r="E81" s="34" t="s">
        <v>631</v>
      </c>
      <c r="G81" s="32">
        <v>68</v>
      </c>
      <c r="H81" s="32">
        <f t="shared" si="10"/>
        <v>10517</v>
      </c>
    </row>
    <row r="82" spans="1:8" x14ac:dyDescent="0.25">
      <c r="A82" s="23">
        <v>42999.654018981484</v>
      </c>
      <c r="B82" s="24" t="s">
        <v>17</v>
      </c>
      <c r="C82" s="24" t="s">
        <v>23</v>
      </c>
      <c r="D82" s="25">
        <v>1</v>
      </c>
      <c r="E82" s="25" t="s">
        <v>632</v>
      </c>
      <c r="F82" s="26"/>
      <c r="G82" s="26">
        <v>1800</v>
      </c>
      <c r="H82" s="26">
        <f t="shared" si="10"/>
        <v>8717</v>
      </c>
    </row>
    <row r="83" spans="1:8" x14ac:dyDescent="0.25">
      <c r="A83" s="23">
        <v>42999.658174999997</v>
      </c>
      <c r="B83" s="24" t="s">
        <v>7</v>
      </c>
      <c r="C83" s="24" t="s">
        <v>45</v>
      </c>
      <c r="D83" s="25">
        <v>1</v>
      </c>
      <c r="E83" s="25" t="s">
        <v>585</v>
      </c>
      <c r="F83" s="26"/>
      <c r="G83" s="26">
        <v>200</v>
      </c>
      <c r="H83" s="26">
        <f t="shared" si="10"/>
        <v>8517</v>
      </c>
    </row>
    <row r="84" spans="1:8" x14ac:dyDescent="0.25">
      <c r="A84" s="23">
        <v>42999.659028240741</v>
      </c>
      <c r="B84" s="24" t="s">
        <v>7</v>
      </c>
      <c r="C84" s="24" t="s">
        <v>45</v>
      </c>
      <c r="D84" s="25">
        <v>2</v>
      </c>
      <c r="E84" s="25" t="s">
        <v>633</v>
      </c>
      <c r="F84" s="26"/>
      <c r="G84" s="26">
        <v>129</v>
      </c>
      <c r="H84" s="26">
        <f t="shared" si="10"/>
        <v>8388</v>
      </c>
    </row>
    <row r="85" spans="1:8" x14ac:dyDescent="0.25">
      <c r="A85" s="28">
        <v>43000.677148263887</v>
      </c>
      <c r="B85" s="29" t="s">
        <v>18</v>
      </c>
      <c r="C85" s="29" t="s">
        <v>24</v>
      </c>
      <c r="D85" s="34">
        <v>1</v>
      </c>
      <c r="E85" s="34" t="s">
        <v>615</v>
      </c>
      <c r="G85" s="32">
        <v>420</v>
      </c>
      <c r="H85" s="32">
        <f t="shared" si="10"/>
        <v>7968</v>
      </c>
    </row>
    <row r="86" spans="1:8" x14ac:dyDescent="0.25">
      <c r="A86" s="28">
        <v>43000.677869328705</v>
      </c>
      <c r="B86" s="29" t="s">
        <v>18</v>
      </c>
      <c r="C86" s="29" t="s">
        <v>24</v>
      </c>
      <c r="D86" s="34">
        <v>1</v>
      </c>
      <c r="E86" s="34" t="s">
        <v>634</v>
      </c>
      <c r="G86" s="32">
        <v>300</v>
      </c>
      <c r="H86" s="32">
        <f t="shared" si="10"/>
        <v>7668</v>
      </c>
    </row>
    <row r="87" spans="1:8" x14ac:dyDescent="0.25">
      <c r="A87" s="28">
        <v>43000.678874652775</v>
      </c>
      <c r="B87" s="29" t="s">
        <v>7</v>
      </c>
      <c r="C87" s="29" t="s">
        <v>23</v>
      </c>
      <c r="D87" s="34">
        <v>1</v>
      </c>
      <c r="E87" s="34" t="s">
        <v>635</v>
      </c>
      <c r="G87" s="32">
        <v>100</v>
      </c>
      <c r="H87" s="32">
        <f t="shared" si="10"/>
        <v>7568</v>
      </c>
    </row>
    <row r="88" spans="1:8" x14ac:dyDescent="0.25">
      <c r="A88" s="23">
        <v>43000.679538078701</v>
      </c>
      <c r="B88" s="24" t="s">
        <v>7</v>
      </c>
      <c r="C88" s="24" t="s">
        <v>45</v>
      </c>
      <c r="D88" s="25">
        <v>2</v>
      </c>
      <c r="E88" s="25" t="s">
        <v>636</v>
      </c>
      <c r="F88" s="26"/>
      <c r="G88" s="26">
        <v>0</v>
      </c>
      <c r="H88" s="26">
        <f t="shared" si="10"/>
        <v>7568</v>
      </c>
    </row>
    <row r="89" spans="1:8" x14ac:dyDescent="0.25">
      <c r="A89" s="23">
        <v>43001.611288773151</v>
      </c>
      <c r="B89" s="24" t="s">
        <v>18</v>
      </c>
      <c r="C89" s="24" t="s">
        <v>24</v>
      </c>
      <c r="D89" s="25">
        <v>1</v>
      </c>
      <c r="E89" s="25" t="s">
        <v>615</v>
      </c>
      <c r="F89" s="26"/>
      <c r="G89" s="26">
        <v>1790</v>
      </c>
      <c r="H89" s="26">
        <f t="shared" ref="H89:H97" si="11">H88+F89-G89</f>
        <v>5778</v>
      </c>
    </row>
    <row r="90" spans="1:8" x14ac:dyDescent="0.25">
      <c r="A90" s="23">
        <v>43001.61171863426</v>
      </c>
      <c r="B90" s="24" t="s">
        <v>7</v>
      </c>
      <c r="C90" s="24" t="s">
        <v>24</v>
      </c>
      <c r="D90" s="25">
        <v>1</v>
      </c>
      <c r="E90" s="25" t="s">
        <v>637</v>
      </c>
      <c r="F90" s="26"/>
      <c r="G90" s="26">
        <v>45</v>
      </c>
      <c r="H90" s="26">
        <f t="shared" si="11"/>
        <v>5733</v>
      </c>
    </row>
    <row r="91" spans="1:8" x14ac:dyDescent="0.25">
      <c r="A91" s="28">
        <v>43001.612125115738</v>
      </c>
      <c r="B91" s="29" t="s">
        <v>17</v>
      </c>
      <c r="C91" s="29" t="s">
        <v>23</v>
      </c>
      <c r="D91" s="34">
        <v>1</v>
      </c>
      <c r="E91" s="34" t="s">
        <v>638</v>
      </c>
      <c r="G91" s="32">
        <v>30</v>
      </c>
      <c r="H91" s="32">
        <f t="shared" si="11"/>
        <v>5703</v>
      </c>
    </row>
    <row r="92" spans="1:8" x14ac:dyDescent="0.25">
      <c r="A92" s="28">
        <v>43001.723823379631</v>
      </c>
      <c r="B92" s="29" t="s">
        <v>75</v>
      </c>
      <c r="C92" s="29" t="s">
        <v>45</v>
      </c>
      <c r="D92" s="34">
        <v>1</v>
      </c>
      <c r="E92" s="34" t="s">
        <v>98</v>
      </c>
      <c r="G92" s="32">
        <v>600</v>
      </c>
      <c r="H92" s="32">
        <f t="shared" si="11"/>
        <v>5103</v>
      </c>
    </row>
    <row r="93" spans="1:8" x14ac:dyDescent="0.25">
      <c r="A93" s="28">
        <v>43001.724316782405</v>
      </c>
      <c r="B93" s="29" t="s">
        <v>18</v>
      </c>
      <c r="C93" s="29" t="s">
        <v>24</v>
      </c>
      <c r="D93" s="34">
        <v>1</v>
      </c>
      <c r="E93" s="34" t="s">
        <v>589</v>
      </c>
      <c r="G93" s="32">
        <v>240</v>
      </c>
      <c r="H93" s="32">
        <f t="shared" si="11"/>
        <v>4863</v>
      </c>
    </row>
    <row r="94" spans="1:8" x14ac:dyDescent="0.25">
      <c r="A94" s="23">
        <v>43001.727284375003</v>
      </c>
      <c r="B94" s="24" t="s">
        <v>7</v>
      </c>
      <c r="C94" s="24" t="s">
        <v>23</v>
      </c>
      <c r="D94" s="25">
        <v>1</v>
      </c>
      <c r="E94" s="25" t="s">
        <v>309</v>
      </c>
      <c r="F94" s="26"/>
      <c r="G94" s="26">
        <v>80</v>
      </c>
      <c r="H94" s="26">
        <f t="shared" si="11"/>
        <v>4783</v>
      </c>
    </row>
    <row r="95" spans="1:8" x14ac:dyDescent="0.25">
      <c r="A95" s="23">
        <v>43001.727895370372</v>
      </c>
      <c r="B95" s="24" t="s">
        <v>17</v>
      </c>
      <c r="C95" s="24" t="s">
        <v>23</v>
      </c>
      <c r="D95" s="25">
        <v>1</v>
      </c>
      <c r="E95" s="25" t="s">
        <v>639</v>
      </c>
      <c r="F95" s="26"/>
      <c r="G95" s="26">
        <v>100</v>
      </c>
      <c r="H95" s="26">
        <f t="shared" si="11"/>
        <v>4683</v>
      </c>
    </row>
    <row r="96" spans="1:8" x14ac:dyDescent="0.25">
      <c r="A96" s="23">
        <v>43001.7289662037</v>
      </c>
      <c r="B96" s="24" t="s">
        <v>64</v>
      </c>
      <c r="C96" s="24" t="s">
        <v>19</v>
      </c>
      <c r="D96" s="25">
        <v>1</v>
      </c>
      <c r="E96" s="25" t="s">
        <v>109</v>
      </c>
      <c r="F96" s="26"/>
      <c r="G96" s="26">
        <v>200</v>
      </c>
      <c r="H96" s="26">
        <f t="shared" si="11"/>
        <v>4483</v>
      </c>
    </row>
    <row r="97" spans="1:8" x14ac:dyDescent="0.25">
      <c r="A97" s="28">
        <v>43001.730274652778</v>
      </c>
      <c r="B97" s="29" t="s">
        <v>64</v>
      </c>
      <c r="C97" s="29" t="s">
        <v>23</v>
      </c>
      <c r="D97" s="34">
        <v>1</v>
      </c>
      <c r="E97" s="34" t="s">
        <v>640</v>
      </c>
      <c r="G97" s="32">
        <v>120</v>
      </c>
      <c r="H97" s="32">
        <f t="shared" si="11"/>
        <v>4363</v>
      </c>
    </row>
    <row r="98" spans="1:8" x14ac:dyDescent="0.25">
      <c r="A98" s="28">
        <v>43003.704867824075</v>
      </c>
      <c r="B98" s="29" t="s">
        <v>17</v>
      </c>
      <c r="C98" s="29" t="s">
        <v>45</v>
      </c>
      <c r="D98" s="34">
        <v>1</v>
      </c>
      <c r="E98" s="34" t="s">
        <v>641</v>
      </c>
      <c r="G98" s="32">
        <v>100</v>
      </c>
      <c r="H98" s="32">
        <f t="shared" ref="H98:H103" si="12">H97+F98-G98</f>
        <v>4263</v>
      </c>
    </row>
    <row r="99" spans="1:8" x14ac:dyDescent="0.25">
      <c r="A99" s="28">
        <v>43003.706662731478</v>
      </c>
      <c r="B99" s="29" t="s">
        <v>18</v>
      </c>
      <c r="C99" s="29" t="s">
        <v>24</v>
      </c>
      <c r="D99" s="34">
        <v>1</v>
      </c>
      <c r="E99" s="34" t="s">
        <v>589</v>
      </c>
      <c r="G99" s="32">
        <v>955</v>
      </c>
      <c r="H99" s="32">
        <f t="shared" si="12"/>
        <v>3308</v>
      </c>
    </row>
    <row r="100" spans="1:8" x14ac:dyDescent="0.25">
      <c r="A100" s="23">
        <v>43003.707463888888</v>
      </c>
      <c r="B100" s="24" t="s">
        <v>7</v>
      </c>
      <c r="C100" s="24" t="s">
        <v>24</v>
      </c>
      <c r="D100" s="25">
        <v>1</v>
      </c>
      <c r="E100" s="25" t="s">
        <v>642</v>
      </c>
      <c r="F100" s="26"/>
      <c r="G100" s="26">
        <v>30</v>
      </c>
      <c r="H100" s="26">
        <f t="shared" si="12"/>
        <v>3278</v>
      </c>
    </row>
    <row r="101" spans="1:8" x14ac:dyDescent="0.25">
      <c r="A101" s="23">
        <v>43003.71624710648</v>
      </c>
      <c r="B101" s="24" t="s">
        <v>75</v>
      </c>
      <c r="C101" s="24" t="s">
        <v>45</v>
      </c>
      <c r="D101" s="25">
        <v>1</v>
      </c>
      <c r="E101" s="25" t="s">
        <v>643</v>
      </c>
      <c r="F101" s="26"/>
      <c r="G101" s="26">
        <v>150</v>
      </c>
      <c r="H101" s="26">
        <f t="shared" si="12"/>
        <v>3128</v>
      </c>
    </row>
    <row r="102" spans="1:8" x14ac:dyDescent="0.25">
      <c r="A102" s="23">
        <v>43003.716909027775</v>
      </c>
      <c r="B102" s="24" t="s">
        <v>18</v>
      </c>
      <c r="C102" s="24" t="s">
        <v>24</v>
      </c>
      <c r="D102" s="25">
        <v>1</v>
      </c>
      <c r="E102" s="25" t="s">
        <v>644</v>
      </c>
      <c r="F102" s="26"/>
      <c r="G102" s="26">
        <v>960</v>
      </c>
      <c r="H102" s="26">
        <f t="shared" si="12"/>
        <v>2168</v>
      </c>
    </row>
    <row r="103" spans="1:8" x14ac:dyDescent="0.25">
      <c r="A103" s="28">
        <v>43003.717315277776</v>
      </c>
      <c r="B103" s="29" t="s">
        <v>7</v>
      </c>
      <c r="C103" s="29" t="s">
        <v>23</v>
      </c>
      <c r="D103" s="34">
        <v>1</v>
      </c>
      <c r="E103" s="34" t="s">
        <v>645</v>
      </c>
      <c r="G103" s="32">
        <v>100</v>
      </c>
      <c r="H103" s="32">
        <f t="shared" si="12"/>
        <v>2068</v>
      </c>
    </row>
    <row r="104" spans="1:8" x14ac:dyDescent="0.25">
      <c r="A104" s="28">
        <v>43003.730625578704</v>
      </c>
      <c r="B104" s="29" t="s">
        <v>7</v>
      </c>
      <c r="C104" s="29" t="s">
        <v>24</v>
      </c>
      <c r="D104" s="34">
        <v>1</v>
      </c>
      <c r="E104" s="34" t="s">
        <v>108</v>
      </c>
      <c r="G104" s="32">
        <v>300</v>
      </c>
      <c r="H104" s="32">
        <f t="shared" ref="H104:H114" si="13">H103+F104-G104</f>
        <v>1768</v>
      </c>
    </row>
    <row r="105" spans="1:8" x14ac:dyDescent="0.25">
      <c r="A105" s="28">
        <v>43004.651651157408</v>
      </c>
      <c r="B105" s="29" t="s">
        <v>7</v>
      </c>
      <c r="C105" s="29" t="s">
        <v>23</v>
      </c>
      <c r="D105" s="34">
        <v>2</v>
      </c>
      <c r="E105" s="34" t="s">
        <v>646</v>
      </c>
      <c r="G105" s="32">
        <v>160</v>
      </c>
      <c r="H105" s="32">
        <f t="shared" si="13"/>
        <v>1608</v>
      </c>
    </row>
    <row r="106" spans="1:8" x14ac:dyDescent="0.25">
      <c r="A106" s="23">
        <v>43004.652368750001</v>
      </c>
      <c r="B106" s="24" t="s">
        <v>7</v>
      </c>
      <c r="C106" s="24" t="s">
        <v>23</v>
      </c>
      <c r="D106" s="25">
        <v>1</v>
      </c>
      <c r="E106" s="25" t="s">
        <v>647</v>
      </c>
      <c r="F106" s="26"/>
      <c r="G106" s="26">
        <v>180</v>
      </c>
      <c r="H106" s="26">
        <f t="shared" si="13"/>
        <v>1428</v>
      </c>
    </row>
    <row r="107" spans="1:8" x14ac:dyDescent="0.25">
      <c r="A107" s="23">
        <v>43005.735207291669</v>
      </c>
      <c r="B107" s="24" t="s">
        <v>80</v>
      </c>
      <c r="C107" s="24" t="s">
        <v>80</v>
      </c>
      <c r="D107" s="25">
        <v>1</v>
      </c>
      <c r="E107" s="25" t="s">
        <v>564</v>
      </c>
      <c r="F107" s="26">
        <v>1500</v>
      </c>
      <c r="G107" s="26"/>
      <c r="H107" s="26">
        <f t="shared" si="13"/>
        <v>2928</v>
      </c>
    </row>
    <row r="108" spans="1:8" x14ac:dyDescent="0.25">
      <c r="A108" s="23">
        <v>43005.735768634258</v>
      </c>
      <c r="B108" s="24" t="s">
        <v>75</v>
      </c>
      <c r="C108" s="24" t="s">
        <v>45</v>
      </c>
      <c r="D108" s="25">
        <v>1</v>
      </c>
      <c r="E108" s="25" t="s">
        <v>648</v>
      </c>
      <c r="F108" s="26"/>
      <c r="G108" s="26">
        <v>500</v>
      </c>
      <c r="H108" s="26">
        <f t="shared" si="13"/>
        <v>2428</v>
      </c>
    </row>
    <row r="109" spans="1:8" x14ac:dyDescent="0.25">
      <c r="A109" s="28">
        <v>43005.736126157404</v>
      </c>
      <c r="B109" s="29" t="s">
        <v>18</v>
      </c>
      <c r="C109" s="29" t="s">
        <v>24</v>
      </c>
      <c r="D109" s="34">
        <v>1</v>
      </c>
      <c r="E109" s="34" t="s">
        <v>649</v>
      </c>
      <c r="G109" s="32">
        <v>1600</v>
      </c>
      <c r="H109" s="32">
        <f t="shared" si="13"/>
        <v>828</v>
      </c>
    </row>
    <row r="110" spans="1:8" x14ac:dyDescent="0.25">
      <c r="A110" s="28">
        <v>43005.736556365744</v>
      </c>
      <c r="B110" s="29" t="s">
        <v>7</v>
      </c>
      <c r="C110" s="29" t="s">
        <v>23</v>
      </c>
      <c r="D110" s="34">
        <v>1</v>
      </c>
      <c r="E110" s="34" t="s">
        <v>650</v>
      </c>
      <c r="G110" s="32">
        <v>55</v>
      </c>
      <c r="H110" s="32">
        <f t="shared" si="13"/>
        <v>773</v>
      </c>
    </row>
    <row r="111" spans="1:8" x14ac:dyDescent="0.25">
      <c r="A111" s="28">
        <v>43005.737078703707</v>
      </c>
      <c r="B111" s="29" t="s">
        <v>7</v>
      </c>
      <c r="C111" s="29" t="s">
        <v>23</v>
      </c>
      <c r="D111" s="34">
        <v>2</v>
      </c>
      <c r="E111" s="34" t="s">
        <v>651</v>
      </c>
      <c r="G111" s="32">
        <v>130</v>
      </c>
      <c r="H111" s="32">
        <f t="shared" si="13"/>
        <v>643</v>
      </c>
    </row>
    <row r="112" spans="1:8" x14ac:dyDescent="0.25">
      <c r="A112" s="23">
        <v>43005.73750358796</v>
      </c>
      <c r="B112" s="24" t="s">
        <v>7</v>
      </c>
      <c r="C112" s="24" t="s">
        <v>23</v>
      </c>
      <c r="D112" s="25">
        <v>1</v>
      </c>
      <c r="E112" s="25" t="s">
        <v>652</v>
      </c>
      <c r="F112" s="26"/>
      <c r="G112" s="26">
        <v>20</v>
      </c>
      <c r="H112" s="26">
        <f t="shared" si="13"/>
        <v>623</v>
      </c>
    </row>
    <row r="113" spans="1:8" x14ac:dyDescent="0.25">
      <c r="A113" s="23">
        <v>43005.738362615739</v>
      </c>
      <c r="B113" s="24" t="s">
        <v>64</v>
      </c>
      <c r="C113" s="24" t="s">
        <v>45</v>
      </c>
      <c r="D113" s="25">
        <v>1</v>
      </c>
      <c r="E113" s="25" t="s">
        <v>585</v>
      </c>
      <c r="F113" s="26"/>
      <c r="G113" s="26">
        <v>150</v>
      </c>
      <c r="H113" s="26">
        <f t="shared" si="13"/>
        <v>473</v>
      </c>
    </row>
    <row r="114" spans="1:8" x14ac:dyDescent="0.25">
      <c r="A114" s="23">
        <v>43005.739251851854</v>
      </c>
      <c r="B114" s="24" t="s">
        <v>18</v>
      </c>
      <c r="C114" s="24" t="s">
        <v>24</v>
      </c>
      <c r="D114" s="25">
        <v>1</v>
      </c>
      <c r="E114" s="25" t="s">
        <v>615</v>
      </c>
      <c r="F114" s="26"/>
      <c r="G114" s="26">
        <v>250</v>
      </c>
      <c r="H114" s="26">
        <f t="shared" si="13"/>
        <v>223</v>
      </c>
    </row>
    <row r="115" spans="1:8" x14ac:dyDescent="0.25">
      <c r="A115" s="28">
        <v>43006.723338194446</v>
      </c>
      <c r="B115" s="29" t="s">
        <v>80</v>
      </c>
      <c r="C115" s="29" t="s">
        <v>80</v>
      </c>
      <c r="D115" s="34">
        <v>1</v>
      </c>
      <c r="E115" s="34" t="s">
        <v>564</v>
      </c>
      <c r="F115" s="32">
        <v>2900</v>
      </c>
      <c r="H115" s="32">
        <f t="shared" ref="H115:H126" si="14">H114+F115-G115</f>
        <v>3123</v>
      </c>
    </row>
    <row r="116" spans="1:8" x14ac:dyDescent="0.25">
      <c r="A116" s="28">
        <v>43006.72392152778</v>
      </c>
      <c r="B116" s="29" t="s">
        <v>7</v>
      </c>
      <c r="C116" s="29" t="s">
        <v>23</v>
      </c>
      <c r="D116" s="34">
        <v>1</v>
      </c>
      <c r="E116" s="34" t="s">
        <v>653</v>
      </c>
      <c r="G116" s="32">
        <v>120</v>
      </c>
      <c r="H116" s="32">
        <f t="shared" si="14"/>
        <v>3003</v>
      </c>
    </row>
    <row r="117" spans="1:8" x14ac:dyDescent="0.25">
      <c r="A117" s="28">
        <v>43006.72439166667</v>
      </c>
      <c r="B117" s="29" t="s">
        <v>7</v>
      </c>
      <c r="C117" s="29" t="s">
        <v>23</v>
      </c>
      <c r="D117" s="34">
        <v>1</v>
      </c>
      <c r="E117" s="34" t="s">
        <v>654</v>
      </c>
      <c r="G117" s="32">
        <v>182</v>
      </c>
      <c r="H117" s="32">
        <f t="shared" si="14"/>
        <v>2821</v>
      </c>
    </row>
    <row r="118" spans="1:8" x14ac:dyDescent="0.25">
      <c r="A118" s="23">
        <v>43006.724759143515</v>
      </c>
      <c r="B118" s="24" t="s">
        <v>7</v>
      </c>
      <c r="C118" s="24" t="s">
        <v>23</v>
      </c>
      <c r="D118" s="25">
        <v>1</v>
      </c>
      <c r="E118" s="25" t="s">
        <v>655</v>
      </c>
      <c r="F118" s="26"/>
      <c r="G118" s="26">
        <v>20</v>
      </c>
      <c r="H118" s="26">
        <f t="shared" si="14"/>
        <v>2801</v>
      </c>
    </row>
    <row r="119" spans="1:8" x14ac:dyDescent="0.25">
      <c r="A119" s="23">
        <v>43006.725323958337</v>
      </c>
      <c r="B119" s="24" t="s">
        <v>64</v>
      </c>
      <c r="C119" s="24" t="s">
        <v>45</v>
      </c>
      <c r="D119" s="25">
        <v>1</v>
      </c>
      <c r="E119" s="25" t="s">
        <v>656</v>
      </c>
      <c r="F119" s="26"/>
      <c r="G119" s="26">
        <v>100</v>
      </c>
      <c r="H119" s="26">
        <f t="shared" si="14"/>
        <v>2701</v>
      </c>
    </row>
    <row r="120" spans="1:8" x14ac:dyDescent="0.25">
      <c r="A120" s="23">
        <v>43006.726173958334</v>
      </c>
      <c r="B120" s="24" t="s">
        <v>7</v>
      </c>
      <c r="C120" s="24" t="s">
        <v>23</v>
      </c>
      <c r="D120" s="25">
        <v>1</v>
      </c>
      <c r="E120" s="25" t="s">
        <v>657</v>
      </c>
      <c r="F120" s="26"/>
      <c r="G120" s="26">
        <v>450</v>
      </c>
      <c r="H120" s="26">
        <f t="shared" si="14"/>
        <v>2251</v>
      </c>
    </row>
    <row r="121" spans="1:8" x14ac:dyDescent="0.25">
      <c r="A121" s="28">
        <v>43006.726501041667</v>
      </c>
      <c r="B121" s="29" t="s">
        <v>7</v>
      </c>
      <c r="C121" s="29" t="s">
        <v>24</v>
      </c>
      <c r="D121" s="34">
        <v>1</v>
      </c>
      <c r="E121" s="34" t="s">
        <v>637</v>
      </c>
      <c r="G121" s="32">
        <v>30</v>
      </c>
      <c r="H121" s="32">
        <f t="shared" si="14"/>
        <v>2221</v>
      </c>
    </row>
    <row r="122" spans="1:8" x14ac:dyDescent="0.25">
      <c r="A122" s="28">
        <v>43006.726888425925</v>
      </c>
      <c r="B122" s="29" t="s">
        <v>7</v>
      </c>
      <c r="C122" s="29" t="s">
        <v>23</v>
      </c>
      <c r="D122" s="34">
        <v>1</v>
      </c>
      <c r="E122" s="34" t="s">
        <v>55</v>
      </c>
      <c r="G122" s="32">
        <v>36</v>
      </c>
      <c r="H122" s="32">
        <f t="shared" si="14"/>
        <v>2185</v>
      </c>
    </row>
    <row r="123" spans="1:8" x14ac:dyDescent="0.25">
      <c r="A123" s="28">
        <v>43006.72729884259</v>
      </c>
      <c r="B123" s="29" t="s">
        <v>18</v>
      </c>
      <c r="C123" s="29" t="s">
        <v>24</v>
      </c>
      <c r="D123" s="34">
        <v>1</v>
      </c>
      <c r="E123" s="34" t="s">
        <v>658</v>
      </c>
      <c r="G123" s="32">
        <v>920</v>
      </c>
      <c r="H123" s="32">
        <f t="shared" si="14"/>
        <v>1265</v>
      </c>
    </row>
    <row r="124" spans="1:8" x14ac:dyDescent="0.25">
      <c r="A124" s="23">
        <v>43006.728154629629</v>
      </c>
      <c r="B124" s="24" t="s">
        <v>18</v>
      </c>
      <c r="C124" s="24" t="s">
        <v>24</v>
      </c>
      <c r="D124" s="25">
        <v>1</v>
      </c>
      <c r="E124" s="25" t="s">
        <v>659</v>
      </c>
      <c r="F124" s="26"/>
      <c r="G124" s="26">
        <v>840</v>
      </c>
      <c r="H124" s="26">
        <f t="shared" si="14"/>
        <v>425</v>
      </c>
    </row>
    <row r="125" spans="1:8" x14ac:dyDescent="0.25">
      <c r="A125" s="23">
        <v>43006.728501620368</v>
      </c>
      <c r="B125" s="24" t="s">
        <v>64</v>
      </c>
      <c r="C125" s="24" t="s">
        <v>45</v>
      </c>
      <c r="D125" s="25">
        <v>1</v>
      </c>
      <c r="E125" s="25" t="s">
        <v>660</v>
      </c>
      <c r="F125" s="26"/>
      <c r="G125" s="26">
        <v>100</v>
      </c>
      <c r="H125" s="26">
        <f t="shared" si="14"/>
        <v>325</v>
      </c>
    </row>
    <row r="126" spans="1:8" x14ac:dyDescent="0.25">
      <c r="A126" s="23">
        <v>43006.729114351852</v>
      </c>
      <c r="B126" s="24" t="s">
        <v>7</v>
      </c>
      <c r="C126" s="24" t="s">
        <v>45</v>
      </c>
      <c r="D126" s="25">
        <v>1</v>
      </c>
      <c r="E126" s="25" t="s">
        <v>661</v>
      </c>
      <c r="F126" s="26"/>
      <c r="G126" s="26">
        <v>40</v>
      </c>
      <c r="H126" s="26">
        <f t="shared" si="14"/>
        <v>285</v>
      </c>
    </row>
    <row r="127" spans="1:8" x14ac:dyDescent="0.25">
      <c r="A127" s="28">
        <v>43007.687319791665</v>
      </c>
      <c r="B127" s="29" t="s">
        <v>80</v>
      </c>
      <c r="C127" s="29" t="s">
        <v>80</v>
      </c>
      <c r="D127" s="34">
        <v>1</v>
      </c>
      <c r="E127" s="34" t="s">
        <v>564</v>
      </c>
      <c r="F127" s="32">
        <v>5000</v>
      </c>
      <c r="H127" s="32">
        <f t="shared" ref="H127:H132" si="15">H126+F127-G127</f>
        <v>5285</v>
      </c>
    </row>
    <row r="128" spans="1:8" x14ac:dyDescent="0.25">
      <c r="A128" s="28">
        <v>43007.6881587963</v>
      </c>
      <c r="B128" s="29" t="s">
        <v>7</v>
      </c>
      <c r="C128" s="29" t="s">
        <v>19</v>
      </c>
      <c r="D128" s="34">
        <v>1</v>
      </c>
      <c r="E128" s="34" t="s">
        <v>662</v>
      </c>
      <c r="G128" s="32">
        <v>300</v>
      </c>
      <c r="H128" s="32">
        <f t="shared" si="15"/>
        <v>4985</v>
      </c>
    </row>
    <row r="129" spans="1:8" x14ac:dyDescent="0.25">
      <c r="A129" s="28">
        <v>43007.698922337964</v>
      </c>
      <c r="B129" s="29" t="s">
        <v>7</v>
      </c>
      <c r="C129" s="29" t="s">
        <v>45</v>
      </c>
      <c r="D129" s="34">
        <v>1</v>
      </c>
      <c r="E129" s="34" t="s">
        <v>112</v>
      </c>
      <c r="G129" s="32">
        <v>250</v>
      </c>
      <c r="H129" s="32">
        <f t="shared" si="15"/>
        <v>4735</v>
      </c>
    </row>
    <row r="130" spans="1:8" x14ac:dyDescent="0.25">
      <c r="A130" s="23">
        <v>43007.699800231479</v>
      </c>
      <c r="B130" s="24" t="s">
        <v>7</v>
      </c>
      <c r="C130" s="24" t="s">
        <v>45</v>
      </c>
      <c r="D130" s="25">
        <v>1</v>
      </c>
      <c r="E130" s="25" t="s">
        <v>348</v>
      </c>
      <c r="F130" s="26"/>
      <c r="G130" s="26">
        <v>135</v>
      </c>
      <c r="H130" s="26">
        <f t="shared" si="15"/>
        <v>4600</v>
      </c>
    </row>
    <row r="131" spans="1:8" x14ac:dyDescent="0.25">
      <c r="A131" s="23">
        <v>43007.701904398149</v>
      </c>
      <c r="B131" s="24" t="s">
        <v>7</v>
      </c>
      <c r="C131" s="24" t="s">
        <v>24</v>
      </c>
      <c r="D131" s="25">
        <v>1</v>
      </c>
      <c r="E131" s="25" t="s">
        <v>663</v>
      </c>
      <c r="F131" s="26"/>
      <c r="G131" s="26">
        <v>200</v>
      </c>
      <c r="H131" s="26">
        <f t="shared" si="15"/>
        <v>4400</v>
      </c>
    </row>
    <row r="132" spans="1:8" x14ac:dyDescent="0.25">
      <c r="A132" s="23">
        <v>43007.703180092591</v>
      </c>
      <c r="B132" s="24" t="s">
        <v>75</v>
      </c>
      <c r="C132" s="24" t="s">
        <v>23</v>
      </c>
      <c r="D132" s="25">
        <v>1</v>
      </c>
      <c r="E132" s="25" t="s">
        <v>664</v>
      </c>
      <c r="F132" s="26"/>
      <c r="G132" s="26">
        <v>570</v>
      </c>
      <c r="H132" s="26">
        <f t="shared" si="15"/>
        <v>3830</v>
      </c>
    </row>
    <row r="133" spans="1:8" x14ac:dyDescent="0.25">
      <c r="A133" s="28">
        <v>43007.714067129629</v>
      </c>
      <c r="B133" s="29" t="s">
        <v>75</v>
      </c>
      <c r="C133" s="29" t="s">
        <v>45</v>
      </c>
      <c r="D133" s="34">
        <v>1</v>
      </c>
      <c r="E133" s="34" t="s">
        <v>665</v>
      </c>
      <c r="G133" s="32">
        <v>300</v>
      </c>
      <c r="H133" s="32">
        <f t="shared" ref="H133:H148" si="16">H132+F133-G133</f>
        <v>3530</v>
      </c>
    </row>
    <row r="134" spans="1:8" x14ac:dyDescent="0.25">
      <c r="A134" s="28">
        <v>43007.720519560185</v>
      </c>
      <c r="B134" s="29" t="s">
        <v>7</v>
      </c>
      <c r="C134" s="29" t="s">
        <v>45</v>
      </c>
      <c r="D134" s="34">
        <v>1</v>
      </c>
      <c r="E134" s="34" t="s">
        <v>666</v>
      </c>
      <c r="G134" s="32">
        <v>50</v>
      </c>
      <c r="H134" s="32">
        <f t="shared" si="16"/>
        <v>3480</v>
      </c>
    </row>
    <row r="135" spans="1:8" x14ac:dyDescent="0.25">
      <c r="A135" s="28">
        <v>43008.712395601855</v>
      </c>
      <c r="B135" s="29" t="s">
        <v>80</v>
      </c>
      <c r="C135" s="29" t="s">
        <v>80</v>
      </c>
      <c r="D135" s="34">
        <v>1</v>
      </c>
      <c r="E135" s="34" t="s">
        <v>667</v>
      </c>
      <c r="F135" s="32">
        <v>345</v>
      </c>
      <c r="H135" s="32">
        <f t="shared" si="16"/>
        <v>3825</v>
      </c>
    </row>
    <row r="136" spans="1:8" x14ac:dyDescent="0.25">
      <c r="A136" s="23">
        <v>43008.71320578704</v>
      </c>
      <c r="B136" s="24" t="s">
        <v>80</v>
      </c>
      <c r="C136" s="24" t="s">
        <v>80</v>
      </c>
      <c r="D136" s="25">
        <v>1</v>
      </c>
      <c r="E136" s="25" t="s">
        <v>668</v>
      </c>
      <c r="F136" s="26">
        <v>1000</v>
      </c>
      <c r="G136" s="26"/>
      <c r="H136" s="26">
        <f t="shared" si="16"/>
        <v>4825</v>
      </c>
    </row>
    <row r="137" spans="1:8" x14ac:dyDescent="0.25">
      <c r="A137" s="23">
        <v>43008.715442592591</v>
      </c>
      <c r="B137" s="24" t="s">
        <v>7</v>
      </c>
      <c r="C137" s="24" t="s">
        <v>45</v>
      </c>
      <c r="D137" s="25">
        <v>1</v>
      </c>
      <c r="E137" s="25" t="s">
        <v>88</v>
      </c>
      <c r="F137" s="26"/>
      <c r="G137" s="26">
        <v>90</v>
      </c>
      <c r="H137" s="26">
        <f t="shared" si="16"/>
        <v>4735</v>
      </c>
    </row>
    <row r="138" spans="1:8" x14ac:dyDescent="0.25">
      <c r="A138" s="23">
        <v>43008.715929745369</v>
      </c>
      <c r="B138" s="24" t="s">
        <v>18</v>
      </c>
      <c r="C138" s="24" t="s">
        <v>24</v>
      </c>
      <c r="D138" s="25">
        <v>1</v>
      </c>
      <c r="E138" s="25" t="s">
        <v>589</v>
      </c>
      <c r="F138" s="26"/>
      <c r="G138" s="26">
        <v>420</v>
      </c>
      <c r="H138" s="26">
        <f t="shared" si="16"/>
        <v>4315</v>
      </c>
    </row>
    <row r="139" spans="1:8" x14ac:dyDescent="0.25">
      <c r="A139" s="28">
        <v>43008.716375925927</v>
      </c>
      <c r="B139" s="29" t="s">
        <v>7</v>
      </c>
      <c r="C139" s="29" t="s">
        <v>45</v>
      </c>
      <c r="D139" s="34">
        <v>1</v>
      </c>
      <c r="E139" s="34" t="s">
        <v>669</v>
      </c>
      <c r="G139" s="32">
        <v>24</v>
      </c>
      <c r="H139" s="32">
        <f t="shared" si="16"/>
        <v>4291</v>
      </c>
    </row>
    <row r="140" spans="1:8" x14ac:dyDescent="0.25">
      <c r="A140" s="28">
        <v>43008.717085763892</v>
      </c>
      <c r="B140" s="29" t="s">
        <v>75</v>
      </c>
      <c r="C140" s="29" t="s">
        <v>45</v>
      </c>
      <c r="D140" s="34">
        <v>1</v>
      </c>
      <c r="E140" s="34" t="s">
        <v>98</v>
      </c>
      <c r="G140" s="32">
        <v>1000</v>
      </c>
      <c r="H140" s="32">
        <f t="shared" si="16"/>
        <v>3291</v>
      </c>
    </row>
    <row r="141" spans="1:8" x14ac:dyDescent="0.25">
      <c r="A141" s="28">
        <v>43008.717485416666</v>
      </c>
      <c r="B141" s="29" t="s">
        <v>64</v>
      </c>
      <c r="C141" s="29" t="s">
        <v>29</v>
      </c>
      <c r="D141" s="34">
        <v>1</v>
      </c>
      <c r="E141" s="34" t="s">
        <v>670</v>
      </c>
      <c r="G141" s="32">
        <v>140</v>
      </c>
      <c r="H141" s="32">
        <f t="shared" si="16"/>
        <v>3151</v>
      </c>
    </row>
    <row r="142" spans="1:8" x14ac:dyDescent="0.25">
      <c r="A142" s="23">
        <v>43008.717824421299</v>
      </c>
      <c r="B142" s="24" t="s">
        <v>7</v>
      </c>
      <c r="C142" s="24" t="s">
        <v>23</v>
      </c>
      <c r="D142" s="25">
        <v>1</v>
      </c>
      <c r="E142" s="25" t="s">
        <v>609</v>
      </c>
      <c r="F142" s="26"/>
      <c r="G142" s="26">
        <v>200</v>
      </c>
      <c r="H142" s="26">
        <f t="shared" si="16"/>
        <v>2951</v>
      </c>
    </row>
    <row r="143" spans="1:8" x14ac:dyDescent="0.25">
      <c r="A143" s="23">
        <v>43008.718860995374</v>
      </c>
      <c r="B143" s="24" t="s">
        <v>64</v>
      </c>
      <c r="C143" s="24" t="s">
        <v>45</v>
      </c>
      <c r="D143" s="25">
        <v>1</v>
      </c>
      <c r="E143" s="25" t="s">
        <v>671</v>
      </c>
      <c r="F143" s="26"/>
      <c r="G143" s="26">
        <v>600</v>
      </c>
      <c r="H143" s="26">
        <f t="shared" si="16"/>
        <v>2351</v>
      </c>
    </row>
    <row r="144" spans="1:8" x14ac:dyDescent="0.25">
      <c r="A144" s="23">
        <v>43008.722552199077</v>
      </c>
      <c r="B144" s="24" t="s">
        <v>64</v>
      </c>
      <c r="C144" s="24" t="s">
        <v>45</v>
      </c>
      <c r="D144" s="25">
        <v>1</v>
      </c>
      <c r="E144" s="25" t="s">
        <v>585</v>
      </c>
      <c r="F144" s="26"/>
      <c r="G144" s="26">
        <v>100</v>
      </c>
      <c r="H144" s="26">
        <f t="shared" si="16"/>
        <v>2251</v>
      </c>
    </row>
    <row r="145" spans="1:8" x14ac:dyDescent="0.25">
      <c r="A145" s="28">
        <v>43008.726357175925</v>
      </c>
      <c r="B145" s="29" t="s">
        <v>64</v>
      </c>
      <c r="C145" s="29" t="s">
        <v>45</v>
      </c>
      <c r="D145" s="34">
        <v>1</v>
      </c>
      <c r="E145" s="34" t="s">
        <v>109</v>
      </c>
      <c r="G145" s="32">
        <v>1100</v>
      </c>
      <c r="H145" s="32">
        <f t="shared" si="16"/>
        <v>1151</v>
      </c>
    </row>
    <row r="146" spans="1:8" x14ac:dyDescent="0.25">
      <c r="A146" s="28">
        <v>43008.727737731482</v>
      </c>
      <c r="B146" s="29" t="s">
        <v>7</v>
      </c>
      <c r="C146" s="29" t="s">
        <v>23</v>
      </c>
      <c r="D146" s="34">
        <v>1</v>
      </c>
      <c r="E146" s="34" t="s">
        <v>379</v>
      </c>
      <c r="G146" s="32">
        <v>180</v>
      </c>
      <c r="H146" s="32">
        <f t="shared" si="16"/>
        <v>971</v>
      </c>
    </row>
    <row r="147" spans="1:8" x14ac:dyDescent="0.25">
      <c r="A147" s="28">
        <v>43008.729994444446</v>
      </c>
      <c r="B147" s="29" t="s">
        <v>7</v>
      </c>
      <c r="C147" s="29" t="s">
        <v>23</v>
      </c>
      <c r="D147" s="34">
        <v>1</v>
      </c>
      <c r="E147" s="34" t="s">
        <v>672</v>
      </c>
      <c r="G147" s="32">
        <v>120</v>
      </c>
      <c r="H147" s="32">
        <f t="shared" si="16"/>
        <v>851</v>
      </c>
    </row>
    <row r="148" spans="1:8" x14ac:dyDescent="0.25">
      <c r="A148" s="23">
        <v>43008.732554050926</v>
      </c>
      <c r="B148" s="24" t="s">
        <v>18</v>
      </c>
      <c r="C148" s="24" t="s">
        <v>24</v>
      </c>
      <c r="D148" s="25">
        <v>1</v>
      </c>
      <c r="E148" s="25" t="s">
        <v>615</v>
      </c>
      <c r="F148" s="26"/>
      <c r="G148" s="26">
        <v>200</v>
      </c>
      <c r="H148" s="26">
        <f t="shared" si="16"/>
        <v>651</v>
      </c>
    </row>
    <row r="149" spans="1:8" x14ac:dyDescent="0.25">
      <c r="A149" s="23">
        <v>43010.714632523152</v>
      </c>
      <c r="B149" s="24" t="s">
        <v>80</v>
      </c>
      <c r="C149" s="24" t="s">
        <v>80</v>
      </c>
      <c r="D149" s="25">
        <v>1</v>
      </c>
      <c r="E149" s="25" t="s">
        <v>564</v>
      </c>
      <c r="F149" s="26">
        <v>1000</v>
      </c>
      <c r="G149" s="26"/>
      <c r="H149" s="26">
        <f t="shared" ref="H149:H157" si="17">H148+F149-G149</f>
        <v>1651</v>
      </c>
    </row>
    <row r="150" spans="1:8" x14ac:dyDescent="0.25">
      <c r="A150" s="23">
        <v>43010.715605902777</v>
      </c>
      <c r="B150" s="24" t="s">
        <v>7</v>
      </c>
      <c r="C150" s="24" t="s">
        <v>45</v>
      </c>
      <c r="D150" s="25">
        <v>1</v>
      </c>
      <c r="E150" s="25" t="s">
        <v>673</v>
      </c>
      <c r="F150" s="26"/>
      <c r="G150" s="26">
        <v>128</v>
      </c>
      <c r="H150" s="26">
        <f t="shared" si="17"/>
        <v>1523</v>
      </c>
    </row>
    <row r="151" spans="1:8" x14ac:dyDescent="0.25">
      <c r="A151" s="28">
        <v>43010.716790856481</v>
      </c>
      <c r="B151" s="29" t="s">
        <v>7</v>
      </c>
      <c r="C151" s="29" t="s">
        <v>45</v>
      </c>
      <c r="D151" s="34" t="s">
        <v>675</v>
      </c>
      <c r="E151" s="34" t="s">
        <v>674</v>
      </c>
      <c r="G151" s="32">
        <v>299</v>
      </c>
      <c r="H151" s="32">
        <f t="shared" si="17"/>
        <v>1224</v>
      </c>
    </row>
    <row r="152" spans="1:8" x14ac:dyDescent="0.25">
      <c r="A152" s="28">
        <v>43010.718062731481</v>
      </c>
      <c r="B152" s="29" t="s">
        <v>7</v>
      </c>
      <c r="C152" s="29" t="s">
        <v>45</v>
      </c>
      <c r="D152" s="34" t="s">
        <v>677</v>
      </c>
      <c r="E152" s="34" t="s">
        <v>676</v>
      </c>
      <c r="G152" s="32">
        <v>650</v>
      </c>
      <c r="H152" s="32">
        <f t="shared" si="17"/>
        <v>574</v>
      </c>
    </row>
    <row r="153" spans="1:8" x14ac:dyDescent="0.25">
      <c r="A153" s="28">
        <v>43011.712110995373</v>
      </c>
      <c r="B153" s="29" t="s">
        <v>80</v>
      </c>
      <c r="C153" s="29" t="s">
        <v>80</v>
      </c>
      <c r="D153" s="34">
        <v>1</v>
      </c>
      <c r="E153" s="34" t="s">
        <v>564</v>
      </c>
      <c r="F153" s="32">
        <v>1000</v>
      </c>
      <c r="H153" s="32">
        <f t="shared" si="17"/>
        <v>1574</v>
      </c>
    </row>
    <row r="154" spans="1:8" x14ac:dyDescent="0.25">
      <c r="A154" s="23">
        <v>43011.712917245372</v>
      </c>
      <c r="B154" s="24" t="s">
        <v>64</v>
      </c>
      <c r="C154" s="24" t="s">
        <v>45</v>
      </c>
      <c r="D154" s="25">
        <v>1</v>
      </c>
      <c r="E154" s="25" t="s">
        <v>162</v>
      </c>
      <c r="F154" s="26"/>
      <c r="G154" s="26">
        <v>100</v>
      </c>
      <c r="H154" s="26">
        <f t="shared" si="17"/>
        <v>1474</v>
      </c>
    </row>
    <row r="155" spans="1:8" x14ac:dyDescent="0.25">
      <c r="A155" s="23">
        <v>43011.714728472223</v>
      </c>
      <c r="B155" s="24" t="s">
        <v>7</v>
      </c>
      <c r="C155" s="24" t="s">
        <v>29</v>
      </c>
      <c r="D155" s="25" t="s">
        <v>679</v>
      </c>
      <c r="E155" s="25" t="s">
        <v>678</v>
      </c>
      <c r="F155" s="26"/>
      <c r="G155" s="26">
        <v>80</v>
      </c>
      <c r="H155" s="26">
        <f t="shared" si="17"/>
        <v>1394</v>
      </c>
    </row>
    <row r="156" spans="1:8" x14ac:dyDescent="0.25">
      <c r="A156" s="23">
        <v>43011.715378125002</v>
      </c>
      <c r="B156" s="24" t="s">
        <v>75</v>
      </c>
      <c r="C156" s="24" t="s">
        <v>45</v>
      </c>
      <c r="D156" s="25">
        <v>1</v>
      </c>
      <c r="E156" s="25" t="s">
        <v>680</v>
      </c>
      <c r="F156" s="26"/>
      <c r="G156" s="26">
        <v>600</v>
      </c>
      <c r="H156" s="26">
        <f t="shared" si="17"/>
        <v>794</v>
      </c>
    </row>
    <row r="157" spans="1:8" x14ac:dyDescent="0.25">
      <c r="A157" s="28">
        <v>43011.716725925929</v>
      </c>
      <c r="B157" s="29" t="s">
        <v>7</v>
      </c>
      <c r="C157" s="29" t="s">
        <v>45</v>
      </c>
      <c r="D157" s="34">
        <v>1</v>
      </c>
      <c r="E157" s="34" t="s">
        <v>681</v>
      </c>
      <c r="G157" s="32">
        <v>30</v>
      </c>
      <c r="H157" s="32">
        <f t="shared" si="17"/>
        <v>764</v>
      </c>
    </row>
    <row r="158" spans="1:8" x14ac:dyDescent="0.25">
      <c r="A158" s="88">
        <v>43011.721121180555</v>
      </c>
      <c r="B158" s="89"/>
      <c r="C158" s="89"/>
      <c r="D158" s="89"/>
      <c r="E158" s="89"/>
      <c r="F158" s="89"/>
      <c r="G158" s="89"/>
      <c r="H158" s="90"/>
    </row>
    <row r="159" spans="1:8" x14ac:dyDescent="0.25">
      <c r="A159" s="28">
        <v>43011.721620023149</v>
      </c>
      <c r="B159" s="29" t="s">
        <v>64</v>
      </c>
      <c r="C159" s="29" t="s">
        <v>45</v>
      </c>
      <c r="D159" s="34">
        <v>1</v>
      </c>
      <c r="E159" s="34" t="s">
        <v>585</v>
      </c>
      <c r="G159" s="32">
        <v>200</v>
      </c>
      <c r="H159" s="32">
        <f>G159</f>
        <v>200</v>
      </c>
    </row>
    <row r="160" spans="1:8" x14ac:dyDescent="0.25">
      <c r="A160" s="23">
        <v>43012.711338657406</v>
      </c>
      <c r="B160" s="24" t="s">
        <v>80</v>
      </c>
      <c r="C160" s="24" t="s">
        <v>80</v>
      </c>
      <c r="D160" s="25">
        <v>1</v>
      </c>
      <c r="E160" s="25" t="s">
        <v>564</v>
      </c>
      <c r="F160" s="26">
        <v>3000</v>
      </c>
      <c r="G160" s="26"/>
      <c r="H160" s="26">
        <f>H159-G160+F160</f>
        <v>3200</v>
      </c>
    </row>
    <row r="161" spans="1:8" x14ac:dyDescent="0.25">
      <c r="A161" s="23">
        <v>43012.716225231481</v>
      </c>
      <c r="B161" s="24" t="s">
        <v>7</v>
      </c>
      <c r="C161" s="24" t="s">
        <v>45</v>
      </c>
      <c r="D161" s="25" t="s">
        <v>682</v>
      </c>
      <c r="E161" s="25" t="s">
        <v>683</v>
      </c>
      <c r="F161" s="26"/>
      <c r="G161" s="26">
        <v>205</v>
      </c>
      <c r="H161" s="26">
        <f t="shared" ref="H161:H168" si="18">H160+F161-G161</f>
        <v>2995</v>
      </c>
    </row>
    <row r="162" spans="1:8" x14ac:dyDescent="0.25">
      <c r="A162" s="23">
        <v>43012.719050115738</v>
      </c>
      <c r="B162" s="24" t="s">
        <v>7</v>
      </c>
      <c r="C162" s="24" t="s">
        <v>23</v>
      </c>
      <c r="D162" s="25">
        <v>3</v>
      </c>
      <c r="E162" s="25" t="s">
        <v>684</v>
      </c>
      <c r="F162" s="26"/>
      <c r="G162" s="26">
        <v>281</v>
      </c>
      <c r="H162" s="26">
        <f t="shared" si="18"/>
        <v>2714</v>
      </c>
    </row>
    <row r="163" spans="1:8" x14ac:dyDescent="0.25">
      <c r="A163" s="28">
        <v>43012.720640162035</v>
      </c>
      <c r="B163" s="29" t="s">
        <v>7</v>
      </c>
      <c r="C163" s="29" t="s">
        <v>23</v>
      </c>
      <c r="D163" s="34">
        <v>2</v>
      </c>
      <c r="E163" s="34" t="s">
        <v>685</v>
      </c>
      <c r="G163" s="32">
        <v>120</v>
      </c>
      <c r="H163" s="32">
        <f t="shared" si="18"/>
        <v>2594</v>
      </c>
    </row>
    <row r="164" spans="1:8" x14ac:dyDescent="0.25">
      <c r="A164" s="28">
        <v>43012.724003819443</v>
      </c>
      <c r="B164" s="29" t="s">
        <v>7</v>
      </c>
      <c r="C164" s="29" t="s">
        <v>24</v>
      </c>
      <c r="D164" s="34">
        <v>1</v>
      </c>
      <c r="E164" s="34" t="s">
        <v>108</v>
      </c>
      <c r="G164" s="32">
        <v>400</v>
      </c>
      <c r="H164" s="32">
        <f t="shared" si="18"/>
        <v>2194</v>
      </c>
    </row>
    <row r="165" spans="1:8" x14ac:dyDescent="0.25">
      <c r="A165" s="28">
        <v>43012.724859953705</v>
      </c>
      <c r="B165" s="29" t="s">
        <v>7</v>
      </c>
      <c r="C165" s="29" t="s">
        <v>23</v>
      </c>
      <c r="D165" s="34">
        <v>1</v>
      </c>
      <c r="E165" s="34" t="s">
        <v>686</v>
      </c>
      <c r="G165" s="32">
        <v>40</v>
      </c>
      <c r="H165" s="32">
        <f t="shared" si="18"/>
        <v>2154</v>
      </c>
    </row>
    <row r="166" spans="1:8" x14ac:dyDescent="0.25">
      <c r="A166" s="23">
        <v>43012.726218518517</v>
      </c>
      <c r="B166" s="24" t="s">
        <v>18</v>
      </c>
      <c r="C166" s="24" t="s">
        <v>24</v>
      </c>
      <c r="D166" s="25">
        <v>1</v>
      </c>
      <c r="E166" s="25" t="s">
        <v>687</v>
      </c>
      <c r="F166" s="26"/>
      <c r="G166" s="26">
        <v>1800</v>
      </c>
      <c r="H166" s="26">
        <f t="shared" si="18"/>
        <v>354</v>
      </c>
    </row>
    <row r="167" spans="1:8" x14ac:dyDescent="0.25">
      <c r="A167" s="23">
        <v>43012.728394675927</v>
      </c>
      <c r="B167" s="24" t="s">
        <v>18</v>
      </c>
      <c r="C167" s="24" t="s">
        <v>24</v>
      </c>
      <c r="D167" s="25">
        <v>2</v>
      </c>
      <c r="E167" s="25" t="s">
        <v>688</v>
      </c>
      <c r="F167" s="26"/>
      <c r="G167" s="26">
        <v>355</v>
      </c>
      <c r="H167" s="26">
        <f t="shared" si="18"/>
        <v>-1</v>
      </c>
    </row>
    <row r="168" spans="1:8" x14ac:dyDescent="0.25">
      <c r="A168" s="23">
        <v>43012.729886689813</v>
      </c>
      <c r="B168" s="24" t="s">
        <v>75</v>
      </c>
      <c r="C168" s="24" t="s">
        <v>45</v>
      </c>
      <c r="D168" s="25">
        <v>1</v>
      </c>
      <c r="E168" s="25" t="s">
        <v>689</v>
      </c>
      <c r="F168" s="26"/>
      <c r="G168" s="26">
        <v>330</v>
      </c>
      <c r="H168" s="26">
        <f t="shared" si="18"/>
        <v>-331</v>
      </c>
    </row>
    <row r="169" spans="1:8" x14ac:dyDescent="0.25">
      <c r="A169" s="28">
        <v>43013.726768749999</v>
      </c>
      <c r="B169" s="29" t="s">
        <v>80</v>
      </c>
      <c r="C169" s="29" t="s">
        <v>80</v>
      </c>
      <c r="D169" s="34">
        <v>1</v>
      </c>
      <c r="E169" s="34" t="s">
        <v>564</v>
      </c>
      <c r="F169" s="32">
        <v>1025</v>
      </c>
      <c r="H169" s="32">
        <f t="shared" ref="H169:H175" si="19">H168+F169-G169</f>
        <v>694</v>
      </c>
    </row>
    <row r="170" spans="1:8" x14ac:dyDescent="0.25">
      <c r="A170" s="28">
        <v>43013.728191087961</v>
      </c>
      <c r="B170" s="29" t="s">
        <v>7</v>
      </c>
      <c r="C170" s="29" t="s">
        <v>45</v>
      </c>
      <c r="D170" s="34">
        <v>1</v>
      </c>
      <c r="E170" s="34" t="s">
        <v>690</v>
      </c>
      <c r="G170" s="32">
        <v>85</v>
      </c>
      <c r="H170" s="32">
        <f t="shared" si="19"/>
        <v>609</v>
      </c>
    </row>
    <row r="171" spans="1:8" x14ac:dyDescent="0.25">
      <c r="A171" s="28">
        <v>43013.729661689817</v>
      </c>
      <c r="B171" s="29" t="s">
        <v>7</v>
      </c>
      <c r="C171" s="29" t="s">
        <v>45</v>
      </c>
      <c r="D171" s="34">
        <v>1</v>
      </c>
      <c r="E171" s="34" t="s">
        <v>691</v>
      </c>
      <c r="G171" s="32">
        <v>390</v>
      </c>
      <c r="H171" s="32">
        <f t="shared" si="19"/>
        <v>219</v>
      </c>
    </row>
    <row r="172" spans="1:8" x14ac:dyDescent="0.25">
      <c r="A172" s="23">
        <v>43014.713288078703</v>
      </c>
      <c r="B172" s="24" t="s">
        <v>7</v>
      </c>
      <c r="C172" s="24" t="s">
        <v>23</v>
      </c>
      <c r="D172" s="25">
        <v>1</v>
      </c>
      <c r="E172" s="25" t="s">
        <v>692</v>
      </c>
      <c r="F172" s="26"/>
      <c r="G172" s="26">
        <v>110</v>
      </c>
      <c r="H172" s="26">
        <f t="shared" si="19"/>
        <v>109</v>
      </c>
    </row>
    <row r="173" spans="1:8" x14ac:dyDescent="0.25">
      <c r="A173" s="23">
        <v>43014.715122453701</v>
      </c>
      <c r="B173" s="24" t="s">
        <v>7</v>
      </c>
      <c r="C173" s="24" t="s">
        <v>23</v>
      </c>
      <c r="D173" s="25">
        <v>1</v>
      </c>
      <c r="E173" s="25" t="s">
        <v>693</v>
      </c>
      <c r="F173" s="26"/>
      <c r="G173" s="26">
        <v>120</v>
      </c>
      <c r="H173" s="26">
        <f t="shared" si="19"/>
        <v>-11</v>
      </c>
    </row>
    <row r="174" spans="1:8" x14ac:dyDescent="0.25">
      <c r="A174" s="23">
        <v>43014.717502083331</v>
      </c>
      <c r="B174" s="24" t="s">
        <v>80</v>
      </c>
      <c r="C174" s="24" t="s">
        <v>80</v>
      </c>
      <c r="D174" s="25" t="s">
        <v>694</v>
      </c>
      <c r="E174" s="25" t="s">
        <v>564</v>
      </c>
      <c r="F174" s="26">
        <v>1275</v>
      </c>
      <c r="G174" s="26"/>
      <c r="H174" s="26">
        <f t="shared" si="19"/>
        <v>1264</v>
      </c>
    </row>
    <row r="175" spans="1:8" x14ac:dyDescent="0.25">
      <c r="A175" s="28">
        <v>43014.719539351849</v>
      </c>
      <c r="B175" s="29" t="s">
        <v>18</v>
      </c>
      <c r="C175" s="29" t="s">
        <v>24</v>
      </c>
      <c r="D175" s="34">
        <v>1</v>
      </c>
      <c r="E175" s="34" t="s">
        <v>695</v>
      </c>
      <c r="G175" s="32">
        <v>1600</v>
      </c>
      <c r="H175" s="32">
        <f t="shared" si="19"/>
        <v>-336</v>
      </c>
    </row>
    <row r="176" spans="1:8" x14ac:dyDescent="0.25">
      <c r="A176" s="28">
        <v>43019.634716319444</v>
      </c>
      <c r="B176" s="29" t="s">
        <v>80</v>
      </c>
      <c r="C176" s="29" t="s">
        <v>80</v>
      </c>
      <c r="D176" s="34" t="s">
        <v>697</v>
      </c>
      <c r="E176" s="34" t="s">
        <v>696</v>
      </c>
      <c r="F176" s="32">
        <v>2000</v>
      </c>
      <c r="H176" s="32">
        <f t="shared" ref="H176:H190" si="20">H175+F176-G176</f>
        <v>1664</v>
      </c>
    </row>
    <row r="177" spans="1:8" x14ac:dyDescent="0.25">
      <c r="A177" s="28">
        <v>43019.636312731483</v>
      </c>
      <c r="E177" s="34" t="s">
        <v>564</v>
      </c>
      <c r="F177" s="32">
        <v>23400</v>
      </c>
      <c r="H177" s="32">
        <v>23400</v>
      </c>
    </row>
    <row r="178" spans="1:8" x14ac:dyDescent="0.25">
      <c r="A178" s="23">
        <v>43019.637334027779</v>
      </c>
      <c r="B178" s="24" t="s">
        <v>64</v>
      </c>
      <c r="C178" s="24" t="s">
        <v>45</v>
      </c>
      <c r="D178" s="25">
        <v>1</v>
      </c>
      <c r="E178" s="25" t="s">
        <v>162</v>
      </c>
      <c r="F178" s="26"/>
      <c r="G178" s="26">
        <v>85</v>
      </c>
      <c r="H178" s="26">
        <f t="shared" si="20"/>
        <v>23315</v>
      </c>
    </row>
    <row r="179" spans="1:8" x14ac:dyDescent="0.25">
      <c r="A179" s="23">
        <v>43019.638185648146</v>
      </c>
      <c r="B179" s="24" t="s">
        <v>64</v>
      </c>
      <c r="C179" s="24" t="s">
        <v>19</v>
      </c>
      <c r="D179" s="25">
        <v>1</v>
      </c>
      <c r="E179" s="25" t="s">
        <v>139</v>
      </c>
      <c r="F179" s="26"/>
      <c r="G179" s="26">
        <v>300</v>
      </c>
      <c r="H179" s="26">
        <f t="shared" si="20"/>
        <v>23015</v>
      </c>
    </row>
    <row r="180" spans="1:8" x14ac:dyDescent="0.25">
      <c r="A180" s="23">
        <v>43019.642560532404</v>
      </c>
      <c r="B180" s="24" t="s">
        <v>75</v>
      </c>
      <c r="C180" s="24" t="s">
        <v>45</v>
      </c>
      <c r="D180" s="25">
        <v>1</v>
      </c>
      <c r="E180" s="25" t="s">
        <v>699</v>
      </c>
      <c r="F180" s="26"/>
      <c r="G180" s="26">
        <v>300</v>
      </c>
      <c r="H180" s="26">
        <f t="shared" si="20"/>
        <v>22715</v>
      </c>
    </row>
    <row r="181" spans="1:8" x14ac:dyDescent="0.25">
      <c r="A181" s="28">
        <v>43019.644808912039</v>
      </c>
      <c r="B181" s="29" t="s">
        <v>7</v>
      </c>
      <c r="C181" s="29" t="s">
        <v>23</v>
      </c>
      <c r="D181" s="34">
        <v>1</v>
      </c>
      <c r="E181" s="34" t="s">
        <v>700</v>
      </c>
      <c r="G181" s="32">
        <v>90</v>
      </c>
      <c r="H181" s="32">
        <f t="shared" si="20"/>
        <v>22625</v>
      </c>
    </row>
    <row r="182" spans="1:8" x14ac:dyDescent="0.25">
      <c r="A182" s="28">
        <v>43019.646655902776</v>
      </c>
      <c r="B182" s="29" t="s">
        <v>7</v>
      </c>
      <c r="C182" s="29" t="s">
        <v>45</v>
      </c>
      <c r="D182" s="34">
        <v>1</v>
      </c>
      <c r="E182" s="34" t="s">
        <v>701</v>
      </c>
      <c r="G182" s="32">
        <v>325</v>
      </c>
      <c r="H182" s="32">
        <f t="shared" si="20"/>
        <v>22300</v>
      </c>
    </row>
    <row r="183" spans="1:8" x14ac:dyDescent="0.25">
      <c r="A183" s="28">
        <v>43019.653739814814</v>
      </c>
      <c r="B183" s="29" t="s">
        <v>7</v>
      </c>
      <c r="C183" s="29" t="s">
        <v>45</v>
      </c>
      <c r="D183" s="34">
        <v>1</v>
      </c>
      <c r="E183" s="34" t="s">
        <v>88</v>
      </c>
      <c r="G183" s="32">
        <v>100</v>
      </c>
      <c r="H183" s="32">
        <f t="shared" si="20"/>
        <v>22200</v>
      </c>
    </row>
    <row r="184" spans="1:8" x14ac:dyDescent="0.25">
      <c r="A184" s="23">
        <v>43019.654972222219</v>
      </c>
      <c r="B184" s="24" t="s">
        <v>18</v>
      </c>
      <c r="C184" s="24" t="s">
        <v>24</v>
      </c>
      <c r="D184" s="25">
        <v>1</v>
      </c>
      <c r="E184" s="25" t="s">
        <v>589</v>
      </c>
      <c r="F184" s="26"/>
      <c r="G184" s="26">
        <v>420</v>
      </c>
      <c r="H184" s="26">
        <f t="shared" si="20"/>
        <v>21780</v>
      </c>
    </row>
    <row r="185" spans="1:8" x14ac:dyDescent="0.25">
      <c r="A185" s="23">
        <v>43019.656656250001</v>
      </c>
      <c r="B185" s="24" t="s">
        <v>7</v>
      </c>
      <c r="C185" s="24" t="s">
        <v>23</v>
      </c>
      <c r="D185" s="25">
        <v>1</v>
      </c>
      <c r="E185" s="25" t="s">
        <v>590</v>
      </c>
      <c r="F185" s="26"/>
      <c r="G185" s="26">
        <v>100</v>
      </c>
      <c r="H185" s="26">
        <f t="shared" si="20"/>
        <v>21680</v>
      </c>
    </row>
    <row r="186" spans="1:8" x14ac:dyDescent="0.25">
      <c r="A186" s="23">
        <v>43019.659288657407</v>
      </c>
      <c r="B186" s="24" t="s">
        <v>17</v>
      </c>
      <c r="C186" s="24" t="s">
        <v>29</v>
      </c>
      <c r="D186" s="25">
        <v>1</v>
      </c>
      <c r="E186" s="25" t="s">
        <v>702</v>
      </c>
      <c r="F186" s="26"/>
      <c r="G186" s="26">
        <v>120</v>
      </c>
      <c r="H186" s="26">
        <f t="shared" si="20"/>
        <v>21560</v>
      </c>
    </row>
    <row r="187" spans="1:8" x14ac:dyDescent="0.25">
      <c r="A187" s="28">
        <v>43019.663995949071</v>
      </c>
      <c r="B187" s="29" t="s">
        <v>7</v>
      </c>
      <c r="C187" s="29" t="s">
        <v>23</v>
      </c>
      <c r="D187" s="34">
        <v>1</v>
      </c>
      <c r="E187" s="34" t="s">
        <v>655</v>
      </c>
      <c r="G187" s="32">
        <v>120</v>
      </c>
      <c r="H187" s="32">
        <f t="shared" si="20"/>
        <v>21440</v>
      </c>
    </row>
    <row r="188" spans="1:8" x14ac:dyDescent="0.25">
      <c r="A188" s="28">
        <v>43019.665238194444</v>
      </c>
      <c r="B188" s="29" t="s">
        <v>7</v>
      </c>
      <c r="C188" s="29" t="s">
        <v>23</v>
      </c>
      <c r="D188" s="34">
        <v>1</v>
      </c>
      <c r="E188" s="34" t="s">
        <v>703</v>
      </c>
      <c r="G188" s="32">
        <v>40</v>
      </c>
      <c r="H188" s="32">
        <f t="shared" si="20"/>
        <v>21400</v>
      </c>
    </row>
    <row r="189" spans="1:8" x14ac:dyDescent="0.25">
      <c r="A189" s="28">
        <v>43019.682040162035</v>
      </c>
      <c r="B189" s="29" t="s">
        <v>7</v>
      </c>
      <c r="C189" s="29" t="s">
        <v>45</v>
      </c>
      <c r="D189" s="34">
        <v>1</v>
      </c>
      <c r="E189" s="34" t="s">
        <v>704</v>
      </c>
      <c r="G189" s="32">
        <v>50</v>
      </c>
      <c r="H189" s="32">
        <f t="shared" si="20"/>
        <v>21350</v>
      </c>
    </row>
    <row r="190" spans="1:8" x14ac:dyDescent="0.25">
      <c r="A190" s="23">
        <v>43019.68565590278</v>
      </c>
      <c r="B190" s="24" t="s">
        <v>7</v>
      </c>
      <c r="C190" s="24" t="s">
        <v>23</v>
      </c>
      <c r="D190" s="25">
        <v>1</v>
      </c>
      <c r="E190" s="25" t="s">
        <v>55</v>
      </c>
      <c r="F190" s="26"/>
      <c r="G190" s="26">
        <v>50</v>
      </c>
      <c r="H190" s="26">
        <f t="shared" si="20"/>
        <v>21300</v>
      </c>
    </row>
    <row r="191" spans="1:8" x14ac:dyDescent="0.25">
      <c r="A191" s="23">
        <v>43019.686570949074</v>
      </c>
      <c r="B191" s="24" t="s">
        <v>7</v>
      </c>
      <c r="C191" s="24" t="s">
        <v>45</v>
      </c>
      <c r="D191" s="25">
        <v>1</v>
      </c>
      <c r="E191" s="25" t="s">
        <v>698</v>
      </c>
      <c r="F191" s="26"/>
      <c r="G191" s="26">
        <v>200</v>
      </c>
      <c r="H191" s="26">
        <v>21100</v>
      </c>
    </row>
    <row r="192" spans="1:8" x14ac:dyDescent="0.25">
      <c r="A192" s="23">
        <v>43019.689143518517</v>
      </c>
      <c r="B192" s="24" t="s">
        <v>17</v>
      </c>
      <c r="C192" s="24" t="s">
        <v>23</v>
      </c>
      <c r="D192" s="25">
        <v>1</v>
      </c>
      <c r="E192" s="25" t="s">
        <v>705</v>
      </c>
      <c r="F192" s="26"/>
      <c r="G192" s="26">
        <v>600</v>
      </c>
      <c r="H192" s="26">
        <f>H191+F192-G192</f>
        <v>20500</v>
      </c>
    </row>
    <row r="193" spans="1:8" x14ac:dyDescent="0.25">
      <c r="A193" s="28">
        <v>43019.690617129629</v>
      </c>
      <c r="B193" s="29" t="s">
        <v>7</v>
      </c>
      <c r="C193" s="29" t="s">
        <v>23</v>
      </c>
      <c r="D193" s="34">
        <v>1</v>
      </c>
      <c r="E193" s="34" t="s">
        <v>61</v>
      </c>
      <c r="G193" s="32">
        <v>40</v>
      </c>
      <c r="H193" s="32">
        <f t="shared" ref="H193:H207" si="21">H192+F193-G193</f>
        <v>20460</v>
      </c>
    </row>
    <row r="194" spans="1:8" x14ac:dyDescent="0.25">
      <c r="A194" s="28">
        <v>43019.692758912039</v>
      </c>
      <c r="B194" s="29" t="s">
        <v>17</v>
      </c>
      <c r="C194" s="29" t="s">
        <v>45</v>
      </c>
      <c r="D194" s="34">
        <v>1</v>
      </c>
      <c r="E194" s="34" t="s">
        <v>706</v>
      </c>
      <c r="G194" s="32">
        <v>1200</v>
      </c>
      <c r="H194" s="32">
        <f t="shared" si="21"/>
        <v>19260</v>
      </c>
    </row>
    <row r="195" spans="1:8" x14ac:dyDescent="0.25">
      <c r="A195" s="28">
        <v>43019.694455902776</v>
      </c>
      <c r="B195" s="29" t="s">
        <v>7</v>
      </c>
      <c r="C195" s="29" t="s">
        <v>45</v>
      </c>
      <c r="D195" s="34">
        <v>1</v>
      </c>
      <c r="E195" s="34" t="s">
        <v>707</v>
      </c>
      <c r="G195" s="32">
        <v>200</v>
      </c>
      <c r="H195" s="32">
        <f t="shared" si="21"/>
        <v>19060</v>
      </c>
    </row>
    <row r="196" spans="1:8" x14ac:dyDescent="0.25">
      <c r="A196" s="23">
        <v>43019.69563425926</v>
      </c>
      <c r="B196" s="24" t="s">
        <v>7</v>
      </c>
      <c r="C196" s="24" t="s">
        <v>24</v>
      </c>
      <c r="D196" s="25">
        <v>2</v>
      </c>
      <c r="E196" s="25" t="s">
        <v>708</v>
      </c>
      <c r="F196" s="26"/>
      <c r="G196" s="26">
        <v>145</v>
      </c>
      <c r="H196" s="26">
        <f t="shared" si="21"/>
        <v>18915</v>
      </c>
    </row>
    <row r="197" spans="1:8" x14ac:dyDescent="0.25">
      <c r="A197" s="23">
        <v>43019.697261458336</v>
      </c>
      <c r="B197" s="24" t="s">
        <v>7</v>
      </c>
      <c r="C197" s="24" t="s">
        <v>23</v>
      </c>
      <c r="D197" s="25">
        <v>1</v>
      </c>
      <c r="E197" s="25" t="s">
        <v>709</v>
      </c>
      <c r="F197" s="26"/>
      <c r="G197" s="26">
        <v>200</v>
      </c>
      <c r="H197" s="26">
        <f t="shared" si="21"/>
        <v>18715</v>
      </c>
    </row>
    <row r="198" spans="1:8" x14ac:dyDescent="0.25">
      <c r="A198" s="23">
        <v>43019.70140740741</v>
      </c>
      <c r="B198" s="24" t="s">
        <v>7</v>
      </c>
      <c r="C198" s="24" t="s">
        <v>45</v>
      </c>
      <c r="D198" s="25">
        <v>2</v>
      </c>
      <c r="E198" s="25" t="s">
        <v>710</v>
      </c>
      <c r="F198" s="26"/>
      <c r="G198" s="26">
        <v>360</v>
      </c>
      <c r="H198" s="26">
        <f t="shared" si="21"/>
        <v>18355</v>
      </c>
    </row>
    <row r="199" spans="1:8" x14ac:dyDescent="0.25">
      <c r="A199" s="28">
        <v>43019.704632291665</v>
      </c>
      <c r="B199" s="29" t="s">
        <v>80</v>
      </c>
      <c r="C199" s="29" t="s">
        <v>19</v>
      </c>
      <c r="D199" s="34">
        <v>1</v>
      </c>
      <c r="E199" s="34" t="s">
        <v>711</v>
      </c>
      <c r="G199" s="32">
        <v>1000</v>
      </c>
      <c r="H199" s="32">
        <f t="shared" si="21"/>
        <v>17355</v>
      </c>
    </row>
    <row r="200" spans="1:8" x14ac:dyDescent="0.25">
      <c r="A200" s="28">
        <v>43019.706335648145</v>
      </c>
      <c r="B200" s="29" t="s">
        <v>7</v>
      </c>
      <c r="C200" s="29" t="s">
        <v>19</v>
      </c>
      <c r="D200" s="34">
        <v>1</v>
      </c>
      <c r="E200" s="34" t="s">
        <v>712</v>
      </c>
      <c r="G200" s="32">
        <v>60</v>
      </c>
      <c r="H200" s="32">
        <f t="shared" si="21"/>
        <v>17295</v>
      </c>
    </row>
    <row r="201" spans="1:8" x14ac:dyDescent="0.25">
      <c r="A201" s="28">
        <v>43019.70882777778</v>
      </c>
      <c r="B201" s="29" t="s">
        <v>17</v>
      </c>
      <c r="C201" s="29" t="s">
        <v>45</v>
      </c>
      <c r="D201" s="34">
        <v>1</v>
      </c>
      <c r="E201" s="34" t="s">
        <v>713</v>
      </c>
      <c r="G201" s="32">
        <v>640</v>
      </c>
      <c r="H201" s="32">
        <f t="shared" si="21"/>
        <v>16655</v>
      </c>
    </row>
    <row r="202" spans="1:8" x14ac:dyDescent="0.25">
      <c r="A202" s="23">
        <v>43019.7148087963</v>
      </c>
      <c r="B202" s="24" t="s">
        <v>75</v>
      </c>
      <c r="C202" s="24" t="s">
        <v>19</v>
      </c>
      <c r="D202" s="25">
        <v>1</v>
      </c>
      <c r="E202" s="25" t="s">
        <v>358</v>
      </c>
      <c r="F202" s="26"/>
      <c r="G202" s="26">
        <v>340</v>
      </c>
      <c r="H202" s="26">
        <f t="shared" si="21"/>
        <v>16315</v>
      </c>
    </row>
    <row r="203" spans="1:8" x14ac:dyDescent="0.25">
      <c r="A203" s="23">
        <v>43019.716055208337</v>
      </c>
      <c r="B203" s="24" t="s">
        <v>75</v>
      </c>
      <c r="C203" s="24" t="s">
        <v>19</v>
      </c>
      <c r="D203" s="25">
        <v>1</v>
      </c>
      <c r="E203" s="25" t="s">
        <v>714</v>
      </c>
      <c r="F203" s="26"/>
      <c r="G203" s="26">
        <v>400</v>
      </c>
      <c r="H203" s="26">
        <f t="shared" si="21"/>
        <v>15915</v>
      </c>
    </row>
    <row r="204" spans="1:8" x14ac:dyDescent="0.25">
      <c r="A204" s="23">
        <v>43019.716620023151</v>
      </c>
      <c r="B204" s="24" t="s">
        <v>44</v>
      </c>
      <c r="C204" s="24" t="s">
        <v>19</v>
      </c>
      <c r="D204" s="25">
        <v>1</v>
      </c>
      <c r="E204" s="35" t="s">
        <v>715</v>
      </c>
      <c r="F204" s="26"/>
      <c r="G204" s="26">
        <v>8000</v>
      </c>
      <c r="H204" s="26">
        <f t="shared" si="21"/>
        <v>7915</v>
      </c>
    </row>
    <row r="205" spans="1:8" x14ac:dyDescent="0.25">
      <c r="A205" s="28">
        <v>43019.72000833333</v>
      </c>
      <c r="B205" s="29" t="s">
        <v>75</v>
      </c>
      <c r="C205" s="29" t="s">
        <v>19</v>
      </c>
      <c r="D205" s="34">
        <v>1</v>
      </c>
      <c r="E205" s="34" t="s">
        <v>716</v>
      </c>
      <c r="G205" s="32">
        <v>1000</v>
      </c>
      <c r="H205" s="36">
        <f t="shared" si="21"/>
        <v>6915</v>
      </c>
    </row>
    <row r="206" spans="1:8" x14ac:dyDescent="0.25">
      <c r="A206" s="28">
        <v>43019.721558217592</v>
      </c>
      <c r="B206" s="29" t="s">
        <v>64</v>
      </c>
      <c r="C206" s="29" t="s">
        <v>45</v>
      </c>
      <c r="D206" s="34">
        <v>1</v>
      </c>
      <c r="E206" s="34" t="s">
        <v>717</v>
      </c>
      <c r="G206" s="32">
        <v>300</v>
      </c>
      <c r="H206" s="32">
        <f t="shared" si="21"/>
        <v>6615</v>
      </c>
    </row>
    <row r="207" spans="1:8" x14ac:dyDescent="0.25">
      <c r="A207" s="28">
        <v>43019.726624884257</v>
      </c>
      <c r="B207" s="29" t="s">
        <v>7</v>
      </c>
      <c r="C207" s="29" t="s">
        <v>45</v>
      </c>
      <c r="D207" s="34">
        <v>1</v>
      </c>
      <c r="E207" s="34" t="s">
        <v>718</v>
      </c>
      <c r="G207" s="32">
        <v>120</v>
      </c>
      <c r="H207" s="32">
        <f t="shared" si="21"/>
        <v>6495</v>
      </c>
    </row>
    <row r="208" spans="1:8" x14ac:dyDescent="0.25">
      <c r="A208" s="23">
        <v>43021.702533217591</v>
      </c>
      <c r="B208" s="24" t="s">
        <v>80</v>
      </c>
      <c r="C208" s="24" t="s">
        <v>80</v>
      </c>
      <c r="D208" s="25">
        <v>1</v>
      </c>
      <c r="E208" s="25" t="s">
        <v>564</v>
      </c>
      <c r="F208" s="26">
        <v>10000</v>
      </c>
      <c r="G208" s="26"/>
      <c r="H208" s="26">
        <f t="shared" ref="H208:H229" si="22">H207+F208-G208</f>
        <v>16495</v>
      </c>
    </row>
    <row r="209" spans="1:8" x14ac:dyDescent="0.25">
      <c r="A209" s="23">
        <v>43021.704277662036</v>
      </c>
      <c r="B209" s="24" t="s">
        <v>7</v>
      </c>
      <c r="C209" s="24" t="s">
        <v>23</v>
      </c>
      <c r="D209" s="25">
        <v>1</v>
      </c>
      <c r="E209" s="25" t="s">
        <v>719</v>
      </c>
      <c r="F209" s="26"/>
      <c r="G209" s="26">
        <v>100</v>
      </c>
      <c r="H209" s="26">
        <f t="shared" si="22"/>
        <v>16395</v>
      </c>
    </row>
    <row r="210" spans="1:8" x14ac:dyDescent="0.25">
      <c r="A210" s="23">
        <v>43021.704949537037</v>
      </c>
      <c r="B210" s="24" t="s">
        <v>75</v>
      </c>
      <c r="C210" s="24" t="s">
        <v>45</v>
      </c>
      <c r="D210" s="25">
        <v>1</v>
      </c>
      <c r="E210" s="25" t="s">
        <v>131</v>
      </c>
      <c r="F210" s="26"/>
      <c r="G210" s="26">
        <v>600</v>
      </c>
      <c r="H210" s="26">
        <f t="shared" si="22"/>
        <v>15795</v>
      </c>
    </row>
    <row r="211" spans="1:8" x14ac:dyDescent="0.25">
      <c r="A211" s="28">
        <v>43021.706204513888</v>
      </c>
      <c r="B211" s="29" t="s">
        <v>7</v>
      </c>
      <c r="C211" s="29" t="s">
        <v>45</v>
      </c>
      <c r="D211" s="34">
        <v>1</v>
      </c>
      <c r="E211" s="34" t="s">
        <v>720</v>
      </c>
      <c r="G211" s="32">
        <v>125</v>
      </c>
      <c r="H211" s="32">
        <f t="shared" si="22"/>
        <v>15670</v>
      </c>
    </row>
    <row r="212" spans="1:8" x14ac:dyDescent="0.25">
      <c r="A212" s="28">
        <v>43021.706995370369</v>
      </c>
      <c r="B212" s="29" t="s">
        <v>7</v>
      </c>
      <c r="C212" s="29" t="s">
        <v>23</v>
      </c>
      <c r="D212" s="34">
        <v>1</v>
      </c>
      <c r="E212" s="34" t="s">
        <v>609</v>
      </c>
      <c r="G212" s="32">
        <v>200</v>
      </c>
      <c r="H212" s="32">
        <f t="shared" si="22"/>
        <v>15470</v>
      </c>
    </row>
    <row r="213" spans="1:8" x14ac:dyDescent="0.25">
      <c r="A213" s="28">
        <v>43021.707805324077</v>
      </c>
      <c r="B213" s="29" t="s">
        <v>64</v>
      </c>
      <c r="C213" s="29" t="s">
        <v>19</v>
      </c>
      <c r="D213" s="34">
        <v>1</v>
      </c>
      <c r="E213" s="34" t="s">
        <v>139</v>
      </c>
      <c r="G213" s="32">
        <v>200</v>
      </c>
      <c r="H213" s="32">
        <f t="shared" si="22"/>
        <v>15270</v>
      </c>
    </row>
    <row r="214" spans="1:8" x14ac:dyDescent="0.25">
      <c r="A214" s="23">
        <v>43021.70924895833</v>
      </c>
      <c r="B214" s="24" t="s">
        <v>75</v>
      </c>
      <c r="C214" s="24" t="s">
        <v>23</v>
      </c>
      <c r="D214" s="25">
        <v>1</v>
      </c>
      <c r="E214" s="25" t="s">
        <v>721</v>
      </c>
      <c r="F214" s="26"/>
      <c r="G214" s="26">
        <v>600</v>
      </c>
      <c r="H214" s="26">
        <f t="shared" si="22"/>
        <v>14670</v>
      </c>
    </row>
    <row r="215" spans="1:8" x14ac:dyDescent="0.25">
      <c r="A215" s="23">
        <v>43021.71077002315</v>
      </c>
      <c r="B215" s="24" t="s">
        <v>17</v>
      </c>
      <c r="C215" s="24" t="s">
        <v>19</v>
      </c>
      <c r="D215" s="25">
        <v>2</v>
      </c>
      <c r="E215" s="25" t="s">
        <v>722</v>
      </c>
      <c r="F215" s="26"/>
      <c r="G215" s="26">
        <v>2400</v>
      </c>
      <c r="H215" s="26">
        <f t="shared" si="22"/>
        <v>12270</v>
      </c>
    </row>
    <row r="216" spans="1:8" x14ac:dyDescent="0.25">
      <c r="A216" s="23">
        <v>43021.712806365744</v>
      </c>
      <c r="B216" s="24" t="s">
        <v>7</v>
      </c>
      <c r="C216" s="24" t="s">
        <v>45</v>
      </c>
      <c r="D216" s="25">
        <v>1</v>
      </c>
      <c r="E216" s="25" t="s">
        <v>723</v>
      </c>
      <c r="F216" s="26"/>
      <c r="G216" s="26">
        <v>250</v>
      </c>
      <c r="H216" s="26">
        <f t="shared" si="22"/>
        <v>12020</v>
      </c>
    </row>
    <row r="217" spans="1:8" x14ac:dyDescent="0.25">
      <c r="A217" s="28">
        <v>43021.71370104167</v>
      </c>
      <c r="B217" s="29" t="s">
        <v>7</v>
      </c>
      <c r="C217" s="29" t="s">
        <v>24</v>
      </c>
      <c r="D217" s="34">
        <v>1</v>
      </c>
      <c r="E217" s="34" t="s">
        <v>724</v>
      </c>
      <c r="G217" s="32">
        <v>100</v>
      </c>
      <c r="H217" s="32">
        <f t="shared" si="22"/>
        <v>11920</v>
      </c>
    </row>
    <row r="218" spans="1:8" x14ac:dyDescent="0.25">
      <c r="A218" s="28">
        <v>43021.715121643516</v>
      </c>
      <c r="B218" s="29" t="s">
        <v>7</v>
      </c>
      <c r="C218" s="29" t="s">
        <v>45</v>
      </c>
      <c r="D218" s="34">
        <v>1</v>
      </c>
      <c r="E218" s="34" t="s">
        <v>725</v>
      </c>
      <c r="G218" s="32">
        <v>300</v>
      </c>
      <c r="H218" s="32">
        <f t="shared" si="22"/>
        <v>11620</v>
      </c>
    </row>
    <row r="219" spans="1:8" x14ac:dyDescent="0.25">
      <c r="A219" s="28">
        <v>43021.717494791665</v>
      </c>
      <c r="B219" s="29" t="s">
        <v>7</v>
      </c>
      <c r="C219" s="29" t="s">
        <v>24</v>
      </c>
      <c r="D219" s="34">
        <v>1</v>
      </c>
      <c r="E219" s="34" t="s">
        <v>306</v>
      </c>
      <c r="G219" s="32">
        <v>200</v>
      </c>
      <c r="H219" s="32">
        <f t="shared" si="22"/>
        <v>11420</v>
      </c>
    </row>
    <row r="220" spans="1:8" x14ac:dyDescent="0.25">
      <c r="A220" s="23">
        <v>43021.720250810184</v>
      </c>
      <c r="B220" s="24" t="s">
        <v>18</v>
      </c>
      <c r="C220" s="24" t="s">
        <v>24</v>
      </c>
      <c r="D220" s="25">
        <v>1</v>
      </c>
      <c r="E220" s="25" t="s">
        <v>726</v>
      </c>
      <c r="F220" s="26"/>
      <c r="G220" s="26">
        <v>1780</v>
      </c>
      <c r="H220" s="26">
        <f t="shared" si="22"/>
        <v>9640</v>
      </c>
    </row>
    <row r="221" spans="1:8" x14ac:dyDescent="0.25">
      <c r="A221" s="23">
        <v>43021.720718055556</v>
      </c>
      <c r="B221" s="24" t="s">
        <v>7</v>
      </c>
      <c r="C221" s="24" t="s">
        <v>45</v>
      </c>
      <c r="D221" s="25">
        <v>1</v>
      </c>
      <c r="E221" s="25" t="s">
        <v>727</v>
      </c>
      <c r="F221" s="26"/>
      <c r="G221" s="26">
        <v>1620</v>
      </c>
      <c r="H221" s="26">
        <f t="shared" si="22"/>
        <v>8020</v>
      </c>
    </row>
    <row r="222" spans="1:8" x14ac:dyDescent="0.25">
      <c r="A222" s="23">
        <v>43021.722397337966</v>
      </c>
      <c r="B222" s="24" t="s">
        <v>7</v>
      </c>
      <c r="C222" s="24" t="s">
        <v>23</v>
      </c>
      <c r="D222" s="25">
        <v>2</v>
      </c>
      <c r="E222" s="25" t="s">
        <v>728</v>
      </c>
      <c r="F222" s="26"/>
      <c r="G222" s="26">
        <v>500</v>
      </c>
      <c r="H222" s="26">
        <f t="shared" si="22"/>
        <v>7520</v>
      </c>
    </row>
    <row r="223" spans="1:8" x14ac:dyDescent="0.25">
      <c r="A223" s="28">
        <v>43021.725393981484</v>
      </c>
      <c r="B223" s="29" t="s">
        <v>7</v>
      </c>
      <c r="C223" s="29" t="s">
        <v>45</v>
      </c>
      <c r="D223" s="34">
        <v>2</v>
      </c>
      <c r="E223" s="34" t="s">
        <v>729</v>
      </c>
      <c r="G223" s="32">
        <v>183</v>
      </c>
      <c r="H223" s="32">
        <f t="shared" si="22"/>
        <v>7337</v>
      </c>
    </row>
    <row r="224" spans="1:8" x14ac:dyDescent="0.25">
      <c r="A224" s="28">
        <v>43021.726442708336</v>
      </c>
      <c r="B224" s="29" t="s">
        <v>75</v>
      </c>
      <c r="C224" s="29" t="s">
        <v>45</v>
      </c>
      <c r="D224" s="34">
        <v>1</v>
      </c>
      <c r="E224" s="34" t="s">
        <v>730</v>
      </c>
      <c r="G224" s="32">
        <v>1000</v>
      </c>
      <c r="H224" s="32">
        <f t="shared" si="22"/>
        <v>6337</v>
      </c>
    </row>
    <row r="225" spans="1:8" x14ac:dyDescent="0.25">
      <c r="A225" s="28">
        <v>43021.732665972224</v>
      </c>
      <c r="B225" s="29" t="s">
        <v>7</v>
      </c>
      <c r="C225" s="29" t="s">
        <v>23</v>
      </c>
      <c r="D225" s="34">
        <v>1</v>
      </c>
      <c r="E225" s="34" t="s">
        <v>731</v>
      </c>
      <c r="G225" s="32">
        <v>50</v>
      </c>
      <c r="H225" s="32">
        <f t="shared" si="22"/>
        <v>6287</v>
      </c>
    </row>
    <row r="226" spans="1:8" x14ac:dyDescent="0.25">
      <c r="A226" s="23">
        <v>43021.736133564817</v>
      </c>
      <c r="B226" s="24" t="s">
        <v>17</v>
      </c>
      <c r="C226" s="24" t="s">
        <v>19</v>
      </c>
      <c r="D226" s="25">
        <v>1</v>
      </c>
      <c r="E226" s="25" t="s">
        <v>732</v>
      </c>
      <c r="F226" s="26"/>
      <c r="G226" s="26">
        <v>1500</v>
      </c>
      <c r="H226" s="26">
        <f t="shared" si="22"/>
        <v>4787</v>
      </c>
    </row>
    <row r="227" spans="1:8" x14ac:dyDescent="0.25">
      <c r="A227" s="23">
        <v>43021.738315162038</v>
      </c>
      <c r="B227" s="24" t="s">
        <v>18</v>
      </c>
      <c r="C227" s="24" t="s">
        <v>24</v>
      </c>
      <c r="D227" s="25">
        <v>1</v>
      </c>
      <c r="E227" s="25" t="s">
        <v>589</v>
      </c>
      <c r="F227" s="26"/>
      <c r="G227" s="26">
        <v>1200</v>
      </c>
      <c r="H227" s="26">
        <f t="shared" si="22"/>
        <v>3587</v>
      </c>
    </row>
    <row r="228" spans="1:8" x14ac:dyDescent="0.25">
      <c r="A228" s="23">
        <v>43021.739536921297</v>
      </c>
      <c r="B228" s="24" t="s">
        <v>64</v>
      </c>
      <c r="C228" s="24" t="s">
        <v>23</v>
      </c>
      <c r="D228" s="25">
        <v>1</v>
      </c>
      <c r="E228" s="25" t="s">
        <v>139</v>
      </c>
      <c r="F228" s="26"/>
      <c r="G228" s="26">
        <v>300</v>
      </c>
      <c r="H228" s="26">
        <f t="shared" si="22"/>
        <v>3287</v>
      </c>
    </row>
    <row r="229" spans="1:8" x14ac:dyDescent="0.25">
      <c r="A229" s="28">
        <v>43021.744412615742</v>
      </c>
      <c r="B229" s="29" t="s">
        <v>7</v>
      </c>
      <c r="C229" s="29" t="s">
        <v>23</v>
      </c>
      <c r="D229" s="34">
        <v>1</v>
      </c>
      <c r="E229" s="34" t="s">
        <v>733</v>
      </c>
      <c r="G229" s="32">
        <v>137</v>
      </c>
      <c r="H229" s="32">
        <f t="shared" si="22"/>
        <v>3150</v>
      </c>
    </row>
    <row r="230" spans="1:8" x14ac:dyDescent="0.25">
      <c r="A230" s="28">
        <v>43022.723438425928</v>
      </c>
      <c r="B230" s="29" t="s">
        <v>80</v>
      </c>
      <c r="C230" s="29" t="s">
        <v>80</v>
      </c>
      <c r="D230" s="34">
        <v>1</v>
      </c>
      <c r="E230" s="34" t="s">
        <v>564</v>
      </c>
      <c r="F230" s="32">
        <v>10000</v>
      </c>
      <c r="H230" s="32">
        <f t="shared" ref="H230:H246" si="23">H229+F230-G230</f>
        <v>13150</v>
      </c>
    </row>
    <row r="231" spans="1:8" x14ac:dyDescent="0.25">
      <c r="A231" s="28">
        <v>43022.724986226851</v>
      </c>
      <c r="B231" s="29" t="s">
        <v>18</v>
      </c>
      <c r="C231" s="29" t="s">
        <v>24</v>
      </c>
      <c r="D231" s="34">
        <v>1</v>
      </c>
      <c r="E231" s="34" t="s">
        <v>734</v>
      </c>
      <c r="G231" s="32">
        <v>280</v>
      </c>
      <c r="H231" s="32">
        <f t="shared" si="23"/>
        <v>12870</v>
      </c>
    </row>
    <row r="232" spans="1:8" x14ac:dyDescent="0.25">
      <c r="A232" s="23">
        <v>43022.726170833332</v>
      </c>
      <c r="B232" s="24" t="s">
        <v>64</v>
      </c>
      <c r="C232" s="24" t="s">
        <v>45</v>
      </c>
      <c r="D232" s="25">
        <v>1</v>
      </c>
      <c r="E232" s="25" t="s">
        <v>162</v>
      </c>
      <c r="F232" s="26"/>
      <c r="G232" s="26">
        <v>100</v>
      </c>
      <c r="H232" s="26">
        <f t="shared" si="23"/>
        <v>12770</v>
      </c>
    </row>
    <row r="233" spans="1:8" x14ac:dyDescent="0.25">
      <c r="A233" s="23">
        <v>43022.727016550925</v>
      </c>
      <c r="B233" s="24" t="s">
        <v>7</v>
      </c>
      <c r="C233" s="24" t="s">
        <v>23</v>
      </c>
      <c r="D233" s="25">
        <v>1</v>
      </c>
      <c r="E233" s="25" t="s">
        <v>735</v>
      </c>
      <c r="F233" s="26"/>
      <c r="G233" s="26">
        <v>25</v>
      </c>
      <c r="H233" s="26">
        <f t="shared" si="23"/>
        <v>12745</v>
      </c>
    </row>
    <row r="234" spans="1:8" x14ac:dyDescent="0.25">
      <c r="A234" s="23">
        <v>43022.728020949071</v>
      </c>
      <c r="B234" s="24" t="s">
        <v>17</v>
      </c>
      <c r="C234" s="24" t="s">
        <v>23</v>
      </c>
      <c r="D234" s="25">
        <v>1</v>
      </c>
      <c r="E234" s="25" t="s">
        <v>736</v>
      </c>
      <c r="F234" s="26"/>
      <c r="G234" s="26">
        <v>700</v>
      </c>
      <c r="H234" s="26">
        <f t="shared" si="23"/>
        <v>12045</v>
      </c>
    </row>
    <row r="235" spans="1:8" x14ac:dyDescent="0.25">
      <c r="A235" s="28">
        <v>43022.728895601853</v>
      </c>
      <c r="B235" s="29" t="s">
        <v>7</v>
      </c>
      <c r="C235" s="29" t="s">
        <v>23</v>
      </c>
      <c r="D235" s="34">
        <v>1</v>
      </c>
      <c r="E235" s="34" t="s">
        <v>737</v>
      </c>
      <c r="G235" s="32">
        <v>300</v>
      </c>
      <c r="H235" s="32">
        <f t="shared" si="23"/>
        <v>11745</v>
      </c>
    </row>
    <row r="236" spans="1:8" x14ac:dyDescent="0.25">
      <c r="A236" s="28">
        <v>43022.73014861111</v>
      </c>
      <c r="B236" s="29" t="s">
        <v>7</v>
      </c>
      <c r="C236" s="29" t="s">
        <v>23</v>
      </c>
      <c r="D236" s="34">
        <v>1</v>
      </c>
      <c r="E236" s="34" t="s">
        <v>609</v>
      </c>
      <c r="G236" s="32">
        <v>200</v>
      </c>
      <c r="H236" s="32">
        <f t="shared" si="23"/>
        <v>11545</v>
      </c>
    </row>
    <row r="237" spans="1:8" x14ac:dyDescent="0.25">
      <c r="A237" s="28">
        <v>43022.73109814815</v>
      </c>
      <c r="B237" s="29" t="s">
        <v>7</v>
      </c>
      <c r="C237" s="29" t="s">
        <v>24</v>
      </c>
      <c r="D237" s="34">
        <v>1</v>
      </c>
      <c r="E237" s="34" t="s">
        <v>724</v>
      </c>
      <c r="G237" s="32">
        <v>96</v>
      </c>
      <c r="H237" s="32">
        <f t="shared" si="23"/>
        <v>11449</v>
      </c>
    </row>
    <row r="238" spans="1:8" x14ac:dyDescent="0.25">
      <c r="A238" s="23">
        <v>43022.731830092591</v>
      </c>
      <c r="B238" s="24" t="s">
        <v>75</v>
      </c>
      <c r="C238" s="24" t="s">
        <v>45</v>
      </c>
      <c r="D238" s="25">
        <v>1</v>
      </c>
      <c r="E238" s="25" t="s">
        <v>333</v>
      </c>
      <c r="F238" s="26"/>
      <c r="G238" s="26">
        <v>1200</v>
      </c>
      <c r="H238" s="26">
        <f t="shared" si="23"/>
        <v>10249</v>
      </c>
    </row>
    <row r="239" spans="1:8" x14ac:dyDescent="0.25">
      <c r="A239" s="23">
        <v>43022.732665740739</v>
      </c>
      <c r="B239" s="24" t="s">
        <v>75</v>
      </c>
      <c r="C239" s="24" t="s">
        <v>45</v>
      </c>
      <c r="D239" s="25">
        <v>1</v>
      </c>
      <c r="E239" s="25" t="s">
        <v>738</v>
      </c>
      <c r="F239" s="26"/>
      <c r="G239" s="26">
        <v>2000</v>
      </c>
      <c r="H239" s="26">
        <f t="shared" si="23"/>
        <v>8249</v>
      </c>
    </row>
    <row r="240" spans="1:8" x14ac:dyDescent="0.25">
      <c r="A240" s="23">
        <v>43022.734988078701</v>
      </c>
      <c r="B240" s="24" t="s">
        <v>17</v>
      </c>
      <c r="C240" s="24" t="s">
        <v>23</v>
      </c>
      <c r="D240" s="25">
        <v>1</v>
      </c>
      <c r="E240" s="25" t="s">
        <v>739</v>
      </c>
      <c r="F240" s="26"/>
      <c r="G240" s="26">
        <v>150</v>
      </c>
      <c r="H240" s="26">
        <f t="shared" si="23"/>
        <v>8099</v>
      </c>
    </row>
    <row r="241" spans="1:8" x14ac:dyDescent="0.25">
      <c r="A241" s="28">
        <v>43022.739578819448</v>
      </c>
      <c r="B241" s="29" t="s">
        <v>75</v>
      </c>
      <c r="C241" s="29" t="s">
        <v>45</v>
      </c>
      <c r="D241" s="34">
        <v>1</v>
      </c>
      <c r="E241" s="34" t="s">
        <v>740</v>
      </c>
      <c r="G241" s="32">
        <v>2000</v>
      </c>
      <c r="H241" s="32">
        <f t="shared" si="23"/>
        <v>6099</v>
      </c>
    </row>
    <row r="242" spans="1:8" x14ac:dyDescent="0.25">
      <c r="A242" s="28">
        <v>43022.741027546297</v>
      </c>
      <c r="B242" s="29" t="s">
        <v>17</v>
      </c>
      <c r="C242" s="29" t="s">
        <v>45</v>
      </c>
      <c r="D242" s="34">
        <v>1</v>
      </c>
      <c r="E242" s="34" t="s">
        <v>741</v>
      </c>
      <c r="G242" s="32">
        <v>1000</v>
      </c>
      <c r="H242" s="32">
        <f t="shared" si="23"/>
        <v>5099</v>
      </c>
    </row>
    <row r="243" spans="1:8" x14ac:dyDescent="0.25">
      <c r="A243" s="28">
        <v>43022.742339699071</v>
      </c>
      <c r="B243" s="29" t="s">
        <v>17</v>
      </c>
      <c r="C243" s="29" t="s">
        <v>45</v>
      </c>
      <c r="D243" s="34">
        <v>3</v>
      </c>
      <c r="E243" s="34" t="s">
        <v>742</v>
      </c>
      <c r="G243" s="32">
        <v>420</v>
      </c>
      <c r="H243" s="32">
        <f t="shared" si="23"/>
        <v>4679</v>
      </c>
    </row>
    <row r="244" spans="1:8" x14ac:dyDescent="0.25">
      <c r="A244" s="23">
        <v>43022.743444097221</v>
      </c>
      <c r="B244" s="24" t="s">
        <v>7</v>
      </c>
      <c r="C244" s="24" t="s">
        <v>45</v>
      </c>
      <c r="D244" s="25">
        <v>3</v>
      </c>
      <c r="E244" s="25" t="s">
        <v>743</v>
      </c>
      <c r="F244" s="26"/>
      <c r="G244" s="26">
        <v>1785</v>
      </c>
      <c r="H244" s="26">
        <f t="shared" si="23"/>
        <v>2894</v>
      </c>
    </row>
    <row r="245" spans="1:8" x14ac:dyDescent="0.25">
      <c r="A245" s="23">
        <v>43022.745081018518</v>
      </c>
      <c r="B245" s="24" t="s">
        <v>80</v>
      </c>
      <c r="C245" s="24" t="s">
        <v>45</v>
      </c>
      <c r="D245" s="25">
        <v>1</v>
      </c>
      <c r="E245" s="25" t="s">
        <v>744</v>
      </c>
      <c r="F245" s="26"/>
      <c r="G245" s="26">
        <v>300</v>
      </c>
      <c r="H245" s="26">
        <f t="shared" si="23"/>
        <v>2594</v>
      </c>
    </row>
    <row r="246" spans="1:8" x14ac:dyDescent="0.25">
      <c r="A246" s="23">
        <v>43022.74904328704</v>
      </c>
      <c r="B246" s="24" t="s">
        <v>18</v>
      </c>
      <c r="C246" s="24" t="s">
        <v>24</v>
      </c>
      <c r="D246" s="25">
        <v>1</v>
      </c>
      <c r="E246" s="25" t="s">
        <v>589</v>
      </c>
      <c r="F246" s="26"/>
      <c r="G246" s="26">
        <v>700</v>
      </c>
      <c r="H246" s="26">
        <f t="shared" si="23"/>
        <v>1894</v>
      </c>
    </row>
    <row r="247" spans="1:8" x14ac:dyDescent="0.25">
      <c r="A247" s="28">
        <v>43024.73836145833</v>
      </c>
      <c r="B247" s="29" t="s">
        <v>80</v>
      </c>
      <c r="C247" s="29" t="s">
        <v>80</v>
      </c>
      <c r="D247" s="34">
        <v>1</v>
      </c>
      <c r="E247" s="34" t="s">
        <v>564</v>
      </c>
      <c r="F247" s="32">
        <v>20000</v>
      </c>
      <c r="H247" s="32">
        <f t="shared" ref="H247:H262" si="24">H246+F247-G247</f>
        <v>21894</v>
      </c>
    </row>
    <row r="248" spans="1:8" x14ac:dyDescent="0.25">
      <c r="A248" s="28">
        <v>43024.739443171296</v>
      </c>
      <c r="B248" s="29" t="s">
        <v>7</v>
      </c>
      <c r="C248" s="29" t="s">
        <v>24</v>
      </c>
      <c r="D248" s="34">
        <v>1</v>
      </c>
      <c r="E248" s="34" t="s">
        <v>745</v>
      </c>
      <c r="G248" s="32">
        <v>100</v>
      </c>
      <c r="H248" s="32">
        <f t="shared" si="24"/>
        <v>21794</v>
      </c>
    </row>
    <row r="249" spans="1:8" x14ac:dyDescent="0.25">
      <c r="A249" s="28">
        <v>43024.742023842591</v>
      </c>
      <c r="B249" s="29" t="s">
        <v>7</v>
      </c>
      <c r="C249" s="29" t="s">
        <v>45</v>
      </c>
      <c r="D249" s="34">
        <v>1</v>
      </c>
      <c r="E249" s="34" t="s">
        <v>88</v>
      </c>
      <c r="G249" s="32">
        <v>100</v>
      </c>
      <c r="H249" s="32">
        <f t="shared" si="24"/>
        <v>21694</v>
      </c>
    </row>
    <row r="250" spans="1:8" x14ac:dyDescent="0.25">
      <c r="A250" s="23">
        <v>43024.743254398149</v>
      </c>
      <c r="B250" s="24" t="s">
        <v>75</v>
      </c>
      <c r="C250" s="24" t="s">
        <v>45</v>
      </c>
      <c r="D250" s="25">
        <v>1</v>
      </c>
      <c r="E250" s="25" t="s">
        <v>746</v>
      </c>
      <c r="F250" s="26"/>
      <c r="G250" s="26">
        <v>350</v>
      </c>
      <c r="H250" s="26">
        <f t="shared" si="24"/>
        <v>21344</v>
      </c>
    </row>
    <row r="251" spans="1:8" x14ac:dyDescent="0.25">
      <c r="A251" s="23">
        <v>43024.744256481485</v>
      </c>
      <c r="B251" s="24" t="s">
        <v>7</v>
      </c>
      <c r="C251" s="24" t="s">
        <v>23</v>
      </c>
      <c r="D251" s="25">
        <v>1</v>
      </c>
      <c r="E251" s="25" t="s">
        <v>747</v>
      </c>
      <c r="F251" s="26"/>
      <c r="G251" s="26">
        <v>200</v>
      </c>
      <c r="H251" s="26">
        <f t="shared" si="24"/>
        <v>21144</v>
      </c>
    </row>
    <row r="252" spans="1:8" x14ac:dyDescent="0.25">
      <c r="A252" s="23">
        <v>43024.745244675927</v>
      </c>
      <c r="B252" s="24" t="s">
        <v>64</v>
      </c>
      <c r="C252" s="24" t="s">
        <v>45</v>
      </c>
      <c r="D252" s="25">
        <v>1</v>
      </c>
      <c r="E252" s="25" t="s">
        <v>585</v>
      </c>
      <c r="F252" s="26"/>
      <c r="G252" s="26">
        <v>150</v>
      </c>
      <c r="H252" s="26">
        <f t="shared" si="24"/>
        <v>20994</v>
      </c>
    </row>
    <row r="253" spans="1:8" x14ac:dyDescent="0.25">
      <c r="A253" s="28">
        <v>43024.746188657409</v>
      </c>
      <c r="B253" s="29" t="s">
        <v>64</v>
      </c>
      <c r="C253" s="29" t="s">
        <v>45</v>
      </c>
      <c r="D253" s="34">
        <v>1</v>
      </c>
      <c r="E253" s="34" t="s">
        <v>748</v>
      </c>
      <c r="G253" s="32">
        <v>3000</v>
      </c>
      <c r="H253" s="32">
        <f t="shared" si="24"/>
        <v>17994</v>
      </c>
    </row>
    <row r="254" spans="1:8" x14ac:dyDescent="0.25">
      <c r="A254" s="28">
        <v>43024.748178472226</v>
      </c>
      <c r="B254" s="29" t="s">
        <v>64</v>
      </c>
      <c r="C254" s="29" t="s">
        <v>45</v>
      </c>
      <c r="D254" s="34">
        <v>1</v>
      </c>
      <c r="E254" s="34" t="s">
        <v>749</v>
      </c>
      <c r="G254" s="32">
        <v>100</v>
      </c>
      <c r="H254" s="32">
        <f t="shared" si="24"/>
        <v>17894</v>
      </c>
    </row>
    <row r="255" spans="1:8" x14ac:dyDescent="0.25">
      <c r="A255" s="28">
        <v>43024.755337615738</v>
      </c>
      <c r="B255" s="29" t="s">
        <v>7</v>
      </c>
      <c r="C255" s="29" t="s">
        <v>45</v>
      </c>
      <c r="D255" s="34">
        <v>1</v>
      </c>
      <c r="E255" s="34" t="s">
        <v>61</v>
      </c>
      <c r="G255" s="32">
        <v>100</v>
      </c>
      <c r="H255" s="32">
        <f t="shared" si="24"/>
        <v>17794</v>
      </c>
    </row>
    <row r="256" spans="1:8" x14ac:dyDescent="0.25">
      <c r="A256" s="23">
        <v>43024.757416782406</v>
      </c>
      <c r="B256" s="24" t="s">
        <v>17</v>
      </c>
      <c r="C256" s="24" t="s">
        <v>23</v>
      </c>
      <c r="D256" s="25">
        <v>1</v>
      </c>
      <c r="E256" s="25" t="s">
        <v>750</v>
      </c>
      <c r="F256" s="26"/>
      <c r="G256" s="26">
        <v>240</v>
      </c>
      <c r="H256" s="26">
        <f t="shared" si="24"/>
        <v>17554</v>
      </c>
    </row>
    <row r="257" spans="1:8" x14ac:dyDescent="0.25">
      <c r="A257" s="23">
        <v>43024.758538888891</v>
      </c>
      <c r="B257" s="24" t="s">
        <v>7</v>
      </c>
      <c r="C257" s="24" t="s">
        <v>29</v>
      </c>
      <c r="D257" s="25">
        <v>1</v>
      </c>
      <c r="E257" s="25" t="s">
        <v>751</v>
      </c>
      <c r="F257" s="26"/>
      <c r="G257" s="26">
        <v>150</v>
      </c>
      <c r="H257" s="26">
        <f t="shared" si="24"/>
        <v>17404</v>
      </c>
    </row>
    <row r="258" spans="1:8" x14ac:dyDescent="0.25">
      <c r="A258" s="23">
        <v>43024.760471759262</v>
      </c>
      <c r="B258" s="24" t="s">
        <v>17</v>
      </c>
      <c r="C258" s="24" t="s">
        <v>23</v>
      </c>
      <c r="D258" s="25">
        <v>1</v>
      </c>
      <c r="E258" s="25" t="s">
        <v>752</v>
      </c>
      <c r="F258" s="26"/>
      <c r="G258" s="26">
        <v>250</v>
      </c>
      <c r="H258" s="26">
        <f t="shared" si="24"/>
        <v>17154</v>
      </c>
    </row>
    <row r="259" spans="1:8" x14ac:dyDescent="0.25">
      <c r="A259" s="28">
        <v>43024.763401504628</v>
      </c>
      <c r="B259" s="29" t="s">
        <v>18</v>
      </c>
      <c r="C259" s="29" t="s">
        <v>24</v>
      </c>
      <c r="D259" s="34">
        <v>1</v>
      </c>
      <c r="E259" s="34" t="s">
        <v>753</v>
      </c>
      <c r="G259" s="32">
        <v>1350</v>
      </c>
      <c r="H259" s="32">
        <f t="shared" si="24"/>
        <v>15804</v>
      </c>
    </row>
    <row r="260" spans="1:8" x14ac:dyDescent="0.25">
      <c r="A260" s="28">
        <v>43024.765840740743</v>
      </c>
      <c r="B260" s="29" t="s">
        <v>7</v>
      </c>
      <c r="C260" s="29" t="s">
        <v>24</v>
      </c>
      <c r="D260" s="34">
        <v>1</v>
      </c>
      <c r="E260" s="34" t="s">
        <v>754</v>
      </c>
      <c r="G260" s="32">
        <v>200</v>
      </c>
      <c r="H260" s="32">
        <f t="shared" si="24"/>
        <v>15604</v>
      </c>
    </row>
    <row r="261" spans="1:8" x14ac:dyDescent="0.25">
      <c r="A261" s="28">
        <v>43024.769306134258</v>
      </c>
      <c r="B261" s="29" t="s">
        <v>18</v>
      </c>
      <c r="C261" s="29" t="s">
        <v>24</v>
      </c>
      <c r="D261" s="34">
        <v>1</v>
      </c>
      <c r="E261" s="34" t="s">
        <v>565</v>
      </c>
      <c r="G261" s="32">
        <v>355</v>
      </c>
      <c r="H261" s="32">
        <f t="shared" si="24"/>
        <v>15249</v>
      </c>
    </row>
    <row r="262" spans="1:8" x14ac:dyDescent="0.25">
      <c r="A262" s="23">
        <v>43024.770574884256</v>
      </c>
      <c r="B262" s="24" t="s">
        <v>64</v>
      </c>
      <c r="C262" s="24" t="s">
        <v>45</v>
      </c>
      <c r="D262" s="25">
        <v>1</v>
      </c>
      <c r="E262" s="25" t="s">
        <v>109</v>
      </c>
      <c r="F262" s="26"/>
      <c r="G262" s="26">
        <v>500</v>
      </c>
      <c r="H262" s="26">
        <f t="shared" si="24"/>
        <v>14749</v>
      </c>
    </row>
    <row r="263" spans="1:8" x14ac:dyDescent="0.25">
      <c r="A263" s="23">
        <v>43025.556201967593</v>
      </c>
      <c r="B263" s="24" t="s">
        <v>7</v>
      </c>
      <c r="C263" s="24" t="s">
        <v>45</v>
      </c>
      <c r="D263" s="25">
        <v>2</v>
      </c>
      <c r="E263" s="25" t="s">
        <v>755</v>
      </c>
      <c r="F263" s="26"/>
      <c r="G263" s="26">
        <v>90</v>
      </c>
      <c r="H263" s="26">
        <f t="shared" ref="H263:H269" si="25">H262+F263-G263</f>
        <v>14659</v>
      </c>
    </row>
    <row r="264" spans="1:8" x14ac:dyDescent="0.25">
      <c r="A264" s="23">
        <v>43025.557136226853</v>
      </c>
      <c r="B264" s="24" t="s">
        <v>17</v>
      </c>
      <c r="C264" s="24" t="s">
        <v>45</v>
      </c>
      <c r="D264" s="25">
        <v>1</v>
      </c>
      <c r="E264" s="25" t="s">
        <v>756</v>
      </c>
      <c r="F264" s="26"/>
      <c r="G264" s="26">
        <v>500</v>
      </c>
      <c r="H264" s="26">
        <f t="shared" si="25"/>
        <v>14159</v>
      </c>
    </row>
    <row r="265" spans="1:8" x14ac:dyDescent="0.25">
      <c r="A265" s="28">
        <v>43025.557735185183</v>
      </c>
      <c r="B265" s="29" t="s">
        <v>64</v>
      </c>
      <c r="C265" s="29" t="s">
        <v>19</v>
      </c>
      <c r="D265" s="34">
        <v>1</v>
      </c>
      <c r="E265" s="34" t="s">
        <v>757</v>
      </c>
      <c r="G265" s="32">
        <v>1500</v>
      </c>
      <c r="H265" s="32">
        <f t="shared" si="25"/>
        <v>12659</v>
      </c>
    </row>
    <row r="266" spans="1:8" x14ac:dyDescent="0.25">
      <c r="A266" s="28">
        <v>43025.717924074073</v>
      </c>
      <c r="B266" s="29" t="s">
        <v>75</v>
      </c>
      <c r="C266" s="29" t="s">
        <v>45</v>
      </c>
      <c r="D266" s="34">
        <v>1</v>
      </c>
      <c r="E266" s="34" t="s">
        <v>758</v>
      </c>
      <c r="G266" s="32">
        <v>500</v>
      </c>
      <c r="H266" s="32">
        <f t="shared" si="25"/>
        <v>12159</v>
      </c>
    </row>
    <row r="267" spans="1:8" x14ac:dyDescent="0.25">
      <c r="A267" s="28">
        <v>43025.719535069446</v>
      </c>
      <c r="B267" s="29" t="s">
        <v>7</v>
      </c>
      <c r="C267" s="29" t="s">
        <v>45</v>
      </c>
      <c r="D267" s="34">
        <v>1</v>
      </c>
      <c r="E267" s="34" t="s">
        <v>759</v>
      </c>
      <c r="G267" s="32">
        <v>300</v>
      </c>
      <c r="H267" s="32">
        <f t="shared" si="25"/>
        <v>11859</v>
      </c>
    </row>
    <row r="268" spans="1:8" x14ac:dyDescent="0.25">
      <c r="A268" s="23">
        <v>43025.721161574074</v>
      </c>
      <c r="B268" s="24" t="s">
        <v>18</v>
      </c>
      <c r="C268" s="24" t="s">
        <v>24</v>
      </c>
      <c r="D268" s="25">
        <v>2</v>
      </c>
      <c r="E268" s="25" t="s">
        <v>760</v>
      </c>
      <c r="F268" s="26"/>
      <c r="G268" s="26">
        <v>1190</v>
      </c>
      <c r="H268" s="26">
        <f t="shared" si="25"/>
        <v>10669</v>
      </c>
    </row>
    <row r="269" spans="1:8" x14ac:dyDescent="0.25">
      <c r="A269" s="23">
        <v>43025.723060300923</v>
      </c>
      <c r="B269" s="24" t="s">
        <v>18</v>
      </c>
      <c r="C269" s="24" t="s">
        <v>24</v>
      </c>
      <c r="D269" s="25">
        <v>3</v>
      </c>
      <c r="E269" s="25" t="s">
        <v>761</v>
      </c>
      <c r="F269" s="26"/>
      <c r="G269" s="26">
        <v>690</v>
      </c>
      <c r="H269" s="26">
        <f t="shared" si="25"/>
        <v>9979</v>
      </c>
    </row>
    <row r="270" spans="1:8" x14ac:dyDescent="0.25">
      <c r="A270" s="23">
        <v>43026.692739699072</v>
      </c>
      <c r="B270" s="24" t="s">
        <v>80</v>
      </c>
      <c r="C270" s="24" t="s">
        <v>45</v>
      </c>
      <c r="D270" s="25">
        <v>1</v>
      </c>
      <c r="E270" s="25" t="s">
        <v>762</v>
      </c>
      <c r="F270" s="26">
        <v>7000</v>
      </c>
      <c r="G270" s="26"/>
      <c r="H270" s="26">
        <f t="shared" ref="H270:H280" si="26">H269+F270-G270</f>
        <v>16979</v>
      </c>
    </row>
    <row r="271" spans="1:8" x14ac:dyDescent="0.25">
      <c r="A271" s="28">
        <v>43026.694580208336</v>
      </c>
      <c r="B271" s="29" t="s">
        <v>17</v>
      </c>
      <c r="C271" s="29" t="s">
        <v>19</v>
      </c>
      <c r="D271" s="34">
        <v>1</v>
      </c>
      <c r="E271" s="34" t="s">
        <v>763</v>
      </c>
      <c r="G271" s="32">
        <v>5600</v>
      </c>
      <c r="H271" s="32">
        <f t="shared" si="26"/>
        <v>11379</v>
      </c>
    </row>
    <row r="272" spans="1:8" x14ac:dyDescent="0.25">
      <c r="A272" s="28">
        <v>43026.695324768516</v>
      </c>
      <c r="B272" s="29" t="s">
        <v>17</v>
      </c>
      <c r="C272" s="29" t="s">
        <v>19</v>
      </c>
      <c r="D272" s="34">
        <v>1</v>
      </c>
      <c r="E272" s="34" t="s">
        <v>764</v>
      </c>
      <c r="G272" s="32">
        <v>600</v>
      </c>
      <c r="H272" s="32">
        <f t="shared" si="26"/>
        <v>10779</v>
      </c>
    </row>
    <row r="273" spans="1:8" x14ac:dyDescent="0.25">
      <c r="A273" s="28">
        <v>43026.696983680558</v>
      </c>
      <c r="B273" s="29" t="s">
        <v>64</v>
      </c>
      <c r="C273" s="29" t="s">
        <v>19</v>
      </c>
      <c r="D273" s="34">
        <v>2</v>
      </c>
      <c r="E273" s="34" t="s">
        <v>765</v>
      </c>
      <c r="G273" s="32">
        <v>325</v>
      </c>
      <c r="H273" s="32">
        <f t="shared" si="26"/>
        <v>10454</v>
      </c>
    </row>
    <row r="274" spans="1:8" x14ac:dyDescent="0.25">
      <c r="A274" s="23">
        <v>43026.697615393517</v>
      </c>
      <c r="B274" s="24" t="s">
        <v>17</v>
      </c>
      <c r="C274" s="24" t="s">
        <v>23</v>
      </c>
      <c r="D274" s="25">
        <v>1</v>
      </c>
      <c r="E274" s="25" t="s">
        <v>766</v>
      </c>
      <c r="F274" s="26"/>
      <c r="G274" s="26">
        <v>80</v>
      </c>
      <c r="H274" s="26">
        <f t="shared" si="26"/>
        <v>10374</v>
      </c>
    </row>
    <row r="275" spans="1:8" x14ac:dyDescent="0.25">
      <c r="A275" s="23">
        <v>43026.698599421296</v>
      </c>
      <c r="B275" s="24" t="s">
        <v>7</v>
      </c>
      <c r="C275" s="24" t="s">
        <v>23</v>
      </c>
      <c r="D275" s="25">
        <v>1</v>
      </c>
      <c r="E275" s="25" t="s">
        <v>719</v>
      </c>
      <c r="F275" s="26"/>
      <c r="G275" s="26">
        <v>100</v>
      </c>
      <c r="H275" s="26">
        <f t="shared" si="26"/>
        <v>10274</v>
      </c>
    </row>
    <row r="276" spans="1:8" x14ac:dyDescent="0.25">
      <c r="A276" s="23">
        <v>43026.700612499997</v>
      </c>
      <c r="B276" s="24" t="s">
        <v>17</v>
      </c>
      <c r="C276" s="24" t="s">
        <v>23</v>
      </c>
      <c r="D276" s="25">
        <v>1</v>
      </c>
      <c r="E276" s="25" t="s">
        <v>151</v>
      </c>
      <c r="F276" s="26"/>
      <c r="G276" s="26">
        <v>100</v>
      </c>
      <c r="H276" s="26">
        <f t="shared" si="26"/>
        <v>10174</v>
      </c>
    </row>
    <row r="277" spans="1:8" x14ac:dyDescent="0.25">
      <c r="A277" s="28">
        <v>43026.701794097222</v>
      </c>
      <c r="B277" s="29" t="s">
        <v>17</v>
      </c>
      <c r="C277" s="29" t="s">
        <v>45</v>
      </c>
      <c r="D277" s="34">
        <v>1</v>
      </c>
      <c r="E277" s="34" t="s">
        <v>767</v>
      </c>
      <c r="G277" s="32">
        <v>650</v>
      </c>
      <c r="H277" s="32">
        <f t="shared" si="26"/>
        <v>9524</v>
      </c>
    </row>
    <row r="278" spans="1:8" x14ac:dyDescent="0.25">
      <c r="A278" s="28">
        <v>43026.702896064817</v>
      </c>
      <c r="B278" s="29" t="s">
        <v>64</v>
      </c>
      <c r="C278" s="29" t="s">
        <v>45</v>
      </c>
      <c r="D278" s="34">
        <v>1</v>
      </c>
      <c r="E278" s="34" t="s">
        <v>109</v>
      </c>
      <c r="G278" s="32">
        <v>1500</v>
      </c>
      <c r="H278" s="32">
        <f t="shared" si="26"/>
        <v>8024</v>
      </c>
    </row>
    <row r="279" spans="1:8" x14ac:dyDescent="0.25">
      <c r="A279" s="28">
        <v>43026.71925115741</v>
      </c>
      <c r="B279" s="29" t="s">
        <v>7</v>
      </c>
      <c r="C279" s="29" t="s">
        <v>45</v>
      </c>
      <c r="D279" s="34">
        <v>1</v>
      </c>
      <c r="E279" s="34" t="s">
        <v>768</v>
      </c>
      <c r="G279" s="32">
        <v>120</v>
      </c>
      <c r="H279" s="32">
        <f t="shared" si="26"/>
        <v>7904</v>
      </c>
    </row>
    <row r="280" spans="1:8" x14ac:dyDescent="0.25">
      <c r="A280" s="23">
        <v>43026.719919212963</v>
      </c>
      <c r="B280" s="24" t="s">
        <v>7</v>
      </c>
      <c r="C280" s="24" t="s">
        <v>24</v>
      </c>
      <c r="D280" s="25">
        <v>2</v>
      </c>
      <c r="E280" s="25" t="s">
        <v>769</v>
      </c>
      <c r="F280" s="26"/>
      <c r="G280" s="26">
        <v>114</v>
      </c>
      <c r="H280" s="26">
        <f t="shared" si="26"/>
        <v>7790</v>
      </c>
    </row>
    <row r="281" spans="1:8" x14ac:dyDescent="0.25">
      <c r="A281" s="23">
        <v>43027.653993518521</v>
      </c>
      <c r="B281" s="24" t="s">
        <v>17</v>
      </c>
      <c r="C281" s="24" t="s">
        <v>45</v>
      </c>
      <c r="D281" s="25">
        <v>1</v>
      </c>
      <c r="E281" s="25" t="s">
        <v>770</v>
      </c>
      <c r="F281" s="26"/>
      <c r="G281" s="26">
        <v>170</v>
      </c>
      <c r="H281" s="26">
        <f t="shared" ref="H281:H290" si="27">H280+F281-G281</f>
        <v>7620</v>
      </c>
    </row>
    <row r="282" spans="1:8" x14ac:dyDescent="0.25">
      <c r="A282" s="23">
        <v>43027.655016435187</v>
      </c>
      <c r="B282" s="24" t="s">
        <v>75</v>
      </c>
      <c r="C282" s="24" t="s">
        <v>45</v>
      </c>
      <c r="D282" s="25">
        <v>1</v>
      </c>
      <c r="E282" s="25" t="s">
        <v>771</v>
      </c>
      <c r="F282" s="26"/>
      <c r="G282" s="26">
        <v>400</v>
      </c>
      <c r="H282" s="26">
        <f t="shared" si="27"/>
        <v>7220</v>
      </c>
    </row>
    <row r="283" spans="1:8" x14ac:dyDescent="0.25">
      <c r="A283" s="28">
        <v>43027.655908333334</v>
      </c>
      <c r="B283" s="29" t="s">
        <v>64</v>
      </c>
      <c r="C283" s="29" t="s">
        <v>19</v>
      </c>
      <c r="D283" s="34">
        <v>1</v>
      </c>
      <c r="E283" s="34" t="s">
        <v>772</v>
      </c>
      <c r="G283" s="32">
        <v>600</v>
      </c>
      <c r="H283" s="32">
        <f t="shared" si="27"/>
        <v>6620</v>
      </c>
    </row>
    <row r="284" spans="1:8" x14ac:dyDescent="0.25">
      <c r="A284" s="28">
        <v>43027.656815162038</v>
      </c>
      <c r="B284" s="29" t="s">
        <v>17</v>
      </c>
      <c r="C284" s="29" t="s">
        <v>45</v>
      </c>
      <c r="D284" s="34">
        <v>1</v>
      </c>
      <c r="E284" s="34" t="s">
        <v>773</v>
      </c>
      <c r="G284" s="32">
        <v>375</v>
      </c>
      <c r="H284" s="32">
        <f t="shared" si="27"/>
        <v>6245</v>
      </c>
    </row>
    <row r="285" spans="1:8" x14ac:dyDescent="0.25">
      <c r="A285" s="28">
        <v>43027.658594907407</v>
      </c>
      <c r="B285" s="29" t="s">
        <v>18</v>
      </c>
      <c r="C285" s="29" t="s">
        <v>24</v>
      </c>
      <c r="D285" s="34">
        <v>1</v>
      </c>
      <c r="E285" s="34" t="s">
        <v>774</v>
      </c>
      <c r="G285" s="32">
        <v>1640</v>
      </c>
      <c r="H285" s="32">
        <f t="shared" si="27"/>
        <v>4605</v>
      </c>
    </row>
    <row r="286" spans="1:8" x14ac:dyDescent="0.25">
      <c r="A286" s="23">
        <v>43027.661042939813</v>
      </c>
      <c r="B286" s="24" t="s">
        <v>7</v>
      </c>
      <c r="C286" s="24" t="s">
        <v>23</v>
      </c>
      <c r="D286" s="25">
        <v>1</v>
      </c>
      <c r="E286" s="25" t="s">
        <v>609</v>
      </c>
      <c r="F286" s="26"/>
      <c r="G286" s="26">
        <v>200</v>
      </c>
      <c r="H286" s="26">
        <f t="shared" si="27"/>
        <v>4405</v>
      </c>
    </row>
    <row r="287" spans="1:8" x14ac:dyDescent="0.25">
      <c r="A287" s="23">
        <v>43027.661970138892</v>
      </c>
      <c r="B287" s="24" t="s">
        <v>64</v>
      </c>
      <c r="C287" s="24" t="s">
        <v>19</v>
      </c>
      <c r="D287" s="25">
        <v>1</v>
      </c>
      <c r="E287" s="25" t="s">
        <v>775</v>
      </c>
      <c r="F287" s="26"/>
      <c r="G287" s="26">
        <v>2000</v>
      </c>
      <c r="H287" s="26">
        <f t="shared" si="27"/>
        <v>2405</v>
      </c>
    </row>
    <row r="288" spans="1:8" x14ac:dyDescent="0.25">
      <c r="A288" s="23">
        <v>43027.663308101852</v>
      </c>
      <c r="B288" s="24" t="s">
        <v>64</v>
      </c>
      <c r="C288" s="24" t="s">
        <v>45</v>
      </c>
      <c r="D288" s="25">
        <v>1</v>
      </c>
      <c r="E288" s="25" t="s">
        <v>776</v>
      </c>
      <c r="F288" s="26"/>
      <c r="G288" s="26">
        <v>2000</v>
      </c>
      <c r="H288" s="26">
        <f t="shared" si="27"/>
        <v>405</v>
      </c>
    </row>
    <row r="289" spans="1:8" x14ac:dyDescent="0.25">
      <c r="A289" s="28">
        <v>43027.671568634258</v>
      </c>
      <c r="B289" s="29" t="s">
        <v>17</v>
      </c>
      <c r="C289" s="29" t="s">
        <v>45</v>
      </c>
      <c r="D289" s="34">
        <v>1</v>
      </c>
      <c r="E289" s="34" t="s">
        <v>162</v>
      </c>
      <c r="G289" s="32">
        <v>100</v>
      </c>
      <c r="H289" s="32">
        <f t="shared" si="27"/>
        <v>305</v>
      </c>
    </row>
    <row r="290" spans="1:8" x14ac:dyDescent="0.25">
      <c r="A290" s="28">
        <v>43027.673523263889</v>
      </c>
      <c r="B290" s="29" t="s">
        <v>18</v>
      </c>
      <c r="C290" s="29" t="s">
        <v>24</v>
      </c>
      <c r="D290" s="34">
        <v>1</v>
      </c>
      <c r="E290" s="34" t="s">
        <v>565</v>
      </c>
      <c r="G290" s="32">
        <v>300</v>
      </c>
      <c r="H290" s="32">
        <f t="shared" si="27"/>
        <v>5</v>
      </c>
    </row>
    <row r="291" spans="1:8" x14ac:dyDescent="0.25">
      <c r="A291" s="28">
        <v>43028.72836458333</v>
      </c>
      <c r="B291" s="29" t="s">
        <v>80</v>
      </c>
      <c r="C291" s="29" t="s">
        <v>80</v>
      </c>
      <c r="D291" s="34">
        <v>1</v>
      </c>
      <c r="E291" s="34" t="s">
        <v>777</v>
      </c>
      <c r="F291" s="32">
        <v>10000</v>
      </c>
      <c r="H291" s="32">
        <f>H290+F291-G291</f>
        <v>10005</v>
      </c>
    </row>
    <row r="292" spans="1:8" x14ac:dyDescent="0.25">
      <c r="A292" s="23">
        <v>43028.728913425926</v>
      </c>
      <c r="B292" s="24" t="s">
        <v>7</v>
      </c>
      <c r="C292" s="24" t="s">
        <v>29</v>
      </c>
      <c r="D292" s="25">
        <v>1</v>
      </c>
      <c r="E292" s="25" t="s">
        <v>778</v>
      </c>
      <c r="F292" s="26"/>
      <c r="G292" s="26"/>
      <c r="H292" s="26">
        <f>H291+F292-G292</f>
        <v>10005</v>
      </c>
    </row>
    <row r="293" spans="1:8" x14ac:dyDescent="0.25">
      <c r="A293" s="23">
        <v>43028.73009675926</v>
      </c>
      <c r="B293" s="24" t="s">
        <v>7</v>
      </c>
      <c r="C293" s="24" t="s">
        <v>29</v>
      </c>
      <c r="D293" s="25">
        <v>1</v>
      </c>
      <c r="E293" s="25" t="s">
        <v>139</v>
      </c>
      <c r="F293" s="26"/>
      <c r="G293" s="26"/>
      <c r="H293" s="26">
        <f>H292+F293-G293</f>
        <v>10005</v>
      </c>
    </row>
    <row r="294" spans="1:8" x14ac:dyDescent="0.25">
      <c r="A294" s="23">
        <v>43028.730868981482</v>
      </c>
      <c r="B294" s="24" t="s">
        <v>7</v>
      </c>
      <c r="C294" s="24" t="s">
        <v>45</v>
      </c>
      <c r="D294" s="25">
        <v>1</v>
      </c>
      <c r="E294" s="25" t="s">
        <v>88</v>
      </c>
      <c r="F294" s="26"/>
      <c r="G294" s="26">
        <v>100</v>
      </c>
      <c r="H294" s="26">
        <f>H293+F294-G294</f>
        <v>9905</v>
      </c>
    </row>
    <row r="295" spans="1:8" x14ac:dyDescent="0.25">
      <c r="A295" s="28">
        <v>43028.732799421297</v>
      </c>
      <c r="B295" s="29" t="s">
        <v>64</v>
      </c>
      <c r="C295" s="29" t="s">
        <v>23</v>
      </c>
      <c r="D295" s="34">
        <v>1</v>
      </c>
      <c r="E295" s="34" t="s">
        <v>779</v>
      </c>
      <c r="G295" s="32">
        <v>20</v>
      </c>
      <c r="H295" s="32">
        <f>H294+F295-G295</f>
        <v>9885</v>
      </c>
    </row>
    <row r="298" spans="1:8" x14ac:dyDescent="0.25">
      <c r="A298" s="23"/>
      <c r="B298" s="24"/>
      <c r="C298" s="24"/>
      <c r="D298" s="25"/>
      <c r="E298" s="25"/>
      <c r="F298" s="26"/>
      <c r="G298" s="26"/>
      <c r="H298" s="26"/>
    </row>
    <row r="299" spans="1:8" x14ac:dyDescent="0.25">
      <c r="A299" s="23"/>
      <c r="B299" s="24"/>
      <c r="C299" s="24"/>
      <c r="D299" s="25"/>
      <c r="E299" s="25"/>
      <c r="F299" s="26"/>
      <c r="G299" s="26"/>
      <c r="H299" s="26"/>
    </row>
    <row r="300" spans="1:8" x14ac:dyDescent="0.25">
      <c r="A300" s="23"/>
      <c r="B300" s="24"/>
      <c r="C300" s="24"/>
      <c r="D300" s="25"/>
      <c r="E300" s="25"/>
      <c r="F300" s="26"/>
      <c r="G300" s="26"/>
      <c r="H300" s="26"/>
    </row>
    <row r="304" spans="1:8" x14ac:dyDescent="0.25">
      <c r="A304" s="23"/>
      <c r="B304" s="24"/>
      <c r="C304" s="24"/>
      <c r="D304" s="25"/>
      <c r="E304" s="25"/>
      <c r="F304" s="26"/>
      <c r="G304" s="26"/>
      <c r="H304" s="26"/>
    </row>
    <row r="305" spans="1:8" x14ac:dyDescent="0.25">
      <c r="A305" s="23"/>
      <c r="B305" s="24"/>
      <c r="C305" s="24"/>
      <c r="D305" s="25"/>
      <c r="E305" s="25"/>
      <c r="F305" s="26"/>
      <c r="G305" s="26"/>
      <c r="H305" s="26"/>
    </row>
    <row r="306" spans="1:8" x14ac:dyDescent="0.25">
      <c r="A306" s="23"/>
      <c r="B306" s="24"/>
      <c r="C306" s="24"/>
      <c r="D306" s="25"/>
      <c r="E306" s="25"/>
      <c r="F306" s="26"/>
      <c r="G306" s="26"/>
      <c r="H306" s="26"/>
    </row>
    <row r="310" spans="1:8" x14ac:dyDescent="0.25">
      <c r="A310" s="23"/>
      <c r="B310" s="24"/>
      <c r="C310" s="24"/>
      <c r="D310" s="25"/>
      <c r="E310" s="25"/>
      <c r="F310" s="26"/>
      <c r="G310" s="26"/>
      <c r="H310" s="26"/>
    </row>
    <row r="311" spans="1:8" x14ac:dyDescent="0.25">
      <c r="A311" s="23"/>
      <c r="B311" s="24"/>
      <c r="C311" s="24"/>
      <c r="D311" s="25"/>
      <c r="E311" s="25"/>
      <c r="F311" s="26"/>
      <c r="G311" s="26"/>
      <c r="H311" s="26"/>
    </row>
    <row r="312" spans="1:8" x14ac:dyDescent="0.25">
      <c r="A312" s="23"/>
      <c r="B312" s="24"/>
      <c r="C312" s="24"/>
      <c r="D312" s="25"/>
      <c r="E312" s="25"/>
      <c r="F312" s="26"/>
      <c r="G312" s="26"/>
      <c r="H312" s="26"/>
    </row>
    <row r="316" spans="1:8" x14ac:dyDescent="0.25">
      <c r="A316" s="23"/>
      <c r="B316" s="24"/>
      <c r="C316" s="24"/>
      <c r="D316" s="25"/>
      <c r="E316" s="25"/>
      <c r="F316" s="26"/>
      <c r="G316" s="26"/>
      <c r="H316" s="26"/>
    </row>
    <row r="317" spans="1:8" x14ac:dyDescent="0.25">
      <c r="A317" s="23"/>
      <c r="B317" s="24"/>
      <c r="C317" s="24"/>
      <c r="D317" s="25"/>
      <c r="E317" s="25"/>
      <c r="F317" s="26"/>
      <c r="G317" s="26"/>
      <c r="H317" s="26"/>
    </row>
    <row r="318" spans="1:8" x14ac:dyDescent="0.25">
      <c r="A318" s="23"/>
      <c r="B318" s="24"/>
      <c r="C318" s="24"/>
      <c r="D318" s="25"/>
      <c r="E318" s="25"/>
      <c r="F318" s="26"/>
      <c r="G318" s="26"/>
      <c r="H318" s="26"/>
    </row>
    <row r="322" spans="1:8" x14ac:dyDescent="0.25">
      <c r="A322" s="23"/>
      <c r="B322" s="24"/>
      <c r="C322" s="24"/>
      <c r="D322" s="25"/>
      <c r="E322" s="25"/>
      <c r="F322" s="26"/>
      <c r="G322" s="26"/>
      <c r="H322" s="26"/>
    </row>
    <row r="323" spans="1:8" x14ac:dyDescent="0.25">
      <c r="A323" s="23"/>
      <c r="B323" s="24"/>
      <c r="C323" s="24"/>
      <c r="D323" s="25"/>
      <c r="E323" s="25"/>
      <c r="F323" s="26"/>
      <c r="G323" s="26"/>
      <c r="H323" s="26"/>
    </row>
    <row r="324" spans="1:8" x14ac:dyDescent="0.25">
      <c r="A324" s="23"/>
      <c r="B324" s="24"/>
      <c r="C324" s="24"/>
      <c r="D324" s="25"/>
      <c r="E324" s="25"/>
      <c r="F324" s="26"/>
      <c r="G324" s="26"/>
      <c r="H324" s="26"/>
    </row>
    <row r="328" spans="1:8" x14ac:dyDescent="0.25">
      <c r="A328" s="23"/>
      <c r="B328" s="24"/>
      <c r="C328" s="24"/>
      <c r="D328" s="25"/>
      <c r="E328" s="25"/>
      <c r="F328" s="26"/>
      <c r="G328" s="26"/>
      <c r="H328" s="26"/>
    </row>
    <row r="329" spans="1:8" x14ac:dyDescent="0.25">
      <c r="A329" s="23"/>
      <c r="B329" s="24"/>
      <c r="C329" s="24"/>
      <c r="D329" s="25"/>
      <c r="E329" s="25"/>
      <c r="F329" s="26"/>
      <c r="G329" s="26"/>
      <c r="H329" s="26"/>
    </row>
    <row r="330" spans="1:8" x14ac:dyDescent="0.25">
      <c r="A330" s="23"/>
      <c r="B330" s="24"/>
      <c r="C330" s="24"/>
      <c r="D330" s="25"/>
      <c r="E330" s="25"/>
      <c r="F330" s="26"/>
      <c r="G330" s="26"/>
      <c r="H330" s="26"/>
    </row>
    <row r="334" spans="1:8" x14ac:dyDescent="0.25">
      <c r="A334" s="23"/>
      <c r="B334" s="24"/>
      <c r="C334" s="24"/>
      <c r="D334" s="25"/>
      <c r="E334" s="25"/>
      <c r="F334" s="26"/>
      <c r="G334" s="26"/>
      <c r="H334" s="26"/>
    </row>
    <row r="335" spans="1:8" x14ac:dyDescent="0.25">
      <c r="A335" s="23"/>
      <c r="B335" s="24"/>
      <c r="C335" s="24"/>
      <c r="D335" s="25"/>
      <c r="E335" s="25"/>
      <c r="F335" s="26"/>
      <c r="G335" s="26"/>
      <c r="H335" s="26"/>
    </row>
    <row r="336" spans="1:8" x14ac:dyDescent="0.25">
      <c r="A336" s="23"/>
      <c r="B336" s="24"/>
      <c r="C336" s="24"/>
      <c r="D336" s="25"/>
      <c r="E336" s="25"/>
      <c r="F336" s="26"/>
      <c r="G336" s="26"/>
      <c r="H336" s="26"/>
    </row>
    <row r="340" spans="1:8" x14ac:dyDescent="0.25">
      <c r="A340" s="23"/>
      <c r="B340" s="24"/>
      <c r="C340" s="24"/>
      <c r="D340" s="25"/>
      <c r="E340" s="25"/>
      <c r="F340" s="26"/>
      <c r="G340" s="26"/>
      <c r="H340" s="26"/>
    </row>
    <row r="341" spans="1:8" x14ac:dyDescent="0.25">
      <c r="A341" s="23"/>
      <c r="B341" s="24"/>
      <c r="C341" s="24"/>
      <c r="D341" s="25"/>
      <c r="E341" s="25"/>
      <c r="F341" s="26"/>
      <c r="G341" s="26"/>
      <c r="H341" s="26"/>
    </row>
    <row r="342" spans="1:8" x14ac:dyDescent="0.25">
      <c r="A342" s="23"/>
      <c r="B342" s="24"/>
      <c r="C342" s="24"/>
      <c r="D342" s="25"/>
      <c r="E342" s="25"/>
      <c r="F342" s="26"/>
      <c r="G342" s="26"/>
      <c r="H342" s="26"/>
    </row>
    <row r="346" spans="1:8" x14ac:dyDescent="0.25">
      <c r="A346" s="23"/>
      <c r="B346" s="24"/>
      <c r="C346" s="24"/>
      <c r="D346" s="25"/>
      <c r="E346" s="25"/>
      <c r="F346" s="26"/>
      <c r="G346" s="26"/>
      <c r="H346" s="26"/>
    </row>
    <row r="347" spans="1:8" x14ac:dyDescent="0.25">
      <c r="A347" s="23"/>
      <c r="B347" s="24"/>
      <c r="C347" s="24"/>
      <c r="D347" s="25"/>
      <c r="E347" s="25"/>
      <c r="F347" s="26"/>
      <c r="G347" s="26"/>
      <c r="H347" s="26"/>
    </row>
    <row r="348" spans="1:8" x14ac:dyDescent="0.25">
      <c r="A348" s="23"/>
      <c r="B348" s="24"/>
      <c r="C348" s="24"/>
      <c r="D348" s="25"/>
      <c r="E348" s="25"/>
      <c r="F348" s="26"/>
      <c r="G348" s="26"/>
      <c r="H348" s="26"/>
    </row>
    <row r="352" spans="1:8" x14ac:dyDescent="0.25">
      <c r="A352" s="23"/>
      <c r="B352" s="24"/>
      <c r="C352" s="24"/>
      <c r="D352" s="25"/>
      <c r="E352" s="25"/>
      <c r="F352" s="26"/>
      <c r="G352" s="26"/>
      <c r="H352" s="26"/>
    </row>
    <row r="353" spans="1:8" x14ac:dyDescent="0.25">
      <c r="A353" s="23"/>
      <c r="B353" s="24"/>
      <c r="C353" s="24"/>
      <c r="D353" s="25"/>
      <c r="E353" s="25"/>
      <c r="F353" s="26"/>
      <c r="G353" s="26"/>
      <c r="H353" s="26"/>
    </row>
    <row r="354" spans="1:8" x14ac:dyDescent="0.25">
      <c r="A354" s="23"/>
      <c r="B354" s="24"/>
      <c r="C354" s="24"/>
      <c r="D354" s="25"/>
      <c r="E354" s="25"/>
      <c r="F354" s="26"/>
      <c r="G354" s="26"/>
      <c r="H354" s="26"/>
    </row>
    <row r="358" spans="1:8" x14ac:dyDescent="0.25">
      <c r="A358" s="23"/>
      <c r="B358" s="24"/>
      <c r="C358" s="24"/>
      <c r="D358" s="25"/>
      <c r="E358" s="25"/>
      <c r="F358" s="26"/>
      <c r="G358" s="26"/>
      <c r="H358" s="26"/>
    </row>
    <row r="359" spans="1:8" x14ac:dyDescent="0.25">
      <c r="A359" s="23"/>
      <c r="B359" s="24"/>
      <c r="C359" s="24"/>
      <c r="D359" s="25"/>
      <c r="E359" s="25"/>
      <c r="F359" s="26"/>
      <c r="G359" s="26"/>
      <c r="H359" s="26"/>
    </row>
    <row r="360" spans="1:8" x14ac:dyDescent="0.25">
      <c r="A360" s="23"/>
      <c r="B360" s="24"/>
      <c r="C360" s="24"/>
      <c r="D360" s="25"/>
      <c r="E360" s="25"/>
      <c r="F360" s="26"/>
      <c r="G360" s="26"/>
      <c r="H360" s="26"/>
    </row>
    <row r="364" spans="1:8" x14ac:dyDescent="0.25">
      <c r="A364" s="23"/>
      <c r="B364" s="24"/>
      <c r="C364" s="24"/>
      <c r="D364" s="25"/>
      <c r="E364" s="25"/>
      <c r="F364" s="26"/>
      <c r="G364" s="26"/>
      <c r="H364" s="26"/>
    </row>
    <row r="365" spans="1:8" x14ac:dyDescent="0.25">
      <c r="A365" s="23"/>
      <c r="B365" s="24"/>
      <c r="C365" s="24"/>
      <c r="D365" s="25"/>
      <c r="E365" s="25"/>
      <c r="F365" s="26"/>
      <c r="G365" s="26"/>
      <c r="H365" s="26"/>
    </row>
    <row r="366" spans="1:8" x14ac:dyDescent="0.25">
      <c r="A366" s="23"/>
      <c r="B366" s="24"/>
      <c r="C366" s="24"/>
      <c r="D366" s="25"/>
      <c r="E366" s="25"/>
      <c r="F366" s="26"/>
      <c r="G366" s="26"/>
      <c r="H366" s="26"/>
    </row>
    <row r="370" spans="1:8" x14ac:dyDescent="0.25">
      <c r="A370" s="23"/>
      <c r="B370" s="24"/>
      <c r="C370" s="24"/>
      <c r="D370" s="25"/>
      <c r="E370" s="25"/>
      <c r="F370" s="26"/>
      <c r="G370" s="26"/>
      <c r="H370" s="26"/>
    </row>
    <row r="371" spans="1:8" x14ac:dyDescent="0.25">
      <c r="A371" s="23"/>
      <c r="B371" s="24"/>
      <c r="C371" s="24"/>
      <c r="D371" s="25"/>
      <c r="E371" s="25"/>
      <c r="F371" s="26"/>
      <c r="G371" s="26"/>
      <c r="H371" s="26"/>
    </row>
    <row r="372" spans="1:8" x14ac:dyDescent="0.25">
      <c r="A372" s="23"/>
      <c r="B372" s="24"/>
      <c r="C372" s="24"/>
      <c r="D372" s="25"/>
      <c r="E372" s="25"/>
      <c r="F372" s="26"/>
      <c r="G372" s="26"/>
      <c r="H372" s="26"/>
    </row>
    <row r="376" spans="1:8" x14ac:dyDescent="0.25">
      <c r="A376" s="23"/>
      <c r="B376" s="24"/>
      <c r="C376" s="24"/>
      <c r="D376" s="25"/>
      <c r="E376" s="25"/>
      <c r="F376" s="26"/>
      <c r="G376" s="26"/>
      <c r="H376" s="26"/>
    </row>
    <row r="377" spans="1:8" x14ac:dyDescent="0.25">
      <c r="A377" s="23"/>
      <c r="B377" s="24"/>
      <c r="C377" s="24"/>
      <c r="D377" s="25"/>
      <c r="E377" s="25"/>
      <c r="F377" s="26"/>
      <c r="G377" s="26"/>
      <c r="H377" s="26"/>
    </row>
    <row r="378" spans="1:8" x14ac:dyDescent="0.25">
      <c r="A378" s="23"/>
      <c r="B378" s="24"/>
      <c r="C378" s="24"/>
      <c r="D378" s="25"/>
      <c r="E378" s="25"/>
      <c r="F378" s="26"/>
      <c r="G378" s="26"/>
      <c r="H378" s="26"/>
    </row>
    <row r="382" spans="1:8" x14ac:dyDescent="0.25">
      <c r="A382" s="23"/>
      <c r="B382" s="24"/>
      <c r="C382" s="24"/>
      <c r="D382" s="25"/>
      <c r="E382" s="25"/>
      <c r="F382" s="26"/>
      <c r="G382" s="26"/>
      <c r="H382" s="26"/>
    </row>
    <row r="383" spans="1:8" x14ac:dyDescent="0.25">
      <c r="A383" s="23"/>
      <c r="B383" s="24"/>
      <c r="C383" s="24"/>
      <c r="D383" s="25"/>
      <c r="E383" s="25"/>
      <c r="F383" s="26"/>
      <c r="G383" s="26"/>
      <c r="H383" s="26"/>
    </row>
    <row r="384" spans="1:8" x14ac:dyDescent="0.25">
      <c r="A384" s="23"/>
      <c r="B384" s="24"/>
      <c r="C384" s="24"/>
      <c r="D384" s="25"/>
      <c r="E384" s="25"/>
      <c r="F384" s="26"/>
      <c r="G384" s="26"/>
      <c r="H384" s="26"/>
    </row>
    <row r="388" spans="1:8" x14ac:dyDescent="0.25">
      <c r="A388" s="23"/>
      <c r="B388" s="24"/>
      <c r="C388" s="24"/>
      <c r="D388" s="25"/>
      <c r="E388" s="25"/>
      <c r="F388" s="26"/>
      <c r="G388" s="26"/>
      <c r="H388" s="26"/>
    </row>
    <row r="389" spans="1:8" x14ac:dyDescent="0.25">
      <c r="A389" s="23"/>
      <c r="B389" s="24"/>
      <c r="C389" s="24"/>
      <c r="D389" s="25"/>
      <c r="E389" s="25"/>
      <c r="F389" s="26"/>
      <c r="G389" s="26"/>
      <c r="H389" s="26"/>
    </row>
    <row r="390" spans="1:8" x14ac:dyDescent="0.25">
      <c r="A390" s="23"/>
      <c r="B390" s="24"/>
      <c r="C390" s="24"/>
      <c r="D390" s="25"/>
      <c r="E390" s="25"/>
      <c r="F390" s="26"/>
      <c r="G390" s="26"/>
      <c r="H390" s="26"/>
    </row>
    <row r="394" spans="1:8" x14ac:dyDescent="0.25">
      <c r="A394" s="23"/>
      <c r="B394" s="24"/>
      <c r="C394" s="24"/>
      <c r="D394" s="25"/>
      <c r="E394" s="25"/>
      <c r="F394" s="26"/>
      <c r="G394" s="26"/>
      <c r="H394" s="26"/>
    </row>
    <row r="395" spans="1:8" x14ac:dyDescent="0.25">
      <c r="A395" s="23"/>
      <c r="B395" s="24"/>
      <c r="C395" s="24"/>
      <c r="D395" s="25"/>
      <c r="E395" s="25"/>
      <c r="F395" s="26"/>
      <c r="G395" s="26"/>
      <c r="H395" s="26"/>
    </row>
    <row r="396" spans="1:8" x14ac:dyDescent="0.25">
      <c r="A396" s="23"/>
      <c r="B396" s="24"/>
      <c r="C396" s="24"/>
      <c r="D396" s="25"/>
      <c r="E396" s="25"/>
      <c r="F396" s="26"/>
      <c r="G396" s="26"/>
      <c r="H396" s="26"/>
    </row>
    <row r="400" spans="1:8" x14ac:dyDescent="0.25">
      <c r="A400" s="23"/>
      <c r="B400" s="24"/>
      <c r="C400" s="24"/>
      <c r="D400" s="25"/>
      <c r="E400" s="25"/>
      <c r="F400" s="26"/>
      <c r="G400" s="26"/>
      <c r="H400" s="26"/>
    </row>
    <row r="401" spans="1:8" x14ac:dyDescent="0.25">
      <c r="A401" s="23"/>
      <c r="B401" s="24"/>
      <c r="C401" s="24"/>
      <c r="D401" s="25"/>
      <c r="E401" s="25"/>
      <c r="F401" s="26"/>
      <c r="G401" s="26"/>
      <c r="H401" s="26"/>
    </row>
    <row r="402" spans="1:8" x14ac:dyDescent="0.25">
      <c r="A402" s="23"/>
      <c r="B402" s="24"/>
      <c r="C402" s="24"/>
      <c r="D402" s="25"/>
      <c r="E402" s="25"/>
      <c r="F402" s="26"/>
      <c r="G402" s="26"/>
      <c r="H402" s="26"/>
    </row>
    <row r="406" spans="1:8" x14ac:dyDescent="0.25">
      <c r="A406" s="23"/>
      <c r="B406" s="24"/>
      <c r="C406" s="24"/>
      <c r="D406" s="25"/>
      <c r="E406" s="25"/>
      <c r="F406" s="26"/>
      <c r="G406" s="26"/>
      <c r="H406" s="26"/>
    </row>
    <row r="407" spans="1:8" x14ac:dyDescent="0.25">
      <c r="A407" s="23"/>
      <c r="B407" s="24"/>
      <c r="C407" s="24"/>
      <c r="D407" s="25"/>
      <c r="E407" s="25"/>
      <c r="F407" s="26"/>
      <c r="G407" s="26"/>
      <c r="H407" s="26"/>
    </row>
    <row r="408" spans="1:8" x14ac:dyDescent="0.25">
      <c r="A408" s="23"/>
      <c r="B408" s="24"/>
      <c r="C408" s="24"/>
      <c r="D408" s="25"/>
      <c r="E408" s="25"/>
      <c r="F408" s="26"/>
      <c r="G408" s="26"/>
      <c r="H408" s="26"/>
    </row>
    <row r="412" spans="1:8" x14ac:dyDescent="0.25">
      <c r="A412" s="23"/>
      <c r="B412" s="24"/>
      <c r="C412" s="24"/>
      <c r="D412" s="25"/>
      <c r="E412" s="25"/>
      <c r="F412" s="26"/>
      <c r="G412" s="26"/>
      <c r="H412" s="26"/>
    </row>
    <row r="413" spans="1:8" x14ac:dyDescent="0.25">
      <c r="A413" s="23"/>
      <c r="B413" s="24"/>
      <c r="C413" s="24"/>
      <c r="D413" s="25"/>
      <c r="E413" s="25"/>
      <c r="F413" s="26"/>
      <c r="G413" s="26"/>
      <c r="H413" s="26"/>
    </row>
    <row r="414" spans="1:8" x14ac:dyDescent="0.25">
      <c r="A414" s="23"/>
      <c r="B414" s="24"/>
      <c r="C414" s="24"/>
      <c r="D414" s="25"/>
      <c r="E414" s="25"/>
      <c r="F414" s="26"/>
      <c r="G414" s="26"/>
      <c r="H414" s="26"/>
    </row>
    <row r="418" spans="1:8" x14ac:dyDescent="0.25">
      <c r="A418" s="23"/>
      <c r="B418" s="24"/>
      <c r="C418" s="24"/>
      <c r="D418" s="25"/>
      <c r="E418" s="25"/>
      <c r="F418" s="26"/>
      <c r="G418" s="26"/>
      <c r="H418" s="26"/>
    </row>
    <row r="419" spans="1:8" x14ac:dyDescent="0.25">
      <c r="A419" s="23"/>
      <c r="B419" s="24"/>
      <c r="C419" s="24"/>
      <c r="D419" s="25"/>
      <c r="E419" s="25"/>
      <c r="F419" s="26"/>
      <c r="G419" s="26"/>
      <c r="H419" s="26"/>
    </row>
    <row r="420" spans="1:8" x14ac:dyDescent="0.25">
      <c r="A420" s="23"/>
      <c r="B420" s="24"/>
      <c r="C420" s="24"/>
      <c r="D420" s="25"/>
      <c r="E420" s="25"/>
      <c r="F420" s="26"/>
      <c r="G420" s="26"/>
      <c r="H420" s="26"/>
    </row>
    <row r="424" spans="1:8" x14ac:dyDescent="0.25">
      <c r="A424" s="23"/>
      <c r="B424" s="24"/>
      <c r="C424" s="24"/>
      <c r="D424" s="25"/>
      <c r="E424" s="25"/>
      <c r="F424" s="26"/>
      <c r="G424" s="26"/>
      <c r="H424" s="26"/>
    </row>
    <row r="425" spans="1:8" x14ac:dyDescent="0.25">
      <c r="A425" s="23"/>
      <c r="B425" s="24"/>
      <c r="C425" s="24"/>
      <c r="D425" s="25"/>
      <c r="E425" s="25"/>
      <c r="F425" s="26"/>
      <c r="G425" s="26"/>
      <c r="H425" s="26"/>
    </row>
    <row r="426" spans="1:8" x14ac:dyDescent="0.25">
      <c r="A426" s="23"/>
      <c r="B426" s="24"/>
      <c r="C426" s="24"/>
      <c r="D426" s="25"/>
      <c r="E426" s="25"/>
      <c r="F426" s="26"/>
      <c r="G426" s="26"/>
      <c r="H426" s="26"/>
    </row>
    <row r="430" spans="1:8" x14ac:dyDescent="0.25">
      <c r="A430" s="23"/>
      <c r="B430" s="24"/>
      <c r="C430" s="24"/>
      <c r="D430" s="25"/>
      <c r="E430" s="25"/>
      <c r="F430" s="26"/>
      <c r="G430" s="26"/>
      <c r="H430" s="26"/>
    </row>
    <row r="431" spans="1:8" x14ac:dyDescent="0.25">
      <c r="A431" s="23"/>
      <c r="B431" s="24"/>
      <c r="C431" s="24"/>
      <c r="D431" s="25"/>
      <c r="E431" s="25"/>
      <c r="F431" s="26"/>
      <c r="G431" s="26"/>
      <c r="H431" s="26"/>
    </row>
    <row r="432" spans="1:8" x14ac:dyDescent="0.25">
      <c r="A432" s="23"/>
      <c r="B432" s="24"/>
      <c r="C432" s="24"/>
      <c r="D432" s="25"/>
      <c r="E432" s="25"/>
      <c r="F432" s="26"/>
      <c r="G432" s="26"/>
      <c r="H432" s="26"/>
    </row>
    <row r="436" spans="1:8" x14ac:dyDescent="0.25">
      <c r="A436" s="23"/>
      <c r="B436" s="24"/>
      <c r="C436" s="24"/>
      <c r="D436" s="25"/>
      <c r="E436" s="25"/>
      <c r="F436" s="26"/>
      <c r="G436" s="26"/>
      <c r="H436" s="26"/>
    </row>
    <row r="437" spans="1:8" x14ac:dyDescent="0.25">
      <c r="A437" s="23"/>
      <c r="B437" s="24"/>
      <c r="C437" s="24"/>
      <c r="D437" s="25"/>
      <c r="E437" s="25"/>
      <c r="F437" s="26"/>
      <c r="G437" s="26"/>
      <c r="H437" s="26"/>
    </row>
    <row r="438" spans="1:8" x14ac:dyDescent="0.25">
      <c r="A438" s="23"/>
      <c r="B438" s="24"/>
      <c r="C438" s="24"/>
      <c r="D438" s="25"/>
      <c r="E438" s="25"/>
      <c r="F438" s="26"/>
      <c r="G438" s="26"/>
      <c r="H438" s="26"/>
    </row>
    <row r="442" spans="1:8" x14ac:dyDescent="0.25">
      <c r="A442" s="23"/>
      <c r="B442" s="24"/>
      <c r="C442" s="24"/>
      <c r="D442" s="25"/>
      <c r="E442" s="25"/>
      <c r="F442" s="26"/>
      <c r="G442" s="26"/>
      <c r="H442" s="26"/>
    </row>
    <row r="443" spans="1:8" x14ac:dyDescent="0.25">
      <c r="A443" s="23"/>
      <c r="B443" s="24"/>
      <c r="C443" s="24"/>
      <c r="D443" s="25"/>
      <c r="E443" s="25"/>
      <c r="F443" s="26"/>
      <c r="G443" s="26"/>
      <c r="H443" s="26"/>
    </row>
    <row r="444" spans="1:8" x14ac:dyDescent="0.25">
      <c r="A444" s="23"/>
      <c r="B444" s="24"/>
      <c r="C444" s="24"/>
      <c r="D444" s="25"/>
      <c r="E444" s="25"/>
      <c r="F444" s="26"/>
      <c r="G444" s="26"/>
      <c r="H444" s="26"/>
    </row>
    <row r="448" spans="1:8" x14ac:dyDescent="0.25">
      <c r="A448" s="23"/>
      <c r="B448" s="24"/>
      <c r="C448" s="24"/>
      <c r="D448" s="25"/>
      <c r="E448" s="25"/>
      <c r="F448" s="26"/>
      <c r="G448" s="26"/>
      <c r="H448" s="26"/>
    </row>
    <row r="449" spans="1:8" x14ac:dyDescent="0.25">
      <c r="A449" s="23"/>
      <c r="B449" s="24"/>
      <c r="C449" s="24"/>
      <c r="D449" s="25"/>
      <c r="E449" s="25"/>
      <c r="F449" s="26"/>
      <c r="G449" s="26"/>
      <c r="H449" s="26"/>
    </row>
    <row r="450" spans="1:8" x14ac:dyDescent="0.25">
      <c r="A450" s="23"/>
      <c r="B450" s="24"/>
      <c r="C450" s="24"/>
      <c r="D450" s="25"/>
      <c r="E450" s="25"/>
      <c r="F450" s="26"/>
      <c r="G450" s="26"/>
      <c r="H450" s="26"/>
    </row>
    <row r="454" spans="1:8" x14ac:dyDescent="0.25">
      <c r="A454" s="23"/>
      <c r="B454" s="24"/>
      <c r="C454" s="24"/>
      <c r="D454" s="25"/>
      <c r="E454" s="25"/>
      <c r="F454" s="26"/>
      <c r="G454" s="26"/>
      <c r="H454" s="26"/>
    </row>
    <row r="455" spans="1:8" x14ac:dyDescent="0.25">
      <c r="A455" s="23"/>
      <c r="B455" s="24"/>
      <c r="C455" s="24"/>
      <c r="D455" s="25"/>
      <c r="E455" s="25"/>
      <c r="F455" s="26"/>
      <c r="G455" s="26"/>
      <c r="H455" s="26"/>
    </row>
    <row r="456" spans="1:8" x14ac:dyDescent="0.25">
      <c r="A456" s="23"/>
      <c r="B456" s="24"/>
      <c r="C456" s="24"/>
      <c r="D456" s="25"/>
      <c r="E456" s="25"/>
      <c r="F456" s="26"/>
      <c r="G456" s="26"/>
      <c r="H456" s="26"/>
    </row>
    <row r="527" spans="2:3" x14ac:dyDescent="0.25">
      <c r="B527" s="29" t="s">
        <v>80</v>
      </c>
      <c r="C527" s="29" t="s">
        <v>80</v>
      </c>
    </row>
    <row r="528" spans="2:3" x14ac:dyDescent="0.25">
      <c r="B528" s="29" t="s">
        <v>80</v>
      </c>
      <c r="C528" s="29" t="s">
        <v>80</v>
      </c>
    </row>
    <row r="529" spans="2:3" x14ac:dyDescent="0.25">
      <c r="B529" s="29" t="s">
        <v>80</v>
      </c>
      <c r="C529" s="29" t="s">
        <v>80</v>
      </c>
    </row>
    <row r="530" spans="2:3" x14ac:dyDescent="0.25">
      <c r="B530" s="29" t="s">
        <v>80</v>
      </c>
      <c r="C530" s="29" t="s">
        <v>80</v>
      </c>
    </row>
    <row r="531" spans="2:3" x14ac:dyDescent="0.25">
      <c r="B531" s="29" t="s">
        <v>80</v>
      </c>
      <c r="C531" s="29" t="s">
        <v>80</v>
      </c>
    </row>
    <row r="532" spans="2:3" x14ac:dyDescent="0.25">
      <c r="B532" s="29" t="s">
        <v>80</v>
      </c>
      <c r="C532" s="29" t="s">
        <v>80</v>
      </c>
    </row>
    <row r="533" spans="2:3" x14ac:dyDescent="0.25">
      <c r="B533" s="29" t="s">
        <v>80</v>
      </c>
      <c r="C533" s="29" t="s">
        <v>80</v>
      </c>
    </row>
    <row r="534" spans="2:3" x14ac:dyDescent="0.25">
      <c r="B534" s="29" t="s">
        <v>80</v>
      </c>
      <c r="C534" s="29" t="s">
        <v>80</v>
      </c>
    </row>
    <row r="535" spans="2:3" x14ac:dyDescent="0.25">
      <c r="B535" s="29" t="s">
        <v>80</v>
      </c>
      <c r="C535" s="29" t="s">
        <v>80</v>
      </c>
    </row>
    <row r="536" spans="2:3" x14ac:dyDescent="0.25">
      <c r="B536" s="29" t="s">
        <v>80</v>
      </c>
      <c r="C536" s="29" t="s">
        <v>80</v>
      </c>
    </row>
    <row r="537" spans="2:3" x14ac:dyDescent="0.25">
      <c r="B537" s="29" t="s">
        <v>80</v>
      </c>
      <c r="C537" s="29" t="s">
        <v>80</v>
      </c>
    </row>
    <row r="538" spans="2:3" x14ac:dyDescent="0.25">
      <c r="B538" s="29" t="s">
        <v>80</v>
      </c>
      <c r="C538" s="29" t="s">
        <v>80</v>
      </c>
    </row>
    <row r="539" spans="2:3" x14ac:dyDescent="0.25">
      <c r="B539" s="29" t="s">
        <v>80</v>
      </c>
      <c r="C539" s="29" t="s">
        <v>80</v>
      </c>
    </row>
  </sheetData>
  <autoFilter ref="A3:H539" xr:uid="{00000000-0009-0000-0000-000001000000}"/>
  <sortState ref="A4:F22">
    <sortCondition ref="A2"/>
  </sortState>
  <mergeCells count="1">
    <mergeCell ref="A158:H15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ortINCEXPLIST">
                <anchor moveWithCells="1" sizeWithCells="1">
                  <from>
                    <xdr:col>0</xdr:col>
                    <xdr:colOff>180975</xdr:colOff>
                    <xdr:row>1</xdr:row>
                    <xdr:rowOff>85725</xdr:rowOff>
                  </from>
                  <to>
                    <xdr:col>1</xdr:col>
                    <xdr:colOff>1143000</xdr:colOff>
                    <xdr:row>1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39"/>
  <sheetViews>
    <sheetView topLeftCell="A37" workbookViewId="0">
      <selection activeCell="C2" sqref="C2"/>
    </sheetView>
  </sheetViews>
  <sheetFormatPr defaultRowHeight="14.25" x14ac:dyDescent="0.2"/>
  <cols>
    <col min="1" max="1" width="9" style="1"/>
    <col min="2" max="2" width="12.375" customWidth="1"/>
    <col min="3" max="6" width="17" customWidth="1"/>
    <col min="7" max="7" width="12.5" style="2" customWidth="1"/>
  </cols>
  <sheetData>
    <row r="1" spans="1:8" x14ac:dyDescent="0.2">
      <c r="A1" s="1" t="s">
        <v>93</v>
      </c>
      <c r="C1" t="s">
        <v>580</v>
      </c>
    </row>
    <row r="2" spans="1:8" x14ac:dyDescent="0.2">
      <c r="A2" s="1" t="s">
        <v>9</v>
      </c>
      <c r="B2">
        <v>527</v>
      </c>
      <c r="D2" t="s">
        <v>579</v>
      </c>
    </row>
    <row r="3" spans="1:8" x14ac:dyDescent="0.2">
      <c r="A3" s="1" t="s">
        <v>0</v>
      </c>
      <c r="B3" t="s">
        <v>5</v>
      </c>
      <c r="C3" t="s">
        <v>11</v>
      </c>
      <c r="D3" t="s">
        <v>3</v>
      </c>
      <c r="E3" t="s">
        <v>6</v>
      </c>
      <c r="F3" t="s">
        <v>1</v>
      </c>
      <c r="G3" s="2" t="s">
        <v>2</v>
      </c>
      <c r="H3" t="s">
        <v>4</v>
      </c>
    </row>
    <row r="4" spans="1:8" x14ac:dyDescent="0.2">
      <c r="A4" s="1" t="s">
        <v>47</v>
      </c>
    </row>
    <row r="5" spans="1:8" x14ac:dyDescent="0.2">
      <c r="A5" s="1">
        <v>42646.888860648149</v>
      </c>
      <c r="D5" t="s">
        <v>10</v>
      </c>
      <c r="F5">
        <v>36000</v>
      </c>
      <c r="H5">
        <v>36000</v>
      </c>
    </row>
    <row r="6" spans="1:8" x14ac:dyDescent="0.2">
      <c r="A6" s="1">
        <v>42646.891411111108</v>
      </c>
      <c r="B6" t="s">
        <v>17</v>
      </c>
      <c r="C6" t="s">
        <v>31</v>
      </c>
      <c r="D6" t="s">
        <v>48</v>
      </c>
      <c r="E6" t="s">
        <v>49</v>
      </c>
      <c r="H6">
        <v>36000</v>
      </c>
    </row>
    <row r="7" spans="1:8" x14ac:dyDescent="0.2">
      <c r="A7" s="1">
        <v>42646.893075347223</v>
      </c>
      <c r="B7" t="s">
        <v>44</v>
      </c>
      <c r="C7" t="s">
        <v>45</v>
      </c>
      <c r="D7" t="s">
        <v>50</v>
      </c>
      <c r="E7" t="s">
        <v>51</v>
      </c>
      <c r="G7" s="2">
        <v>1000</v>
      </c>
      <c r="H7">
        <v>35000</v>
      </c>
    </row>
    <row r="8" spans="1:8" x14ac:dyDescent="0.2">
      <c r="A8" s="1">
        <v>42646.894797800924</v>
      </c>
      <c r="B8" t="s">
        <v>17</v>
      </c>
      <c r="C8" t="s">
        <v>21</v>
      </c>
      <c r="D8" t="s">
        <v>52</v>
      </c>
      <c r="E8" t="s">
        <v>53</v>
      </c>
      <c r="G8" s="2">
        <v>850</v>
      </c>
      <c r="H8">
        <v>34150</v>
      </c>
    </row>
    <row r="9" spans="1:8" x14ac:dyDescent="0.2">
      <c r="A9" s="1">
        <v>42646.89522604167</v>
      </c>
      <c r="B9" t="s">
        <v>44</v>
      </c>
      <c r="C9" t="s">
        <v>45</v>
      </c>
      <c r="D9" t="s">
        <v>95</v>
      </c>
      <c r="G9" s="2">
        <v>600</v>
      </c>
      <c r="H9">
        <v>33550</v>
      </c>
    </row>
    <row r="10" spans="1:8" x14ac:dyDescent="0.2">
      <c r="A10" s="1">
        <v>42646.895930902778</v>
      </c>
      <c r="B10" t="s">
        <v>54</v>
      </c>
      <c r="C10" t="s">
        <v>45</v>
      </c>
      <c r="D10" t="s">
        <v>55</v>
      </c>
      <c r="E10" t="s">
        <v>56</v>
      </c>
      <c r="G10" s="2">
        <v>280</v>
      </c>
      <c r="H10">
        <v>33270</v>
      </c>
    </row>
    <row r="11" spans="1:8" x14ac:dyDescent="0.2">
      <c r="A11" s="1">
        <v>42646.896148611107</v>
      </c>
      <c r="B11" t="s">
        <v>54</v>
      </c>
      <c r="C11" t="s">
        <v>45</v>
      </c>
      <c r="D11" t="s">
        <v>57</v>
      </c>
      <c r="G11" s="2">
        <v>200</v>
      </c>
      <c r="H11">
        <v>33070</v>
      </c>
    </row>
    <row r="12" spans="1:8" x14ac:dyDescent="0.2">
      <c r="A12" s="1">
        <v>42646.896669097223</v>
      </c>
      <c r="B12" t="s">
        <v>17</v>
      </c>
      <c r="C12" t="s">
        <v>21</v>
      </c>
      <c r="D12" t="s">
        <v>58</v>
      </c>
      <c r="E12" t="s">
        <v>53</v>
      </c>
      <c r="G12" s="2">
        <v>300</v>
      </c>
      <c r="H12">
        <v>32770</v>
      </c>
    </row>
    <row r="13" spans="1:8" x14ac:dyDescent="0.2">
      <c r="A13" s="1">
        <v>42646.897121527778</v>
      </c>
      <c r="B13" t="s">
        <v>17</v>
      </c>
      <c r="C13" t="s">
        <v>45</v>
      </c>
      <c r="D13" t="s">
        <v>59</v>
      </c>
      <c r="E13" t="s">
        <v>53</v>
      </c>
      <c r="G13" s="2">
        <v>3500</v>
      </c>
      <c r="H13">
        <v>29270</v>
      </c>
    </row>
    <row r="14" spans="1:8" x14ac:dyDescent="0.2">
      <c r="A14" s="1">
        <v>42646.897569907407</v>
      </c>
      <c r="B14" t="s">
        <v>54</v>
      </c>
      <c r="C14" t="s">
        <v>21</v>
      </c>
      <c r="D14" t="s">
        <v>60</v>
      </c>
      <c r="G14" s="2">
        <v>400</v>
      </c>
      <c r="H14">
        <v>28870</v>
      </c>
    </row>
    <row r="15" spans="1:8" x14ac:dyDescent="0.2">
      <c r="A15" s="1">
        <v>42647.404799537035</v>
      </c>
      <c r="B15" t="s">
        <v>7</v>
      </c>
      <c r="C15" t="s">
        <v>37</v>
      </c>
      <c r="D15" t="s">
        <v>61</v>
      </c>
      <c r="G15" s="2">
        <v>25</v>
      </c>
      <c r="H15">
        <v>28845</v>
      </c>
    </row>
    <row r="16" spans="1:8" x14ac:dyDescent="0.2">
      <c r="A16" s="1">
        <v>42647.436557175926</v>
      </c>
      <c r="B16" t="s">
        <v>7</v>
      </c>
      <c r="C16" t="s">
        <v>37</v>
      </c>
      <c r="D16" t="s">
        <v>62</v>
      </c>
      <c r="G16" s="2">
        <v>30</v>
      </c>
      <c r="H16">
        <v>28815</v>
      </c>
    </row>
    <row r="17" spans="1:8" x14ac:dyDescent="0.2">
      <c r="A17" s="1">
        <v>42647.629932754629</v>
      </c>
      <c r="B17" t="s">
        <v>17</v>
      </c>
      <c r="C17" t="s">
        <v>31</v>
      </c>
      <c r="D17" t="s">
        <v>63</v>
      </c>
      <c r="G17" s="2">
        <v>240</v>
      </c>
      <c r="H17">
        <v>28575</v>
      </c>
    </row>
    <row r="18" spans="1:8" x14ac:dyDescent="0.2">
      <c r="A18" s="1">
        <v>42647.467233796298</v>
      </c>
      <c r="B18" t="s">
        <v>64</v>
      </c>
      <c r="C18" t="s">
        <v>27</v>
      </c>
      <c r="D18" t="s">
        <v>65</v>
      </c>
      <c r="G18" s="2">
        <v>3100</v>
      </c>
      <c r="H18">
        <v>25475</v>
      </c>
    </row>
    <row r="19" spans="1:8" x14ac:dyDescent="0.2">
      <c r="A19" s="1">
        <v>42647.468240740738</v>
      </c>
      <c r="B19" t="s">
        <v>17</v>
      </c>
      <c r="C19" t="s">
        <v>19</v>
      </c>
      <c r="D19" t="s">
        <v>66</v>
      </c>
      <c r="E19" t="s">
        <v>67</v>
      </c>
      <c r="G19" s="2">
        <v>14250</v>
      </c>
      <c r="H19">
        <v>11225</v>
      </c>
    </row>
    <row r="20" spans="1:8" x14ac:dyDescent="0.2">
      <c r="A20" s="1">
        <v>42647.468888888892</v>
      </c>
      <c r="B20" t="s">
        <v>17</v>
      </c>
      <c r="C20" t="s">
        <v>19</v>
      </c>
      <c r="D20" t="s">
        <v>66</v>
      </c>
      <c r="E20" t="s">
        <v>68</v>
      </c>
      <c r="G20" s="2">
        <v>4600</v>
      </c>
      <c r="H20">
        <v>6625</v>
      </c>
    </row>
    <row r="21" spans="1:8" x14ac:dyDescent="0.2">
      <c r="A21" s="1">
        <v>42647.469131944446</v>
      </c>
      <c r="B21" t="s">
        <v>17</v>
      </c>
      <c r="C21" t="s">
        <v>19</v>
      </c>
      <c r="D21" t="s">
        <v>66</v>
      </c>
      <c r="E21" t="s">
        <v>69</v>
      </c>
      <c r="G21" s="2">
        <v>1200</v>
      </c>
      <c r="H21">
        <v>5425</v>
      </c>
    </row>
    <row r="22" spans="1:8" x14ac:dyDescent="0.2">
      <c r="A22" s="1">
        <v>42648.470490624997</v>
      </c>
      <c r="B22" t="s">
        <v>7</v>
      </c>
      <c r="C22" t="s">
        <v>35</v>
      </c>
      <c r="D22" t="s">
        <v>61</v>
      </c>
      <c r="G22" s="2">
        <v>25</v>
      </c>
      <c r="H22">
        <v>5400</v>
      </c>
    </row>
    <row r="23" spans="1:8" x14ac:dyDescent="0.2">
      <c r="A23" s="1">
        <v>42648</v>
      </c>
      <c r="B23" t="s">
        <v>54</v>
      </c>
      <c r="C23" t="s">
        <v>45</v>
      </c>
      <c r="D23" t="s">
        <v>70</v>
      </c>
      <c r="F23">
        <v>1000</v>
      </c>
      <c r="H23">
        <v>6400</v>
      </c>
    </row>
    <row r="24" spans="1:8" x14ac:dyDescent="0.2">
      <c r="A24" s="1">
        <v>42648</v>
      </c>
      <c r="B24" t="s">
        <v>64</v>
      </c>
      <c r="C24" t="s">
        <v>19</v>
      </c>
      <c r="D24" t="s">
        <v>71</v>
      </c>
      <c r="E24" t="s">
        <v>72</v>
      </c>
      <c r="G24" s="2">
        <v>400</v>
      </c>
      <c r="H24">
        <v>6000</v>
      </c>
    </row>
    <row r="25" spans="1:8" x14ac:dyDescent="0.2">
      <c r="A25" s="1">
        <v>42648</v>
      </c>
      <c r="B25" t="s">
        <v>54</v>
      </c>
      <c r="C25" t="s">
        <v>35</v>
      </c>
      <c r="D25" t="s">
        <v>73</v>
      </c>
      <c r="G25" s="2">
        <v>12</v>
      </c>
      <c r="H25">
        <v>5988</v>
      </c>
    </row>
    <row r="26" spans="1:8" x14ac:dyDescent="0.2">
      <c r="A26" s="1">
        <v>42648</v>
      </c>
      <c r="B26" t="s">
        <v>75</v>
      </c>
      <c r="C26" t="s">
        <v>45</v>
      </c>
      <c r="D26" t="s">
        <v>74</v>
      </c>
      <c r="E26">
        <v>8391</v>
      </c>
      <c r="G26" s="2">
        <v>1000</v>
      </c>
      <c r="H26">
        <v>4988</v>
      </c>
    </row>
    <row r="27" spans="1:8" x14ac:dyDescent="0.2">
      <c r="A27" s="1">
        <v>42648</v>
      </c>
      <c r="B27" t="s">
        <v>44</v>
      </c>
      <c r="C27" t="s">
        <v>45</v>
      </c>
      <c r="D27" t="s">
        <v>77</v>
      </c>
      <c r="G27" s="2">
        <v>1000</v>
      </c>
      <c r="H27">
        <v>3988</v>
      </c>
    </row>
    <row r="28" spans="1:8" x14ac:dyDescent="0.2">
      <c r="A28" s="1">
        <v>42649.437951388885</v>
      </c>
      <c r="B28" t="s">
        <v>54</v>
      </c>
      <c r="C28" t="s">
        <v>45</v>
      </c>
      <c r="D28" t="s">
        <v>76</v>
      </c>
      <c r="G28" s="2">
        <v>600</v>
      </c>
      <c r="H28">
        <v>3388</v>
      </c>
    </row>
    <row r="29" spans="1:8" x14ac:dyDescent="0.2">
      <c r="A29" s="1">
        <v>42649.438349652781</v>
      </c>
      <c r="B29" t="s">
        <v>7</v>
      </c>
      <c r="C29" t="s">
        <v>36</v>
      </c>
      <c r="D29" t="s">
        <v>61</v>
      </c>
      <c r="G29" s="2">
        <v>50</v>
      </c>
      <c r="H29">
        <v>3338</v>
      </c>
    </row>
    <row r="30" spans="1:8" x14ac:dyDescent="0.2">
      <c r="A30" s="1">
        <v>42650.394277083331</v>
      </c>
      <c r="B30" t="s">
        <v>80</v>
      </c>
      <c r="C30" t="s">
        <v>80</v>
      </c>
      <c r="D30" t="s">
        <v>78</v>
      </c>
      <c r="E30" t="s">
        <v>79</v>
      </c>
      <c r="F30">
        <v>25745</v>
      </c>
      <c r="H30">
        <v>29083</v>
      </c>
    </row>
    <row r="31" spans="1:8" x14ac:dyDescent="0.2">
      <c r="A31" s="1">
        <v>42650.39544537037</v>
      </c>
      <c r="B31" t="s">
        <v>54</v>
      </c>
      <c r="C31" t="s">
        <v>39</v>
      </c>
      <c r="D31" t="s">
        <v>81</v>
      </c>
      <c r="G31" s="2">
        <v>160</v>
      </c>
      <c r="H31">
        <v>28923</v>
      </c>
    </row>
    <row r="32" spans="1:8" x14ac:dyDescent="0.2">
      <c r="A32" s="1">
        <v>42650.397417361113</v>
      </c>
      <c r="B32" t="s">
        <v>75</v>
      </c>
      <c r="C32" t="s">
        <v>45</v>
      </c>
      <c r="D32" t="s">
        <v>82</v>
      </c>
      <c r="E32">
        <v>8391</v>
      </c>
      <c r="G32" s="2">
        <v>1300</v>
      </c>
      <c r="H32">
        <v>27623</v>
      </c>
    </row>
    <row r="33" spans="1:8" x14ac:dyDescent="0.2">
      <c r="A33" s="1">
        <v>42650.397900810189</v>
      </c>
      <c r="B33" t="s">
        <v>54</v>
      </c>
      <c r="C33" t="s">
        <v>45</v>
      </c>
      <c r="D33" t="s">
        <v>83</v>
      </c>
      <c r="E33" t="s">
        <v>84</v>
      </c>
      <c r="G33" s="2">
        <v>710</v>
      </c>
      <c r="H33">
        <v>26913</v>
      </c>
    </row>
    <row r="34" spans="1:8" x14ac:dyDescent="0.2">
      <c r="A34" s="1">
        <v>42650.804446064816</v>
      </c>
      <c r="B34" t="s">
        <v>17</v>
      </c>
      <c r="C34" t="s">
        <v>38</v>
      </c>
      <c r="D34" t="s">
        <v>85</v>
      </c>
      <c r="E34" t="s">
        <v>86</v>
      </c>
      <c r="G34" s="2">
        <v>550</v>
      </c>
      <c r="H34">
        <v>26363</v>
      </c>
    </row>
    <row r="35" spans="1:8" x14ac:dyDescent="0.2">
      <c r="A35" s="1">
        <v>42650.804873842593</v>
      </c>
      <c r="B35" t="s">
        <v>17</v>
      </c>
      <c r="C35" t="s">
        <v>31</v>
      </c>
      <c r="D35" t="s">
        <v>87</v>
      </c>
      <c r="G35" s="2">
        <v>500</v>
      </c>
      <c r="H35">
        <v>25863</v>
      </c>
    </row>
    <row r="36" spans="1:8" x14ac:dyDescent="0.2">
      <c r="A36" s="1">
        <v>42650.805133449074</v>
      </c>
      <c r="B36" t="s">
        <v>7</v>
      </c>
      <c r="C36" t="s">
        <v>35</v>
      </c>
      <c r="D36" t="s">
        <v>88</v>
      </c>
      <c r="G36" s="2">
        <v>100</v>
      </c>
      <c r="H36">
        <v>25763</v>
      </c>
    </row>
    <row r="37" spans="1:8" x14ac:dyDescent="0.2">
      <c r="A37" s="1">
        <v>42650.805464120371</v>
      </c>
      <c r="B37" t="s">
        <v>17</v>
      </c>
      <c r="C37" t="s">
        <v>38</v>
      </c>
      <c r="D37" t="s">
        <v>89</v>
      </c>
      <c r="E37">
        <v>2177</v>
      </c>
      <c r="G37" s="2">
        <v>140</v>
      </c>
      <c r="H37">
        <v>25623</v>
      </c>
    </row>
    <row r="38" spans="1:8" x14ac:dyDescent="0.2">
      <c r="A38" s="1">
        <v>42650.805822337963</v>
      </c>
      <c r="B38" t="s">
        <v>17</v>
      </c>
      <c r="C38" t="s">
        <v>38</v>
      </c>
      <c r="D38" t="s">
        <v>90</v>
      </c>
      <c r="E38" t="s">
        <v>86</v>
      </c>
      <c r="G38" s="2">
        <v>200</v>
      </c>
      <c r="H38">
        <v>25423</v>
      </c>
    </row>
    <row r="39" spans="1:8" x14ac:dyDescent="0.2">
      <c r="A39" s="1">
        <v>42650.805993865739</v>
      </c>
      <c r="B39" t="s">
        <v>7</v>
      </c>
      <c r="C39" t="s">
        <v>38</v>
      </c>
      <c r="D39" t="s">
        <v>61</v>
      </c>
      <c r="G39" s="2">
        <v>25</v>
      </c>
      <c r="H39">
        <v>25398</v>
      </c>
    </row>
    <row r="40" spans="1:8" x14ac:dyDescent="0.2">
      <c r="A40" s="1">
        <v>42650.806338773145</v>
      </c>
      <c r="B40" t="s">
        <v>44</v>
      </c>
      <c r="C40" t="s">
        <v>45</v>
      </c>
      <c r="D40" t="s">
        <v>91</v>
      </c>
      <c r="E40" t="s">
        <v>92</v>
      </c>
      <c r="G40" s="2">
        <v>2000</v>
      </c>
      <c r="H40">
        <v>23398</v>
      </c>
    </row>
    <row r="41" spans="1:8" x14ac:dyDescent="0.2">
      <c r="A41" s="1" t="s">
        <v>47</v>
      </c>
    </row>
    <row r="42" spans="1:8" x14ac:dyDescent="0.2">
      <c r="A42" s="1">
        <v>42651.401657754628</v>
      </c>
      <c r="D42" t="s">
        <v>10</v>
      </c>
      <c r="F42">
        <v>5000</v>
      </c>
      <c r="H42">
        <v>28398</v>
      </c>
    </row>
    <row r="43" spans="1:8" x14ac:dyDescent="0.2">
      <c r="A43" s="1">
        <v>42651</v>
      </c>
      <c r="B43" t="s">
        <v>17</v>
      </c>
      <c r="C43" t="s">
        <v>31</v>
      </c>
      <c r="D43" t="s">
        <v>96</v>
      </c>
      <c r="E43">
        <v>9680</v>
      </c>
      <c r="G43" s="2">
        <v>2200</v>
      </c>
      <c r="H43">
        <v>26198</v>
      </c>
    </row>
    <row r="44" spans="1:8" x14ac:dyDescent="0.2">
      <c r="A44" s="1">
        <v>42651</v>
      </c>
      <c r="B44" t="s">
        <v>44</v>
      </c>
      <c r="C44" t="s">
        <v>45</v>
      </c>
      <c r="D44" t="s">
        <v>97</v>
      </c>
      <c r="E44" t="s">
        <v>92</v>
      </c>
      <c r="H44">
        <v>26198</v>
      </c>
    </row>
    <row r="45" spans="1:8" x14ac:dyDescent="0.2">
      <c r="A45" s="1">
        <v>42651</v>
      </c>
      <c r="B45" t="s">
        <v>75</v>
      </c>
      <c r="C45" t="s">
        <v>45</v>
      </c>
      <c r="D45" t="s">
        <v>75</v>
      </c>
      <c r="E45" t="s">
        <v>98</v>
      </c>
      <c r="G45" s="2">
        <v>900</v>
      </c>
      <c r="H45">
        <v>25298</v>
      </c>
    </row>
    <row r="46" spans="1:8" x14ac:dyDescent="0.2">
      <c r="A46" s="1">
        <v>42651</v>
      </c>
      <c r="B46" t="s">
        <v>75</v>
      </c>
      <c r="C46" t="s">
        <v>45</v>
      </c>
      <c r="D46" t="s">
        <v>99</v>
      </c>
      <c r="E46" t="s">
        <v>100</v>
      </c>
      <c r="G46" s="2">
        <v>21000</v>
      </c>
      <c r="H46">
        <v>4298</v>
      </c>
    </row>
    <row r="47" spans="1:8" x14ac:dyDescent="0.2">
      <c r="A47" s="1">
        <v>42652.100979976851</v>
      </c>
      <c r="B47" t="s">
        <v>80</v>
      </c>
      <c r="C47" t="s">
        <v>80</v>
      </c>
      <c r="D47" t="s">
        <v>101</v>
      </c>
      <c r="E47" t="s">
        <v>102</v>
      </c>
      <c r="F47">
        <v>3500</v>
      </c>
      <c r="H47">
        <v>7798</v>
      </c>
    </row>
    <row r="48" spans="1:8" x14ac:dyDescent="0.2">
      <c r="A48" s="1">
        <v>42652.101357870371</v>
      </c>
      <c r="B48" t="s">
        <v>80</v>
      </c>
      <c r="C48" t="s">
        <v>80</v>
      </c>
      <c r="D48" t="s">
        <v>103</v>
      </c>
      <c r="E48" t="s">
        <v>105</v>
      </c>
      <c r="F48">
        <v>1000</v>
      </c>
      <c r="H48">
        <v>8798</v>
      </c>
    </row>
    <row r="49" spans="1:8" x14ac:dyDescent="0.2">
      <c r="A49" s="1">
        <v>42652.101684143519</v>
      </c>
      <c r="B49" t="s">
        <v>80</v>
      </c>
      <c r="C49" t="s">
        <v>80</v>
      </c>
      <c r="D49" t="s">
        <v>104</v>
      </c>
      <c r="E49" t="s">
        <v>106</v>
      </c>
      <c r="F49">
        <v>200</v>
      </c>
      <c r="H49">
        <v>8998</v>
      </c>
    </row>
    <row r="50" spans="1:8" x14ac:dyDescent="0.2">
      <c r="A50" s="1">
        <v>42653.545040972225</v>
      </c>
      <c r="B50" t="s">
        <v>44</v>
      </c>
      <c r="C50" t="s">
        <v>45</v>
      </c>
      <c r="D50" t="s">
        <v>107</v>
      </c>
      <c r="E50" t="s">
        <v>91</v>
      </c>
      <c r="G50" s="2">
        <v>2000</v>
      </c>
      <c r="H50">
        <v>6998</v>
      </c>
    </row>
    <row r="51" spans="1:8" x14ac:dyDescent="0.2">
      <c r="A51" s="1">
        <v>42653.550952893522</v>
      </c>
      <c r="B51" t="s">
        <v>7</v>
      </c>
      <c r="C51" t="s">
        <v>27</v>
      </c>
      <c r="D51" t="s">
        <v>61</v>
      </c>
      <c r="G51" s="2">
        <v>50</v>
      </c>
      <c r="H51">
        <v>6948</v>
      </c>
    </row>
    <row r="52" spans="1:8" x14ac:dyDescent="0.2">
      <c r="A52" s="1">
        <v>42653.644795370368</v>
      </c>
      <c r="B52" t="s">
        <v>7</v>
      </c>
      <c r="C52" t="s">
        <v>27</v>
      </c>
      <c r="D52" t="s">
        <v>108</v>
      </c>
      <c r="G52" s="2">
        <v>450</v>
      </c>
      <c r="H52">
        <v>6498</v>
      </c>
    </row>
    <row r="53" spans="1:8" x14ac:dyDescent="0.2">
      <c r="A53" s="1">
        <v>42653.64575520833</v>
      </c>
      <c r="B53" t="s">
        <v>44</v>
      </c>
      <c r="C53" t="s">
        <v>45</v>
      </c>
      <c r="D53" t="s">
        <v>91</v>
      </c>
      <c r="G53" s="2">
        <v>2000</v>
      </c>
      <c r="H53">
        <v>4498</v>
      </c>
    </row>
    <row r="54" spans="1:8" x14ac:dyDescent="0.2">
      <c r="A54" s="1">
        <v>42653.648678124999</v>
      </c>
      <c r="B54" t="s">
        <v>44</v>
      </c>
      <c r="C54" t="s">
        <v>45</v>
      </c>
      <c r="D54" t="s">
        <v>109</v>
      </c>
      <c r="G54" s="2">
        <v>1500</v>
      </c>
      <c r="H54">
        <v>2998</v>
      </c>
    </row>
    <row r="55" spans="1:8" x14ac:dyDescent="0.2">
      <c r="A55" s="1">
        <v>42654.76827291667</v>
      </c>
      <c r="B55" t="s">
        <v>80</v>
      </c>
      <c r="C55" t="s">
        <v>45</v>
      </c>
      <c r="F55">
        <v>500</v>
      </c>
      <c r="H55">
        <v>3498</v>
      </c>
    </row>
    <row r="56" spans="1:8" x14ac:dyDescent="0.2">
      <c r="A56" s="1">
        <v>42654.772860763886</v>
      </c>
      <c r="B56" t="s">
        <v>7</v>
      </c>
      <c r="C56" t="s">
        <v>38</v>
      </c>
      <c r="D56" t="s">
        <v>110</v>
      </c>
      <c r="G56" s="2">
        <v>275</v>
      </c>
      <c r="H56">
        <v>3223</v>
      </c>
    </row>
    <row r="57" spans="1:8" x14ac:dyDescent="0.2">
      <c r="A57" s="1">
        <v>42654.773911458331</v>
      </c>
      <c r="B57" t="s">
        <v>7</v>
      </c>
      <c r="C57" t="s">
        <v>39</v>
      </c>
      <c r="D57" t="s">
        <v>111</v>
      </c>
      <c r="G57" s="2">
        <v>45</v>
      </c>
      <c r="H57">
        <v>3178</v>
      </c>
    </row>
    <row r="58" spans="1:8" x14ac:dyDescent="0.2">
      <c r="A58" s="1">
        <v>42654.775609143515</v>
      </c>
      <c r="B58" t="s">
        <v>54</v>
      </c>
      <c r="C58" t="s">
        <v>23</v>
      </c>
      <c r="D58" t="s">
        <v>112</v>
      </c>
      <c r="E58" t="s">
        <v>113</v>
      </c>
      <c r="G58" s="2">
        <v>250</v>
      </c>
      <c r="H58">
        <v>2928</v>
      </c>
    </row>
    <row r="59" spans="1:8" x14ac:dyDescent="0.2">
      <c r="A59" s="1">
        <v>42655.683467013892</v>
      </c>
      <c r="B59" t="s">
        <v>54</v>
      </c>
      <c r="C59" t="s">
        <v>80</v>
      </c>
      <c r="D59" t="s">
        <v>114</v>
      </c>
      <c r="E59" t="s">
        <v>115</v>
      </c>
      <c r="F59">
        <v>6000</v>
      </c>
      <c r="H59">
        <v>8928</v>
      </c>
    </row>
    <row r="60" spans="1:8" x14ac:dyDescent="0.2">
      <c r="A60" s="1">
        <v>42655.684729745371</v>
      </c>
      <c r="B60" t="s">
        <v>18</v>
      </c>
      <c r="C60" t="s">
        <v>35</v>
      </c>
      <c r="D60" t="s">
        <v>116</v>
      </c>
      <c r="G60" s="2">
        <v>300</v>
      </c>
      <c r="H60">
        <v>8628</v>
      </c>
    </row>
    <row r="61" spans="1:8" x14ac:dyDescent="0.2">
      <c r="A61" s="1">
        <v>42655.686469097222</v>
      </c>
      <c r="B61" t="s">
        <v>44</v>
      </c>
      <c r="C61" t="s">
        <v>45</v>
      </c>
      <c r="D61" t="s">
        <v>109</v>
      </c>
      <c r="E61" t="s">
        <v>117</v>
      </c>
      <c r="G61" s="2">
        <v>500</v>
      </c>
      <c r="H61">
        <v>8128</v>
      </c>
    </row>
    <row r="62" spans="1:8" x14ac:dyDescent="0.2">
      <c r="A62" s="1">
        <v>42655.687124652781</v>
      </c>
      <c r="B62" t="s">
        <v>75</v>
      </c>
      <c r="C62" t="s">
        <v>45</v>
      </c>
      <c r="D62" t="s">
        <v>118</v>
      </c>
      <c r="G62" s="2">
        <v>1000</v>
      </c>
      <c r="H62">
        <v>7128</v>
      </c>
    </row>
    <row r="63" spans="1:8" x14ac:dyDescent="0.2">
      <c r="A63" s="1">
        <v>42655.71124340278</v>
      </c>
      <c r="B63" t="s">
        <v>80</v>
      </c>
      <c r="C63" t="s">
        <v>45</v>
      </c>
      <c r="D63" t="s">
        <v>119</v>
      </c>
      <c r="F63">
        <v>13500</v>
      </c>
      <c r="H63">
        <v>20628</v>
      </c>
    </row>
    <row r="64" spans="1:8" x14ac:dyDescent="0.2">
      <c r="A64" s="1">
        <v>42655.711662037036</v>
      </c>
      <c r="B64" t="s">
        <v>17</v>
      </c>
      <c r="C64" t="s">
        <v>45</v>
      </c>
      <c r="D64" t="s">
        <v>120</v>
      </c>
      <c r="E64">
        <v>8391</v>
      </c>
      <c r="G64" s="2">
        <v>4500</v>
      </c>
      <c r="H64">
        <v>16128</v>
      </c>
    </row>
    <row r="65" spans="1:8" x14ac:dyDescent="0.2">
      <c r="A65" s="1">
        <v>42655.712147916667</v>
      </c>
      <c r="B65" t="s">
        <v>44</v>
      </c>
      <c r="C65" t="s">
        <v>45</v>
      </c>
      <c r="D65" t="s">
        <v>121</v>
      </c>
      <c r="E65" t="s">
        <v>122</v>
      </c>
      <c r="G65" s="2">
        <v>9000</v>
      </c>
      <c r="H65">
        <v>7128</v>
      </c>
    </row>
    <row r="66" spans="1:8" x14ac:dyDescent="0.2">
      <c r="A66" s="1">
        <v>42656.613805555557</v>
      </c>
      <c r="B66" t="s">
        <v>75</v>
      </c>
      <c r="C66" t="s">
        <v>80</v>
      </c>
      <c r="D66" t="s">
        <v>123</v>
      </c>
      <c r="E66" t="s">
        <v>124</v>
      </c>
      <c r="G66" s="2">
        <v>500</v>
      </c>
      <c r="H66">
        <v>6628</v>
      </c>
    </row>
    <row r="67" spans="1:8" x14ac:dyDescent="0.2">
      <c r="A67" s="1">
        <v>42656.637197685188</v>
      </c>
      <c r="B67" t="s">
        <v>54</v>
      </c>
      <c r="C67" t="s">
        <v>45</v>
      </c>
      <c r="D67" t="s">
        <v>125</v>
      </c>
      <c r="E67" t="s">
        <v>126</v>
      </c>
      <c r="G67" s="2">
        <v>400</v>
      </c>
      <c r="H67">
        <v>6228</v>
      </c>
    </row>
    <row r="68" spans="1:8" x14ac:dyDescent="0.2">
      <c r="A68" s="1">
        <v>42656.639116550927</v>
      </c>
      <c r="B68" t="s">
        <v>7</v>
      </c>
      <c r="C68" t="s">
        <v>37</v>
      </c>
      <c r="D68" t="s">
        <v>61</v>
      </c>
      <c r="E68" t="s">
        <v>127</v>
      </c>
      <c r="G68" s="2">
        <v>125</v>
      </c>
      <c r="H68">
        <v>6103</v>
      </c>
    </row>
    <row r="69" spans="1:8" x14ac:dyDescent="0.2">
      <c r="A69" s="1">
        <v>42656.646319097221</v>
      </c>
      <c r="B69" t="s">
        <v>7</v>
      </c>
      <c r="C69" t="s">
        <v>37</v>
      </c>
      <c r="D69" t="s">
        <v>128</v>
      </c>
      <c r="G69" s="2">
        <v>730</v>
      </c>
      <c r="H69">
        <v>5373</v>
      </c>
    </row>
    <row r="70" spans="1:8" x14ac:dyDescent="0.2">
      <c r="A70" s="1">
        <v>42656.647138888889</v>
      </c>
      <c r="B70" t="s">
        <v>54</v>
      </c>
      <c r="C70" t="s">
        <v>35</v>
      </c>
      <c r="D70" t="s">
        <v>129</v>
      </c>
      <c r="G70" s="2">
        <v>90</v>
      </c>
      <c r="H70">
        <v>5283</v>
      </c>
    </row>
    <row r="71" spans="1:8" x14ac:dyDescent="0.2">
      <c r="A71" s="1">
        <v>42656.654395486112</v>
      </c>
      <c r="B71" t="s">
        <v>18</v>
      </c>
      <c r="C71" t="s">
        <v>37</v>
      </c>
      <c r="D71" t="s">
        <v>130</v>
      </c>
      <c r="G71" s="2">
        <v>100</v>
      </c>
      <c r="H71">
        <v>5183</v>
      </c>
    </row>
    <row r="72" spans="1:8" x14ac:dyDescent="0.2">
      <c r="A72" s="1">
        <v>42656.762658796295</v>
      </c>
      <c r="B72" t="s">
        <v>54</v>
      </c>
      <c r="C72" t="s">
        <v>80</v>
      </c>
      <c r="D72" t="s">
        <v>131</v>
      </c>
      <c r="E72" t="s">
        <v>132</v>
      </c>
      <c r="G72" s="2">
        <v>400</v>
      </c>
      <c r="H72">
        <v>4783</v>
      </c>
    </row>
    <row r="73" spans="1:8" x14ac:dyDescent="0.2">
      <c r="A73" s="1">
        <v>42656.766064814816</v>
      </c>
      <c r="B73" t="s">
        <v>54</v>
      </c>
      <c r="C73" t="s">
        <v>80</v>
      </c>
      <c r="D73" t="s">
        <v>133</v>
      </c>
      <c r="F73">
        <v>48000</v>
      </c>
      <c r="H73">
        <v>52783</v>
      </c>
    </row>
    <row r="74" spans="1:8" x14ac:dyDescent="0.2">
      <c r="A74" s="1">
        <v>42656.767702430552</v>
      </c>
      <c r="B74" t="s">
        <v>17</v>
      </c>
      <c r="C74" t="s">
        <v>19</v>
      </c>
      <c r="D74" t="s">
        <v>134</v>
      </c>
      <c r="G74" s="2">
        <v>7200</v>
      </c>
      <c r="H74">
        <v>45583</v>
      </c>
    </row>
    <row r="75" spans="1:8" x14ac:dyDescent="0.2">
      <c r="A75" s="1">
        <v>42656.768818402779</v>
      </c>
      <c r="B75" t="s">
        <v>17</v>
      </c>
      <c r="C75" t="s">
        <v>19</v>
      </c>
      <c r="D75" t="s">
        <v>135</v>
      </c>
      <c r="G75" s="2">
        <v>3500</v>
      </c>
      <c r="H75">
        <v>42083</v>
      </c>
    </row>
    <row r="76" spans="1:8" x14ac:dyDescent="0.2">
      <c r="A76" s="1">
        <v>42656.769577314815</v>
      </c>
      <c r="B76" t="s">
        <v>54</v>
      </c>
      <c r="C76" t="s">
        <v>19</v>
      </c>
      <c r="D76" t="s">
        <v>136</v>
      </c>
      <c r="G76" s="2">
        <v>30000</v>
      </c>
      <c r="H76">
        <v>12083</v>
      </c>
    </row>
    <row r="77" spans="1:8" x14ac:dyDescent="0.2">
      <c r="A77" s="1">
        <v>42656.771012384263</v>
      </c>
      <c r="B77" t="s">
        <v>17</v>
      </c>
      <c r="C77" t="s">
        <v>80</v>
      </c>
      <c r="D77" t="s">
        <v>137</v>
      </c>
      <c r="E77" t="s">
        <v>138</v>
      </c>
      <c r="G77" s="2">
        <v>6316</v>
      </c>
      <c r="H77">
        <v>5767</v>
      </c>
    </row>
    <row r="78" spans="1:8" x14ac:dyDescent="0.2">
      <c r="A78" s="1">
        <v>42657.751750694442</v>
      </c>
      <c r="B78" t="s">
        <v>54</v>
      </c>
      <c r="C78" t="s">
        <v>80</v>
      </c>
      <c r="D78" t="s">
        <v>139</v>
      </c>
      <c r="E78" t="s">
        <v>140</v>
      </c>
      <c r="F78">
        <v>300</v>
      </c>
      <c r="H78">
        <v>6067</v>
      </c>
    </row>
    <row r="79" spans="1:8" x14ac:dyDescent="0.2">
      <c r="A79" s="1">
        <v>42657.753765393521</v>
      </c>
      <c r="B79" t="s">
        <v>7</v>
      </c>
      <c r="C79" t="s">
        <v>39</v>
      </c>
      <c r="D79" t="s">
        <v>141</v>
      </c>
      <c r="G79" s="2">
        <v>130</v>
      </c>
      <c r="H79">
        <v>5937</v>
      </c>
    </row>
    <row r="80" spans="1:8" x14ac:dyDescent="0.2">
      <c r="A80" s="1">
        <v>42657.755696296299</v>
      </c>
      <c r="B80" t="s">
        <v>54</v>
      </c>
      <c r="C80" t="s">
        <v>45</v>
      </c>
      <c r="D80" t="s">
        <v>143</v>
      </c>
      <c r="E80" t="s">
        <v>142</v>
      </c>
      <c r="G80" s="2">
        <v>350</v>
      </c>
      <c r="H80">
        <v>5587</v>
      </c>
    </row>
    <row r="81" spans="1:8" x14ac:dyDescent="0.2">
      <c r="A81" s="1">
        <v>42657.75741111111</v>
      </c>
      <c r="B81" t="s">
        <v>7</v>
      </c>
      <c r="C81" t="s">
        <v>31</v>
      </c>
      <c r="D81" t="s">
        <v>144</v>
      </c>
      <c r="E81" t="s">
        <v>145</v>
      </c>
      <c r="G81" s="2">
        <v>100</v>
      </c>
      <c r="H81">
        <v>5487</v>
      </c>
    </row>
    <row r="82" spans="1:8" x14ac:dyDescent="0.2">
      <c r="A82" s="1">
        <v>42657.760087268522</v>
      </c>
      <c r="B82" t="s">
        <v>7</v>
      </c>
      <c r="C82" t="s">
        <v>39</v>
      </c>
      <c r="D82" t="s">
        <v>146</v>
      </c>
      <c r="E82" t="s">
        <v>147</v>
      </c>
      <c r="G82" s="2">
        <v>400</v>
      </c>
      <c r="H82">
        <v>5087</v>
      </c>
    </row>
    <row r="83" spans="1:8" x14ac:dyDescent="0.2">
      <c r="A83" s="1">
        <v>42658.767210995371</v>
      </c>
      <c r="B83" t="s">
        <v>54</v>
      </c>
      <c r="C83" t="s">
        <v>80</v>
      </c>
      <c r="D83" t="s">
        <v>148</v>
      </c>
      <c r="E83" t="s">
        <v>149</v>
      </c>
      <c r="F83">
        <v>5000</v>
      </c>
      <c r="H83">
        <v>10087</v>
      </c>
    </row>
    <row r="84" spans="1:8" x14ac:dyDescent="0.2">
      <c r="A84" s="1">
        <v>42658.76790648148</v>
      </c>
      <c r="B84" t="s">
        <v>7</v>
      </c>
      <c r="C84" t="s">
        <v>39</v>
      </c>
      <c r="D84" t="s">
        <v>150</v>
      </c>
      <c r="G84" s="2">
        <v>130</v>
      </c>
      <c r="H84">
        <v>9957</v>
      </c>
    </row>
    <row r="85" spans="1:8" x14ac:dyDescent="0.2">
      <c r="A85" s="1">
        <v>42658.768753240744</v>
      </c>
      <c r="B85" t="s">
        <v>54</v>
      </c>
      <c r="C85" t="s">
        <v>37</v>
      </c>
      <c r="D85" t="s">
        <v>151</v>
      </c>
      <c r="E85" t="s">
        <v>152</v>
      </c>
      <c r="G85" s="2">
        <v>170</v>
      </c>
      <c r="H85">
        <v>9787</v>
      </c>
    </row>
    <row r="86" spans="1:8" x14ac:dyDescent="0.2">
      <c r="A86" s="1">
        <v>42658.770633796295</v>
      </c>
      <c r="B86" t="s">
        <v>17</v>
      </c>
      <c r="C86" t="s">
        <v>23</v>
      </c>
      <c r="D86" t="s">
        <v>153</v>
      </c>
      <c r="E86" t="s">
        <v>17</v>
      </c>
      <c r="G86" s="2">
        <v>2500</v>
      </c>
      <c r="H86">
        <v>7287</v>
      </c>
    </row>
    <row r="87" spans="1:8" x14ac:dyDescent="0.2">
      <c r="A87" s="1">
        <v>42658.771124074075</v>
      </c>
      <c r="B87" t="s">
        <v>54</v>
      </c>
      <c r="C87" t="s">
        <v>23</v>
      </c>
      <c r="D87" t="s">
        <v>154</v>
      </c>
      <c r="G87" s="2">
        <v>240</v>
      </c>
      <c r="H87">
        <v>7047</v>
      </c>
    </row>
    <row r="88" spans="1:8" x14ac:dyDescent="0.2">
      <c r="A88" s="1">
        <v>42658.771675694443</v>
      </c>
      <c r="B88" t="s">
        <v>54</v>
      </c>
      <c r="C88" t="s">
        <v>35</v>
      </c>
      <c r="D88" t="s">
        <v>155</v>
      </c>
      <c r="G88" s="2">
        <v>38</v>
      </c>
      <c r="H88">
        <v>7009</v>
      </c>
    </row>
    <row r="89" spans="1:8" x14ac:dyDescent="0.2">
      <c r="A89" s="1">
        <v>42658.772718865737</v>
      </c>
      <c r="B89" t="s">
        <v>54</v>
      </c>
      <c r="C89" t="s">
        <v>39</v>
      </c>
      <c r="D89" t="s">
        <v>156</v>
      </c>
      <c r="G89" s="2">
        <v>100</v>
      </c>
      <c r="H89">
        <v>6909</v>
      </c>
    </row>
    <row r="90" spans="1:8" x14ac:dyDescent="0.2">
      <c r="A90" s="1">
        <v>42658.774026736108</v>
      </c>
      <c r="B90" t="s">
        <v>17</v>
      </c>
      <c r="C90" t="s">
        <v>35</v>
      </c>
      <c r="D90" t="s">
        <v>17</v>
      </c>
      <c r="E90" t="s">
        <v>157</v>
      </c>
      <c r="G90" s="2">
        <v>280</v>
      </c>
      <c r="H90">
        <v>6629</v>
      </c>
    </row>
    <row r="91" spans="1:8" x14ac:dyDescent="0.2">
      <c r="A91" s="1">
        <v>42658.774406712961</v>
      </c>
      <c r="B91" t="s">
        <v>54</v>
      </c>
      <c r="C91" t="s">
        <v>35</v>
      </c>
      <c r="D91" t="s">
        <v>158</v>
      </c>
      <c r="G91" s="2">
        <v>55</v>
      </c>
      <c r="H91">
        <v>6574</v>
      </c>
    </row>
    <row r="92" spans="1:8" x14ac:dyDescent="0.2">
      <c r="A92" s="1">
        <v>42658.77483923611</v>
      </c>
      <c r="B92" t="s">
        <v>54</v>
      </c>
      <c r="C92" t="s">
        <v>35</v>
      </c>
      <c r="D92" t="s">
        <v>159</v>
      </c>
      <c r="E92" t="s">
        <v>160</v>
      </c>
      <c r="G92" s="2">
        <v>3440</v>
      </c>
      <c r="H92">
        <v>3134</v>
      </c>
    </row>
    <row r="93" spans="1:8" x14ac:dyDescent="0.2">
      <c r="A93" s="1">
        <v>42658.775518518516</v>
      </c>
      <c r="B93" t="s">
        <v>17</v>
      </c>
      <c r="C93" t="s">
        <v>35</v>
      </c>
      <c r="D93" t="s">
        <v>161</v>
      </c>
      <c r="G93" s="2">
        <v>30</v>
      </c>
      <c r="H93">
        <v>3104</v>
      </c>
    </row>
    <row r="94" spans="1:8" x14ac:dyDescent="0.2">
      <c r="A94" s="1">
        <v>42661.718633680553</v>
      </c>
      <c r="B94" t="s">
        <v>54</v>
      </c>
      <c r="C94" t="s">
        <v>80</v>
      </c>
      <c r="D94" t="s">
        <v>10</v>
      </c>
      <c r="F94">
        <v>4350</v>
      </c>
      <c r="H94">
        <v>7454</v>
      </c>
    </row>
    <row r="95" spans="1:8" x14ac:dyDescent="0.2">
      <c r="A95" s="1">
        <v>42661.719519907405</v>
      </c>
      <c r="B95" t="s">
        <v>54</v>
      </c>
      <c r="C95" t="s">
        <v>39</v>
      </c>
      <c r="D95" t="s">
        <v>162</v>
      </c>
      <c r="G95" s="2">
        <v>80</v>
      </c>
      <c r="H95">
        <v>7374</v>
      </c>
    </row>
    <row r="96" spans="1:8" x14ac:dyDescent="0.2">
      <c r="A96" s="1">
        <v>42661.720385069442</v>
      </c>
      <c r="B96" t="s">
        <v>7</v>
      </c>
      <c r="C96" t="s">
        <v>31</v>
      </c>
      <c r="D96" t="s">
        <v>163</v>
      </c>
      <c r="G96" s="2">
        <v>100</v>
      </c>
      <c r="H96">
        <v>7274</v>
      </c>
    </row>
    <row r="97" spans="1:8" x14ac:dyDescent="0.2">
      <c r="A97" s="1">
        <v>42661.727776273146</v>
      </c>
      <c r="B97" t="s">
        <v>7</v>
      </c>
      <c r="C97" t="s">
        <v>31</v>
      </c>
      <c r="D97" t="s">
        <v>164</v>
      </c>
      <c r="E97" t="s">
        <v>165</v>
      </c>
      <c r="G97" s="2">
        <v>600</v>
      </c>
      <c r="H97">
        <v>6674</v>
      </c>
    </row>
    <row r="98" spans="1:8" x14ac:dyDescent="0.2">
      <c r="A98" s="1">
        <v>42661.731831828707</v>
      </c>
      <c r="B98" t="s">
        <v>17</v>
      </c>
      <c r="C98" t="s">
        <v>31</v>
      </c>
      <c r="D98" t="s">
        <v>166</v>
      </c>
      <c r="G98" s="2">
        <v>900</v>
      </c>
      <c r="H98">
        <v>5774</v>
      </c>
    </row>
    <row r="99" spans="1:8" x14ac:dyDescent="0.2">
      <c r="A99" s="1">
        <v>42661.735221990741</v>
      </c>
      <c r="B99" t="s">
        <v>54</v>
      </c>
      <c r="C99" t="s">
        <v>35</v>
      </c>
      <c r="D99" t="s">
        <v>167</v>
      </c>
      <c r="G99" s="2">
        <v>100</v>
      </c>
      <c r="H99">
        <v>5674</v>
      </c>
    </row>
    <row r="100" spans="1:8" x14ac:dyDescent="0.2">
      <c r="A100" s="1">
        <v>42661.738896064817</v>
      </c>
      <c r="B100" t="s">
        <v>7</v>
      </c>
      <c r="C100" t="s">
        <v>27</v>
      </c>
      <c r="D100" t="s">
        <v>168</v>
      </c>
      <c r="G100" s="2">
        <v>500</v>
      </c>
      <c r="H100">
        <v>5174</v>
      </c>
    </row>
    <row r="101" spans="1:8" x14ac:dyDescent="0.2">
      <c r="A101" s="1">
        <v>42661.740022685182</v>
      </c>
      <c r="B101" t="s">
        <v>7</v>
      </c>
      <c r="C101" t="s">
        <v>31</v>
      </c>
      <c r="D101" t="s">
        <v>170</v>
      </c>
      <c r="E101" t="s">
        <v>169</v>
      </c>
      <c r="G101" s="2">
        <v>124</v>
      </c>
      <c r="H101">
        <v>5050</v>
      </c>
    </row>
    <row r="102" spans="1:8" x14ac:dyDescent="0.2">
      <c r="A102" s="1">
        <v>42661.741505555554</v>
      </c>
      <c r="B102" t="s">
        <v>80</v>
      </c>
      <c r="C102" t="s">
        <v>80</v>
      </c>
      <c r="H102">
        <v>5050</v>
      </c>
    </row>
    <row r="103" spans="1:8" x14ac:dyDescent="0.2">
      <c r="A103" s="1">
        <v>42661.743364699076</v>
      </c>
      <c r="B103" t="s">
        <v>54</v>
      </c>
      <c r="C103" t="s">
        <v>80</v>
      </c>
      <c r="D103" t="s">
        <v>171</v>
      </c>
      <c r="E103" t="s">
        <v>17</v>
      </c>
      <c r="F103">
        <v>15000</v>
      </c>
      <c r="H103">
        <v>20050</v>
      </c>
    </row>
    <row r="104" spans="1:8" x14ac:dyDescent="0.2">
      <c r="A104" s="1">
        <v>42661.744341666665</v>
      </c>
      <c r="B104" t="s">
        <v>17</v>
      </c>
      <c r="C104" t="s">
        <v>19</v>
      </c>
      <c r="D104" t="s">
        <v>172</v>
      </c>
      <c r="G104" s="2">
        <v>3400</v>
      </c>
      <c r="H104">
        <v>16650</v>
      </c>
    </row>
    <row r="105" spans="1:8" x14ac:dyDescent="0.2">
      <c r="A105" s="1">
        <v>42661.745278703704</v>
      </c>
      <c r="B105" t="s">
        <v>54</v>
      </c>
      <c r="C105" t="s">
        <v>23</v>
      </c>
      <c r="D105" t="s">
        <v>173</v>
      </c>
      <c r="E105" t="s">
        <v>174</v>
      </c>
      <c r="G105" s="2">
        <v>25</v>
      </c>
      <c r="H105">
        <v>16625</v>
      </c>
    </row>
    <row r="106" spans="1:8" x14ac:dyDescent="0.2">
      <c r="A106" s="1">
        <v>42661.746582291664</v>
      </c>
      <c r="B106" t="s">
        <v>17</v>
      </c>
      <c r="C106" t="s">
        <v>19</v>
      </c>
      <c r="D106" t="s">
        <v>175</v>
      </c>
      <c r="G106" s="2">
        <v>3000</v>
      </c>
      <c r="H106">
        <v>13625</v>
      </c>
    </row>
    <row r="107" spans="1:8" x14ac:dyDescent="0.2">
      <c r="A107" s="1">
        <v>42661.75311273148</v>
      </c>
      <c r="B107" t="s">
        <v>54</v>
      </c>
      <c r="C107" t="s">
        <v>19</v>
      </c>
      <c r="D107" t="s">
        <v>176</v>
      </c>
      <c r="E107" t="s">
        <v>177</v>
      </c>
      <c r="G107" s="2">
        <v>8000</v>
      </c>
      <c r="H107">
        <v>5625</v>
      </c>
    </row>
    <row r="108" spans="1:8" x14ac:dyDescent="0.2">
      <c r="A108" s="1">
        <v>42663</v>
      </c>
      <c r="B108" t="s">
        <v>80</v>
      </c>
      <c r="C108" t="s">
        <v>45</v>
      </c>
      <c r="D108" t="s">
        <v>178</v>
      </c>
      <c r="F108">
        <v>39280</v>
      </c>
      <c r="H108">
        <v>44905</v>
      </c>
    </row>
    <row r="109" spans="1:8" x14ac:dyDescent="0.2">
      <c r="A109" s="1">
        <v>42663</v>
      </c>
      <c r="B109" t="s">
        <v>17</v>
      </c>
      <c r="C109" t="s">
        <v>45</v>
      </c>
      <c r="D109" t="s">
        <v>179</v>
      </c>
      <c r="E109" t="s">
        <v>180</v>
      </c>
      <c r="G109" s="2">
        <v>1200</v>
      </c>
      <c r="H109">
        <v>43705</v>
      </c>
    </row>
    <row r="110" spans="1:8" x14ac:dyDescent="0.2">
      <c r="A110" s="1">
        <v>42663</v>
      </c>
      <c r="B110" t="s">
        <v>17</v>
      </c>
      <c r="C110" t="s">
        <v>45</v>
      </c>
      <c r="D110" t="s">
        <v>181</v>
      </c>
      <c r="G110" s="2">
        <v>830</v>
      </c>
      <c r="H110">
        <v>42875</v>
      </c>
    </row>
    <row r="111" spans="1:8" x14ac:dyDescent="0.2">
      <c r="A111" s="1">
        <v>42663</v>
      </c>
      <c r="B111" t="s">
        <v>54</v>
      </c>
      <c r="C111" t="s">
        <v>31</v>
      </c>
      <c r="D111" t="s">
        <v>182</v>
      </c>
      <c r="E111" t="s">
        <v>183</v>
      </c>
      <c r="G111" s="2">
        <v>1500</v>
      </c>
      <c r="H111">
        <v>41375</v>
      </c>
    </row>
    <row r="112" spans="1:8" x14ac:dyDescent="0.2">
      <c r="A112" s="1">
        <v>42663</v>
      </c>
      <c r="B112" t="s">
        <v>17</v>
      </c>
      <c r="C112" t="s">
        <v>45</v>
      </c>
      <c r="D112" t="s">
        <v>184</v>
      </c>
      <c r="E112" t="s">
        <v>185</v>
      </c>
      <c r="G112" s="2">
        <v>1700</v>
      </c>
      <c r="H112">
        <v>39675</v>
      </c>
    </row>
    <row r="113" spans="1:8" x14ac:dyDescent="0.2">
      <c r="A113" s="1">
        <v>42663</v>
      </c>
      <c r="B113" t="s">
        <v>44</v>
      </c>
      <c r="C113" t="s">
        <v>45</v>
      </c>
      <c r="D113" t="s">
        <v>109</v>
      </c>
      <c r="E113" t="s">
        <v>186</v>
      </c>
      <c r="G113" s="2">
        <v>1500</v>
      </c>
      <c r="H113">
        <v>38175</v>
      </c>
    </row>
    <row r="114" spans="1:8" x14ac:dyDescent="0.2">
      <c r="A114" s="1">
        <v>42663</v>
      </c>
      <c r="B114" t="s">
        <v>44</v>
      </c>
      <c r="C114" t="s">
        <v>45</v>
      </c>
      <c r="D114" t="s">
        <v>109</v>
      </c>
      <c r="E114" t="s">
        <v>187</v>
      </c>
      <c r="G114" s="2">
        <v>3000</v>
      </c>
      <c r="H114">
        <v>35175</v>
      </c>
    </row>
    <row r="115" spans="1:8" x14ac:dyDescent="0.2">
      <c r="A115" s="1">
        <v>42665</v>
      </c>
      <c r="B115" t="s">
        <v>75</v>
      </c>
      <c r="C115" t="s">
        <v>45</v>
      </c>
      <c r="D115" t="s">
        <v>188</v>
      </c>
      <c r="E115" t="s">
        <v>189</v>
      </c>
      <c r="G115" s="2">
        <v>600</v>
      </c>
      <c r="H115">
        <v>34575</v>
      </c>
    </row>
    <row r="116" spans="1:8" x14ac:dyDescent="0.2">
      <c r="A116" s="1">
        <v>42665</v>
      </c>
      <c r="B116" t="s">
        <v>17</v>
      </c>
      <c r="C116" t="s">
        <v>31</v>
      </c>
      <c r="D116" t="s">
        <v>190</v>
      </c>
      <c r="E116" t="s">
        <v>191</v>
      </c>
      <c r="G116" s="2">
        <v>500</v>
      </c>
      <c r="H116">
        <v>34075</v>
      </c>
    </row>
    <row r="117" spans="1:8" x14ac:dyDescent="0.2">
      <c r="A117" s="1">
        <v>42665</v>
      </c>
      <c r="B117" t="s">
        <v>54</v>
      </c>
      <c r="C117" t="s">
        <v>45</v>
      </c>
      <c r="D117" t="s">
        <v>192</v>
      </c>
      <c r="E117" t="s">
        <v>193</v>
      </c>
      <c r="G117" s="2">
        <v>100</v>
      </c>
      <c r="H117">
        <v>33975</v>
      </c>
    </row>
    <row r="118" spans="1:8" x14ac:dyDescent="0.2">
      <c r="A118" s="1">
        <v>42667</v>
      </c>
      <c r="B118" t="s">
        <v>80</v>
      </c>
      <c r="C118" t="s">
        <v>45</v>
      </c>
      <c r="D118" t="s">
        <v>194</v>
      </c>
      <c r="F118">
        <v>2000</v>
      </c>
      <c r="H118">
        <v>35975</v>
      </c>
    </row>
    <row r="119" spans="1:8" x14ac:dyDescent="0.2">
      <c r="A119" s="1">
        <v>42667.785448032409</v>
      </c>
      <c r="B119" t="s">
        <v>7</v>
      </c>
      <c r="C119" t="s">
        <v>45</v>
      </c>
      <c r="D119" t="s">
        <v>195</v>
      </c>
      <c r="G119" s="2">
        <v>1500</v>
      </c>
      <c r="H119">
        <v>34475</v>
      </c>
    </row>
    <row r="120" spans="1:8" x14ac:dyDescent="0.2">
      <c r="A120" s="1">
        <v>42667.785843981481</v>
      </c>
      <c r="B120" t="s">
        <v>7</v>
      </c>
      <c r="C120" t="s">
        <v>39</v>
      </c>
      <c r="D120" t="s">
        <v>196</v>
      </c>
      <c r="E120" t="s">
        <v>200</v>
      </c>
      <c r="G120" s="2">
        <v>400</v>
      </c>
      <c r="H120">
        <v>34075</v>
      </c>
    </row>
    <row r="121" spans="1:8" x14ac:dyDescent="0.2">
      <c r="A121" s="1">
        <v>42667.78640902778</v>
      </c>
      <c r="B121" t="s">
        <v>54</v>
      </c>
      <c r="C121" t="s">
        <v>45</v>
      </c>
      <c r="D121" t="s">
        <v>73</v>
      </c>
      <c r="E121" t="s">
        <v>197</v>
      </c>
      <c r="G121" s="2">
        <v>90</v>
      </c>
      <c r="H121">
        <v>33985</v>
      </c>
    </row>
    <row r="122" spans="1:8" x14ac:dyDescent="0.2">
      <c r="A122" s="1">
        <v>42667.788336921294</v>
      </c>
      <c r="B122" t="s">
        <v>17</v>
      </c>
      <c r="C122" t="s">
        <v>45</v>
      </c>
      <c r="D122" t="s">
        <v>198</v>
      </c>
      <c r="G122" s="2">
        <v>600</v>
      </c>
      <c r="H122">
        <v>33385</v>
      </c>
    </row>
    <row r="123" spans="1:8" x14ac:dyDescent="0.2">
      <c r="A123" s="1">
        <v>42667.788675462965</v>
      </c>
      <c r="B123" t="s">
        <v>17</v>
      </c>
      <c r="C123" t="s">
        <v>45</v>
      </c>
      <c r="D123" t="s">
        <v>198</v>
      </c>
      <c r="E123" t="s">
        <v>199</v>
      </c>
      <c r="G123" s="2">
        <v>200</v>
      </c>
      <c r="H123">
        <v>33185</v>
      </c>
    </row>
    <row r="124" spans="1:8" x14ac:dyDescent="0.2">
      <c r="A124" s="1">
        <v>42667.789422800925</v>
      </c>
      <c r="B124" t="s">
        <v>17</v>
      </c>
      <c r="C124" t="s">
        <v>45</v>
      </c>
      <c r="D124" t="s">
        <v>190</v>
      </c>
      <c r="G124" s="2">
        <v>500</v>
      </c>
      <c r="H124">
        <v>32685</v>
      </c>
    </row>
    <row r="125" spans="1:8" x14ac:dyDescent="0.2">
      <c r="A125" s="1">
        <v>42669.724252083332</v>
      </c>
      <c r="B125" t="s">
        <v>54</v>
      </c>
      <c r="C125" t="s">
        <v>45</v>
      </c>
      <c r="D125" t="s">
        <v>201</v>
      </c>
      <c r="E125" t="s">
        <v>202</v>
      </c>
      <c r="G125" s="2">
        <v>1250</v>
      </c>
      <c r="H125">
        <v>31435</v>
      </c>
    </row>
    <row r="126" spans="1:8" x14ac:dyDescent="0.2">
      <c r="A126" s="1">
        <v>42669.725113194443</v>
      </c>
      <c r="B126" t="s">
        <v>54</v>
      </c>
      <c r="C126" t="s">
        <v>27</v>
      </c>
      <c r="D126" t="s">
        <v>203</v>
      </c>
      <c r="G126" s="2">
        <v>105</v>
      </c>
      <c r="H126">
        <v>31330</v>
      </c>
    </row>
    <row r="127" spans="1:8" x14ac:dyDescent="0.2">
      <c r="A127" s="1">
        <v>42669.725606828702</v>
      </c>
      <c r="B127" t="s">
        <v>54</v>
      </c>
      <c r="C127" t="s">
        <v>45</v>
      </c>
      <c r="D127" t="s">
        <v>204</v>
      </c>
      <c r="G127" s="2">
        <v>1682</v>
      </c>
      <c r="H127">
        <v>29648</v>
      </c>
    </row>
    <row r="128" spans="1:8" x14ac:dyDescent="0.2">
      <c r="A128" s="1">
        <v>42669.726132986114</v>
      </c>
      <c r="B128" t="s">
        <v>54</v>
      </c>
      <c r="C128" t="s">
        <v>35</v>
      </c>
      <c r="D128" t="s">
        <v>205</v>
      </c>
      <c r="E128" t="s">
        <v>206</v>
      </c>
      <c r="G128" s="2">
        <v>80</v>
      </c>
      <c r="H128">
        <v>29568</v>
      </c>
    </row>
    <row r="129" spans="1:8" x14ac:dyDescent="0.2">
      <c r="A129" s="1">
        <v>42669.726839583331</v>
      </c>
      <c r="B129" t="s">
        <v>54</v>
      </c>
      <c r="C129" t="s">
        <v>31</v>
      </c>
      <c r="D129" t="s">
        <v>207</v>
      </c>
      <c r="G129" s="2">
        <v>100</v>
      </c>
      <c r="H129">
        <v>29468</v>
      </c>
    </row>
    <row r="130" spans="1:8" x14ac:dyDescent="0.2">
      <c r="A130" s="1">
        <v>42669.727515393519</v>
      </c>
      <c r="B130" t="s">
        <v>17</v>
      </c>
      <c r="C130" t="s">
        <v>31</v>
      </c>
      <c r="D130" t="s">
        <v>208</v>
      </c>
      <c r="G130" s="2">
        <v>2500</v>
      </c>
      <c r="H130">
        <v>26968</v>
      </c>
    </row>
    <row r="131" spans="1:8" x14ac:dyDescent="0.2">
      <c r="A131" s="1">
        <v>42669.727953587964</v>
      </c>
      <c r="B131" t="s">
        <v>7</v>
      </c>
      <c r="C131" t="s">
        <v>27</v>
      </c>
      <c r="D131" t="s">
        <v>108</v>
      </c>
      <c r="G131" s="2">
        <v>540</v>
      </c>
      <c r="H131">
        <v>26428</v>
      </c>
    </row>
    <row r="132" spans="1:8" x14ac:dyDescent="0.2">
      <c r="A132" s="1">
        <v>42669.729165625002</v>
      </c>
      <c r="B132" t="s">
        <v>7</v>
      </c>
      <c r="C132" t="s">
        <v>37</v>
      </c>
      <c r="D132" t="s">
        <v>151</v>
      </c>
      <c r="E132" t="s">
        <v>209</v>
      </c>
      <c r="G132" s="2">
        <v>100</v>
      </c>
      <c r="H132">
        <v>26328</v>
      </c>
    </row>
    <row r="133" spans="1:8" x14ac:dyDescent="0.2">
      <c r="A133" s="1">
        <v>42669.730520717596</v>
      </c>
      <c r="B133" t="s">
        <v>7</v>
      </c>
      <c r="C133" t="s">
        <v>37</v>
      </c>
      <c r="D133" t="s">
        <v>210</v>
      </c>
      <c r="G133" s="2">
        <v>20</v>
      </c>
      <c r="H133">
        <v>26308</v>
      </c>
    </row>
    <row r="134" spans="1:8" x14ac:dyDescent="0.2">
      <c r="A134" s="1">
        <v>42669.731366898151</v>
      </c>
      <c r="B134" t="s">
        <v>80</v>
      </c>
      <c r="C134" t="s">
        <v>27</v>
      </c>
      <c r="D134" t="s">
        <v>211</v>
      </c>
      <c r="G134" s="2">
        <v>1020</v>
      </c>
      <c r="H134">
        <v>25288</v>
      </c>
    </row>
    <row r="135" spans="1:8" x14ac:dyDescent="0.2">
      <c r="A135" s="1">
        <v>42669.732416435188</v>
      </c>
      <c r="B135" t="s">
        <v>44</v>
      </c>
      <c r="C135" t="s">
        <v>45</v>
      </c>
      <c r="D135" t="s">
        <v>91</v>
      </c>
      <c r="E135" t="s">
        <v>92</v>
      </c>
      <c r="G135" s="2">
        <v>1000</v>
      </c>
      <c r="H135">
        <v>24288</v>
      </c>
    </row>
    <row r="136" spans="1:8" x14ac:dyDescent="0.2">
      <c r="A136" s="1">
        <v>42669.73314895833</v>
      </c>
      <c r="B136" t="s">
        <v>44</v>
      </c>
      <c r="C136" t="s">
        <v>45</v>
      </c>
      <c r="D136" t="s">
        <v>91</v>
      </c>
      <c r="E136" t="s">
        <v>212</v>
      </c>
      <c r="G136" s="2">
        <v>1000</v>
      </c>
      <c r="H136">
        <v>23288</v>
      </c>
    </row>
    <row r="137" spans="1:8" x14ac:dyDescent="0.2">
      <c r="A137" s="1">
        <v>42669.733695833333</v>
      </c>
      <c r="B137" t="s">
        <v>44</v>
      </c>
      <c r="C137" t="s">
        <v>45</v>
      </c>
      <c r="D137" t="s">
        <v>91</v>
      </c>
      <c r="E137" t="s">
        <v>213</v>
      </c>
      <c r="G137" s="2">
        <v>1500</v>
      </c>
      <c r="H137">
        <v>21788</v>
      </c>
    </row>
    <row r="138" spans="1:8" x14ac:dyDescent="0.2">
      <c r="A138" s="1">
        <v>42669.735547337965</v>
      </c>
      <c r="B138" t="s">
        <v>44</v>
      </c>
      <c r="C138" t="s">
        <v>45</v>
      </c>
      <c r="D138" t="s">
        <v>214</v>
      </c>
      <c r="E138" t="s">
        <v>215</v>
      </c>
      <c r="G138" s="2">
        <v>1500</v>
      </c>
      <c r="H138">
        <v>20288</v>
      </c>
    </row>
    <row r="139" spans="1:8" x14ac:dyDescent="0.2">
      <c r="A139" s="1">
        <v>42669.736714814811</v>
      </c>
      <c r="B139" t="s">
        <v>7</v>
      </c>
      <c r="C139" t="s">
        <v>31</v>
      </c>
      <c r="D139" t="s">
        <v>216</v>
      </c>
      <c r="G139" s="2">
        <v>50</v>
      </c>
      <c r="H139">
        <v>20238</v>
      </c>
    </row>
    <row r="140" spans="1:8" x14ac:dyDescent="0.2">
      <c r="A140" s="1">
        <v>42669.737189814812</v>
      </c>
      <c r="B140" t="s">
        <v>7</v>
      </c>
      <c r="C140" t="s">
        <v>31</v>
      </c>
      <c r="D140" t="s">
        <v>217</v>
      </c>
      <c r="G140" s="2">
        <v>60</v>
      </c>
      <c r="H140">
        <v>20178</v>
      </c>
    </row>
    <row r="141" spans="1:8" x14ac:dyDescent="0.2">
      <c r="A141" s="1">
        <v>42669.737757060182</v>
      </c>
      <c r="B141" t="s">
        <v>54</v>
      </c>
      <c r="C141" t="s">
        <v>35</v>
      </c>
      <c r="D141" t="s">
        <v>218</v>
      </c>
      <c r="G141" s="2">
        <v>100</v>
      </c>
      <c r="H141">
        <v>20078</v>
      </c>
    </row>
    <row r="142" spans="1:8" x14ac:dyDescent="0.2">
      <c r="A142" s="1">
        <v>42669.738852314818</v>
      </c>
      <c r="B142" t="s">
        <v>54</v>
      </c>
      <c r="C142" t="s">
        <v>45</v>
      </c>
      <c r="D142" t="s">
        <v>219</v>
      </c>
      <c r="E142" t="s">
        <v>220</v>
      </c>
      <c r="G142" s="2">
        <v>300</v>
      </c>
      <c r="H142">
        <v>19778</v>
      </c>
    </row>
    <row r="143" spans="1:8" x14ac:dyDescent="0.2">
      <c r="A143" s="1">
        <v>42669.742210763892</v>
      </c>
      <c r="B143" t="s">
        <v>17</v>
      </c>
      <c r="C143" t="s">
        <v>45</v>
      </c>
      <c r="D143" t="s">
        <v>221</v>
      </c>
      <c r="E143" t="s">
        <v>222</v>
      </c>
      <c r="G143" s="2">
        <v>2500</v>
      </c>
      <c r="H143">
        <v>17278</v>
      </c>
    </row>
    <row r="144" spans="1:8" x14ac:dyDescent="0.2">
      <c r="A144" s="1">
        <v>42669.755739814813</v>
      </c>
      <c r="B144" t="s">
        <v>44</v>
      </c>
      <c r="C144" t="s">
        <v>45</v>
      </c>
      <c r="D144" t="s">
        <v>109</v>
      </c>
      <c r="E144" t="s">
        <v>223</v>
      </c>
      <c r="G144" s="2">
        <v>1500</v>
      </c>
      <c r="H144">
        <v>15778</v>
      </c>
    </row>
    <row r="145" spans="1:8" x14ac:dyDescent="0.2">
      <c r="A145" s="1">
        <v>42669.756571180558</v>
      </c>
      <c r="B145" t="s">
        <v>7</v>
      </c>
      <c r="C145" t="s">
        <v>23</v>
      </c>
      <c r="D145" t="s">
        <v>224</v>
      </c>
      <c r="G145" s="2">
        <v>70</v>
      </c>
      <c r="H145">
        <v>15708</v>
      </c>
    </row>
    <row r="146" spans="1:8" x14ac:dyDescent="0.2">
      <c r="A146" s="1">
        <v>42670.620046296295</v>
      </c>
      <c r="B146" t="s">
        <v>7</v>
      </c>
      <c r="C146" t="s">
        <v>23</v>
      </c>
      <c r="D146" t="s">
        <v>225</v>
      </c>
      <c r="E146" t="s">
        <v>226</v>
      </c>
      <c r="G146" s="2">
        <v>200</v>
      </c>
      <c r="H146">
        <v>15508</v>
      </c>
    </row>
    <row r="147" spans="1:8" x14ac:dyDescent="0.2">
      <c r="A147" s="1">
        <v>42670.62761516204</v>
      </c>
      <c r="B147" t="s">
        <v>54</v>
      </c>
      <c r="C147" t="s">
        <v>45</v>
      </c>
      <c r="D147" t="s">
        <v>194</v>
      </c>
      <c r="F147">
        <v>6500</v>
      </c>
      <c r="H147">
        <v>22008</v>
      </c>
    </row>
    <row r="148" spans="1:8" x14ac:dyDescent="0.2">
      <c r="A148" s="1">
        <v>42670.629272916667</v>
      </c>
      <c r="B148" t="s">
        <v>17</v>
      </c>
      <c r="C148" t="s">
        <v>23</v>
      </c>
      <c r="D148" t="s">
        <v>227</v>
      </c>
      <c r="E148" t="s">
        <v>228</v>
      </c>
      <c r="G148" s="2">
        <v>240</v>
      </c>
      <c r="H148">
        <v>21768</v>
      </c>
    </row>
    <row r="149" spans="1:8" x14ac:dyDescent="0.2">
      <c r="A149" s="1">
        <v>42670.647181365741</v>
      </c>
      <c r="B149" t="s">
        <v>7</v>
      </c>
      <c r="C149" t="s">
        <v>23</v>
      </c>
      <c r="D149" t="s">
        <v>229</v>
      </c>
      <c r="E149" t="s">
        <v>230</v>
      </c>
      <c r="G149" s="2">
        <v>105</v>
      </c>
      <c r="H149">
        <v>21663</v>
      </c>
    </row>
    <row r="150" spans="1:8" x14ac:dyDescent="0.2">
      <c r="A150" s="1">
        <v>42670.657046064814</v>
      </c>
      <c r="B150" t="s">
        <v>7</v>
      </c>
      <c r="C150" t="s">
        <v>31</v>
      </c>
      <c r="D150" t="s">
        <v>217</v>
      </c>
      <c r="G150" s="2">
        <v>120</v>
      </c>
      <c r="H150">
        <v>21543</v>
      </c>
    </row>
    <row r="151" spans="1:8" x14ac:dyDescent="0.2">
      <c r="A151" s="1">
        <v>42670.665740046294</v>
      </c>
      <c r="B151" t="s">
        <v>7</v>
      </c>
      <c r="C151" t="s">
        <v>31</v>
      </c>
      <c r="D151" t="s">
        <v>144</v>
      </c>
      <c r="G151" s="2">
        <v>110</v>
      </c>
      <c r="H151">
        <v>21433</v>
      </c>
    </row>
    <row r="152" spans="1:8" x14ac:dyDescent="0.2">
      <c r="A152" s="1">
        <v>42670.67005335648</v>
      </c>
      <c r="B152" t="s">
        <v>7</v>
      </c>
      <c r="C152" t="s">
        <v>23</v>
      </c>
      <c r="D152" t="s">
        <v>231</v>
      </c>
      <c r="G152" s="2">
        <v>60</v>
      </c>
      <c r="H152">
        <v>21373</v>
      </c>
    </row>
    <row r="153" spans="1:8" x14ac:dyDescent="0.2">
      <c r="A153" s="1">
        <v>42670.722668171293</v>
      </c>
      <c r="B153" t="s">
        <v>54</v>
      </c>
      <c r="C153" t="s">
        <v>45</v>
      </c>
      <c r="D153" t="s">
        <v>232</v>
      </c>
      <c r="E153" t="s">
        <v>233</v>
      </c>
      <c r="G153" s="2">
        <v>500</v>
      </c>
      <c r="H153">
        <v>20873</v>
      </c>
    </row>
    <row r="154" spans="1:8" x14ac:dyDescent="0.2">
      <c r="A154" s="1">
        <v>42671.38258020833</v>
      </c>
      <c r="B154" t="s">
        <v>17</v>
      </c>
      <c r="C154" t="s">
        <v>45</v>
      </c>
      <c r="D154" t="s">
        <v>221</v>
      </c>
      <c r="E154" t="s">
        <v>234</v>
      </c>
      <c r="G154" s="2">
        <v>700</v>
      </c>
      <c r="H154">
        <v>20173</v>
      </c>
    </row>
    <row r="155" spans="1:8" x14ac:dyDescent="0.2">
      <c r="A155" s="1">
        <v>42671.635135185184</v>
      </c>
      <c r="B155" t="s">
        <v>7</v>
      </c>
      <c r="C155" t="s">
        <v>35</v>
      </c>
      <c r="D155" t="s">
        <v>235</v>
      </c>
      <c r="E155" t="s">
        <v>236</v>
      </c>
      <c r="G155" s="2">
        <v>100</v>
      </c>
      <c r="H155">
        <v>20073</v>
      </c>
    </row>
    <row r="156" spans="1:8" x14ac:dyDescent="0.2">
      <c r="A156" s="1">
        <v>42671.639779861114</v>
      </c>
      <c r="B156" t="s">
        <v>17</v>
      </c>
      <c r="C156" t="s">
        <v>35</v>
      </c>
      <c r="D156" t="s">
        <v>151</v>
      </c>
      <c r="E156" t="s">
        <v>237</v>
      </c>
      <c r="G156" s="2">
        <v>180</v>
      </c>
      <c r="H156">
        <v>19893</v>
      </c>
    </row>
    <row r="157" spans="1:8" x14ac:dyDescent="0.2">
      <c r="A157" s="1">
        <v>42671.641142824075</v>
      </c>
      <c r="B157" t="s">
        <v>54</v>
      </c>
      <c r="C157" t="s">
        <v>45</v>
      </c>
      <c r="D157" t="s">
        <v>238</v>
      </c>
      <c r="E157" t="s">
        <v>239</v>
      </c>
      <c r="G157" s="2">
        <v>1809</v>
      </c>
      <c r="H157">
        <v>18084</v>
      </c>
    </row>
    <row r="158" spans="1:8" x14ac:dyDescent="0.2">
      <c r="A158" s="1" t="s">
        <v>240</v>
      </c>
    </row>
    <row r="159" spans="1:8" x14ac:dyDescent="0.2">
      <c r="A159" s="1" t="s">
        <v>47</v>
      </c>
    </row>
    <row r="160" spans="1:8" x14ac:dyDescent="0.2">
      <c r="A160" s="1">
        <v>42675.708005092594</v>
      </c>
      <c r="D160" t="s">
        <v>10</v>
      </c>
      <c r="F160">
        <v>36000</v>
      </c>
      <c r="H160">
        <v>36000</v>
      </c>
    </row>
    <row r="161" spans="1:8" x14ac:dyDescent="0.2">
      <c r="A161" s="1">
        <v>42675.710943055557</v>
      </c>
      <c r="B161" t="s">
        <v>17</v>
      </c>
      <c r="C161" t="s">
        <v>19</v>
      </c>
      <c r="D161" t="s">
        <v>241</v>
      </c>
      <c r="G161" s="2">
        <v>21600</v>
      </c>
      <c r="H161">
        <v>14400</v>
      </c>
    </row>
    <row r="162" spans="1:8" x14ac:dyDescent="0.2">
      <c r="A162" s="1">
        <v>42675.711694675927</v>
      </c>
      <c r="B162" t="s">
        <v>18</v>
      </c>
      <c r="C162" t="s">
        <v>27</v>
      </c>
      <c r="D162" t="s">
        <v>242</v>
      </c>
      <c r="E162" t="s">
        <v>243</v>
      </c>
      <c r="G162" s="2">
        <v>540</v>
      </c>
      <c r="H162">
        <v>13860</v>
      </c>
    </row>
    <row r="163" spans="1:8" x14ac:dyDescent="0.2">
      <c r="A163" s="1">
        <v>42675.712205902775</v>
      </c>
      <c r="B163" t="s">
        <v>7</v>
      </c>
      <c r="C163" t="s">
        <v>23</v>
      </c>
      <c r="D163" t="s">
        <v>244</v>
      </c>
      <c r="G163" s="2">
        <v>95</v>
      </c>
      <c r="H163">
        <v>13765</v>
      </c>
    </row>
    <row r="164" spans="1:8" x14ac:dyDescent="0.2">
      <c r="A164" s="1">
        <v>42675.712813773149</v>
      </c>
      <c r="B164" t="s">
        <v>54</v>
      </c>
      <c r="C164" t="s">
        <v>19</v>
      </c>
      <c r="D164" t="s">
        <v>245</v>
      </c>
      <c r="G164" s="2">
        <v>200</v>
      </c>
      <c r="H164">
        <v>13565</v>
      </c>
    </row>
    <row r="165" spans="1:8" x14ac:dyDescent="0.2">
      <c r="A165" s="1">
        <v>42675.713409490738</v>
      </c>
      <c r="B165" t="s">
        <v>44</v>
      </c>
      <c r="C165" t="s">
        <v>45</v>
      </c>
      <c r="D165" t="s">
        <v>246</v>
      </c>
      <c r="E165" t="s">
        <v>247</v>
      </c>
      <c r="G165" s="2">
        <v>1500</v>
      </c>
      <c r="H165">
        <v>12065</v>
      </c>
    </row>
    <row r="166" spans="1:8" x14ac:dyDescent="0.2">
      <c r="A166" s="1">
        <v>42675.713943981478</v>
      </c>
      <c r="B166" t="s">
        <v>54</v>
      </c>
      <c r="C166" t="s">
        <v>19</v>
      </c>
      <c r="D166" t="s">
        <v>248</v>
      </c>
      <c r="G166" s="2">
        <v>2200</v>
      </c>
      <c r="H166">
        <v>9865</v>
      </c>
    </row>
    <row r="167" spans="1:8" x14ac:dyDescent="0.2">
      <c r="A167" s="1">
        <v>42675.715092592596</v>
      </c>
      <c r="B167" t="s">
        <v>54</v>
      </c>
      <c r="C167" t="s">
        <v>23</v>
      </c>
      <c r="D167" t="s">
        <v>207</v>
      </c>
      <c r="G167" s="2">
        <v>60</v>
      </c>
      <c r="H167">
        <v>9805</v>
      </c>
    </row>
    <row r="168" spans="1:8" x14ac:dyDescent="0.2">
      <c r="A168" s="1">
        <v>42675.716243287039</v>
      </c>
      <c r="B168" t="s">
        <v>44</v>
      </c>
      <c r="C168" t="s">
        <v>45</v>
      </c>
      <c r="D168" t="s">
        <v>246</v>
      </c>
      <c r="E168" t="s">
        <v>249</v>
      </c>
      <c r="G168" s="2">
        <v>2500</v>
      </c>
      <c r="H168">
        <v>7305</v>
      </c>
    </row>
    <row r="169" spans="1:8" x14ac:dyDescent="0.2">
      <c r="A169" s="1">
        <v>42675.717782870372</v>
      </c>
      <c r="B169" t="s">
        <v>17</v>
      </c>
      <c r="C169" t="s">
        <v>31</v>
      </c>
      <c r="D169" t="s">
        <v>250</v>
      </c>
      <c r="G169" s="2">
        <v>450</v>
      </c>
      <c r="H169">
        <v>6855</v>
      </c>
    </row>
    <row r="170" spans="1:8" x14ac:dyDescent="0.2">
      <c r="A170" s="1">
        <v>42675.740328125001</v>
      </c>
      <c r="B170" t="s">
        <v>54</v>
      </c>
      <c r="C170" t="s">
        <v>31</v>
      </c>
      <c r="D170" t="s">
        <v>139</v>
      </c>
      <c r="E170" t="s">
        <v>251</v>
      </c>
      <c r="G170" s="2">
        <v>300</v>
      </c>
      <c r="H170">
        <v>6555</v>
      </c>
    </row>
    <row r="171" spans="1:8" x14ac:dyDescent="0.2">
      <c r="A171" s="1">
        <v>42676.684985300926</v>
      </c>
      <c r="B171" t="s">
        <v>17</v>
      </c>
      <c r="C171" t="s">
        <v>31</v>
      </c>
      <c r="D171" t="s">
        <v>252</v>
      </c>
      <c r="G171" s="2">
        <v>200</v>
      </c>
      <c r="H171">
        <v>6355</v>
      </c>
    </row>
    <row r="172" spans="1:8" x14ac:dyDescent="0.2">
      <c r="A172" s="1">
        <v>42676.685470949073</v>
      </c>
      <c r="B172" t="s">
        <v>17</v>
      </c>
      <c r="C172" t="s">
        <v>45</v>
      </c>
      <c r="D172" t="s">
        <v>253</v>
      </c>
      <c r="E172" t="s">
        <v>254</v>
      </c>
      <c r="G172" s="2">
        <v>160</v>
      </c>
      <c r="H172">
        <v>6195</v>
      </c>
    </row>
    <row r="173" spans="1:8" x14ac:dyDescent="0.2">
      <c r="A173" s="1">
        <v>42676.687243055552</v>
      </c>
      <c r="B173" t="s">
        <v>17</v>
      </c>
      <c r="C173" t="s">
        <v>31</v>
      </c>
      <c r="D173" t="s">
        <v>255</v>
      </c>
      <c r="G173" s="2">
        <v>1000</v>
      </c>
      <c r="H173">
        <v>5195</v>
      </c>
    </row>
    <row r="174" spans="1:8" x14ac:dyDescent="0.2">
      <c r="A174" s="1">
        <v>42676.68803553241</v>
      </c>
      <c r="B174" t="s">
        <v>17</v>
      </c>
      <c r="C174" t="s">
        <v>31</v>
      </c>
      <c r="D174" t="s">
        <v>256</v>
      </c>
      <c r="E174" t="s">
        <v>257</v>
      </c>
      <c r="G174" s="2">
        <v>2100</v>
      </c>
      <c r="H174">
        <v>3095</v>
      </c>
    </row>
    <row r="175" spans="1:8" x14ac:dyDescent="0.2">
      <c r="A175" s="1">
        <v>42676.68868958333</v>
      </c>
      <c r="B175" t="s">
        <v>7</v>
      </c>
      <c r="C175" t="s">
        <v>31</v>
      </c>
      <c r="D175" t="s">
        <v>258</v>
      </c>
      <c r="G175" s="2">
        <v>15</v>
      </c>
      <c r="H175">
        <v>3080</v>
      </c>
    </row>
    <row r="176" spans="1:8" x14ac:dyDescent="0.2">
      <c r="A176" s="1">
        <v>42676.69031539352</v>
      </c>
      <c r="B176" t="s">
        <v>17</v>
      </c>
      <c r="C176" t="s">
        <v>37</v>
      </c>
      <c r="D176" t="s">
        <v>259</v>
      </c>
      <c r="E176" t="s">
        <v>260</v>
      </c>
      <c r="G176" s="2">
        <v>100</v>
      </c>
      <c r="H176">
        <v>2980</v>
      </c>
    </row>
    <row r="177" spans="1:8" x14ac:dyDescent="0.2">
      <c r="A177" s="1">
        <v>42676.691489004632</v>
      </c>
      <c r="B177" t="s">
        <v>44</v>
      </c>
      <c r="C177" t="s">
        <v>45</v>
      </c>
      <c r="D177" t="s">
        <v>261</v>
      </c>
      <c r="E177" t="s">
        <v>262</v>
      </c>
      <c r="G177" s="2">
        <v>1000</v>
      </c>
      <c r="H177">
        <v>1980</v>
      </c>
    </row>
    <row r="178" spans="1:8" x14ac:dyDescent="0.2">
      <c r="A178" s="1">
        <v>42676.702879166667</v>
      </c>
      <c r="B178" t="s">
        <v>44</v>
      </c>
      <c r="C178" t="s">
        <v>45</v>
      </c>
      <c r="D178" t="s">
        <v>263</v>
      </c>
      <c r="E178" t="s">
        <v>264</v>
      </c>
      <c r="G178" s="2">
        <v>1000</v>
      </c>
      <c r="H178">
        <v>980</v>
      </c>
    </row>
    <row r="179" spans="1:8" x14ac:dyDescent="0.2">
      <c r="A179" s="1">
        <v>42676.706040046294</v>
      </c>
      <c r="B179" t="s">
        <v>54</v>
      </c>
      <c r="C179" t="s">
        <v>45</v>
      </c>
      <c r="D179" t="s">
        <v>265</v>
      </c>
      <c r="E179" t="s">
        <v>266</v>
      </c>
      <c r="G179" s="2">
        <v>980</v>
      </c>
      <c r="H179">
        <v>0</v>
      </c>
    </row>
    <row r="180" spans="1:8" x14ac:dyDescent="0.2">
      <c r="A180" s="1">
        <v>42677.745822222219</v>
      </c>
      <c r="B180" t="s">
        <v>54</v>
      </c>
      <c r="C180" t="s">
        <v>45</v>
      </c>
      <c r="D180" t="s">
        <v>267</v>
      </c>
      <c r="F180">
        <v>14925</v>
      </c>
      <c r="H180">
        <v>14925</v>
      </c>
    </row>
    <row r="181" spans="1:8" x14ac:dyDescent="0.2">
      <c r="A181" s="1">
        <v>42677.746624884261</v>
      </c>
      <c r="B181" t="s">
        <v>54</v>
      </c>
      <c r="C181" t="s">
        <v>35</v>
      </c>
      <c r="D181" t="s">
        <v>268</v>
      </c>
      <c r="G181" s="2">
        <v>500</v>
      </c>
      <c r="H181">
        <v>14425</v>
      </c>
    </row>
    <row r="182" spans="1:8" x14ac:dyDescent="0.2">
      <c r="A182" s="1">
        <v>42677.747439236111</v>
      </c>
      <c r="B182" t="s">
        <v>54</v>
      </c>
      <c r="C182" t="s">
        <v>23</v>
      </c>
      <c r="D182" t="s">
        <v>269</v>
      </c>
      <c r="E182" t="s">
        <v>270</v>
      </c>
      <c r="G182" s="2">
        <v>20</v>
      </c>
      <c r="H182">
        <v>14405</v>
      </c>
    </row>
    <row r="183" spans="1:8" x14ac:dyDescent="0.2">
      <c r="A183" s="1">
        <v>42677.748393055554</v>
      </c>
      <c r="B183" t="s">
        <v>7</v>
      </c>
      <c r="C183" t="s">
        <v>35</v>
      </c>
      <c r="D183" t="s">
        <v>271</v>
      </c>
      <c r="E183" t="s">
        <v>272</v>
      </c>
      <c r="G183" s="2">
        <v>300</v>
      </c>
      <c r="H183">
        <v>14105</v>
      </c>
    </row>
    <row r="184" spans="1:8" x14ac:dyDescent="0.2">
      <c r="A184" s="1">
        <v>42677.74904722222</v>
      </c>
      <c r="B184" t="s">
        <v>17</v>
      </c>
      <c r="C184" t="s">
        <v>31</v>
      </c>
      <c r="D184" t="s">
        <v>273</v>
      </c>
      <c r="E184" t="s">
        <v>274</v>
      </c>
      <c r="G184" s="2">
        <v>130</v>
      </c>
      <c r="H184">
        <v>13975</v>
      </c>
    </row>
    <row r="185" spans="1:8" x14ac:dyDescent="0.2">
      <c r="A185" s="1">
        <v>42677.749482870371</v>
      </c>
      <c r="B185" t="s">
        <v>80</v>
      </c>
      <c r="C185" t="s">
        <v>80</v>
      </c>
      <c r="H185">
        <v>13975</v>
      </c>
    </row>
    <row r="186" spans="1:8" x14ac:dyDescent="0.2">
      <c r="A186" s="1">
        <v>42678.690962731482</v>
      </c>
      <c r="B186" t="s">
        <v>44</v>
      </c>
      <c r="C186" t="s">
        <v>19</v>
      </c>
      <c r="D186" t="s">
        <v>109</v>
      </c>
      <c r="E186" t="s">
        <v>275</v>
      </c>
      <c r="G186" s="2">
        <v>3000</v>
      </c>
      <c r="H186">
        <v>10975</v>
      </c>
    </row>
    <row r="187" spans="1:8" x14ac:dyDescent="0.2">
      <c r="A187" s="1">
        <v>42678.691393402776</v>
      </c>
      <c r="B187" t="s">
        <v>44</v>
      </c>
      <c r="C187" t="s">
        <v>19</v>
      </c>
      <c r="D187" t="s">
        <v>109</v>
      </c>
      <c r="E187" t="s">
        <v>276</v>
      </c>
      <c r="G187" s="2">
        <v>1500</v>
      </c>
      <c r="H187">
        <v>9475</v>
      </c>
    </row>
    <row r="188" spans="1:8" x14ac:dyDescent="0.2">
      <c r="A188" s="1">
        <v>42679.741913194448</v>
      </c>
      <c r="B188" t="s">
        <v>75</v>
      </c>
      <c r="C188" t="s">
        <v>45</v>
      </c>
      <c r="D188" t="s">
        <v>277</v>
      </c>
      <c r="E188" t="s">
        <v>123</v>
      </c>
      <c r="G188" s="2">
        <v>500</v>
      </c>
      <c r="H188">
        <v>8975</v>
      </c>
    </row>
    <row r="189" spans="1:8" x14ac:dyDescent="0.2">
      <c r="A189" s="1">
        <v>42679.743000578703</v>
      </c>
      <c r="B189" t="s">
        <v>75</v>
      </c>
      <c r="C189" t="s">
        <v>45</v>
      </c>
      <c r="D189" t="s">
        <v>278</v>
      </c>
      <c r="E189" t="s">
        <v>123</v>
      </c>
      <c r="G189" s="2">
        <v>500</v>
      </c>
      <c r="H189">
        <v>8475</v>
      </c>
    </row>
    <row r="190" spans="1:8" x14ac:dyDescent="0.2">
      <c r="A190" s="1">
        <v>42679.74375277778</v>
      </c>
      <c r="B190" t="s">
        <v>75</v>
      </c>
      <c r="C190" t="s">
        <v>45</v>
      </c>
      <c r="D190" t="s">
        <v>279</v>
      </c>
      <c r="E190" t="s">
        <v>123</v>
      </c>
      <c r="G190" s="2">
        <v>1000</v>
      </c>
      <c r="H190">
        <v>7475</v>
      </c>
    </row>
    <row r="191" spans="1:8" x14ac:dyDescent="0.2">
      <c r="A191" s="1">
        <v>42679.747632060185</v>
      </c>
      <c r="B191" t="s">
        <v>75</v>
      </c>
      <c r="C191" t="s">
        <v>45</v>
      </c>
      <c r="D191" t="s">
        <v>98</v>
      </c>
      <c r="G191" s="2">
        <v>900</v>
      </c>
      <c r="H191">
        <v>6575</v>
      </c>
    </row>
    <row r="192" spans="1:8" x14ac:dyDescent="0.2">
      <c r="A192" s="1">
        <v>42679.748354629628</v>
      </c>
      <c r="B192" t="s">
        <v>54</v>
      </c>
      <c r="C192" t="s">
        <v>35</v>
      </c>
      <c r="D192" t="s">
        <v>280</v>
      </c>
      <c r="G192" s="2">
        <v>100</v>
      </c>
      <c r="H192">
        <v>6475</v>
      </c>
    </row>
    <row r="193" spans="1:8" x14ac:dyDescent="0.2">
      <c r="A193" s="1">
        <v>42679.748924074076</v>
      </c>
      <c r="B193" t="s">
        <v>54</v>
      </c>
      <c r="C193" t="s">
        <v>31</v>
      </c>
      <c r="D193" t="s">
        <v>281</v>
      </c>
      <c r="G193" s="2">
        <v>195</v>
      </c>
      <c r="H193">
        <v>6280</v>
      </c>
    </row>
    <row r="194" spans="1:8" x14ac:dyDescent="0.2">
      <c r="A194" s="1">
        <v>42679.75133958333</v>
      </c>
      <c r="B194" t="s">
        <v>7</v>
      </c>
      <c r="C194" t="s">
        <v>31</v>
      </c>
      <c r="D194" t="s">
        <v>151</v>
      </c>
      <c r="E194" t="s">
        <v>282</v>
      </c>
      <c r="G194" s="2">
        <v>160</v>
      </c>
      <c r="H194">
        <v>6120</v>
      </c>
    </row>
    <row r="195" spans="1:8" x14ac:dyDescent="0.2">
      <c r="A195" s="1">
        <v>42679.751360879629</v>
      </c>
      <c r="B195" t="s">
        <v>80</v>
      </c>
      <c r="C195" t="s">
        <v>80</v>
      </c>
      <c r="H195">
        <v>6120</v>
      </c>
    </row>
    <row r="196" spans="1:8" x14ac:dyDescent="0.2">
      <c r="A196" s="1">
        <v>42679.752117708333</v>
      </c>
      <c r="B196" t="s">
        <v>17</v>
      </c>
      <c r="C196" t="s">
        <v>31</v>
      </c>
      <c r="D196" t="s">
        <v>216</v>
      </c>
      <c r="E196" t="s">
        <v>283</v>
      </c>
      <c r="G196" s="2">
        <v>120</v>
      </c>
      <c r="H196">
        <v>6000</v>
      </c>
    </row>
    <row r="197" spans="1:8" x14ac:dyDescent="0.2">
      <c r="A197" s="1">
        <v>42679.752897916667</v>
      </c>
      <c r="B197" t="s">
        <v>17</v>
      </c>
      <c r="C197" t="s">
        <v>31</v>
      </c>
      <c r="D197" t="s">
        <v>216</v>
      </c>
      <c r="E197" t="s">
        <v>284</v>
      </c>
      <c r="G197" s="2">
        <v>90</v>
      </c>
      <c r="H197">
        <v>5910</v>
      </c>
    </row>
    <row r="198" spans="1:8" x14ac:dyDescent="0.2">
      <c r="A198" s="1">
        <v>42679.772402893519</v>
      </c>
      <c r="B198" t="s">
        <v>44</v>
      </c>
      <c r="C198" t="s">
        <v>45</v>
      </c>
      <c r="D198" t="s">
        <v>109</v>
      </c>
      <c r="E198" t="s">
        <v>285</v>
      </c>
      <c r="G198" s="2">
        <v>1500</v>
      </c>
      <c r="H198">
        <v>4410</v>
      </c>
    </row>
    <row r="199" spans="1:8" x14ac:dyDescent="0.2">
      <c r="A199" s="1">
        <v>42679.77351053241</v>
      </c>
      <c r="B199" t="s">
        <v>17</v>
      </c>
      <c r="C199" t="s">
        <v>31</v>
      </c>
      <c r="D199" t="s">
        <v>286</v>
      </c>
      <c r="G199" s="2">
        <v>1200</v>
      </c>
      <c r="H199">
        <v>3210</v>
      </c>
    </row>
    <row r="200" spans="1:8" x14ac:dyDescent="0.2">
      <c r="A200" s="1">
        <v>42679.774725115742</v>
      </c>
      <c r="B200" t="s">
        <v>7</v>
      </c>
      <c r="C200" t="s">
        <v>39</v>
      </c>
      <c r="D200" t="s">
        <v>287</v>
      </c>
      <c r="E200">
        <v>20</v>
      </c>
      <c r="G200" s="2">
        <v>200</v>
      </c>
      <c r="H200">
        <v>3010</v>
      </c>
    </row>
    <row r="201" spans="1:8" x14ac:dyDescent="0.2">
      <c r="A201" s="1">
        <v>42679.777390509262</v>
      </c>
      <c r="B201" t="s">
        <v>7</v>
      </c>
      <c r="C201" t="s">
        <v>39</v>
      </c>
      <c r="D201" t="s">
        <v>288</v>
      </c>
      <c r="G201" s="2">
        <v>800</v>
      </c>
      <c r="H201">
        <v>2210</v>
      </c>
    </row>
    <row r="202" spans="1:8" x14ac:dyDescent="0.2">
      <c r="A202" s="1">
        <v>42679.778943518519</v>
      </c>
      <c r="B202" t="s">
        <v>54</v>
      </c>
      <c r="C202" t="s">
        <v>45</v>
      </c>
      <c r="D202" t="s">
        <v>289</v>
      </c>
      <c r="F202">
        <v>3000</v>
      </c>
      <c r="H202">
        <v>5210</v>
      </c>
    </row>
    <row r="203" spans="1:8" x14ac:dyDescent="0.2">
      <c r="A203" s="1">
        <v>42679.779622569447</v>
      </c>
      <c r="B203" t="s">
        <v>17</v>
      </c>
      <c r="C203" t="s">
        <v>31</v>
      </c>
      <c r="D203" t="s">
        <v>290</v>
      </c>
      <c r="G203" s="2">
        <v>3000</v>
      </c>
      <c r="H203">
        <v>2210</v>
      </c>
    </row>
    <row r="204" spans="1:8" x14ac:dyDescent="0.2">
      <c r="A204" s="1" t="s">
        <v>47</v>
      </c>
      <c r="B204" t="s">
        <v>80</v>
      </c>
      <c r="C204" t="s">
        <v>80</v>
      </c>
      <c r="H204">
        <v>2210</v>
      </c>
    </row>
    <row r="205" spans="1:8" x14ac:dyDescent="0.2">
      <c r="A205" s="1">
        <v>42681.694549884262</v>
      </c>
      <c r="B205" t="s">
        <v>80</v>
      </c>
      <c r="C205" t="s">
        <v>80</v>
      </c>
      <c r="D205" t="s">
        <v>10</v>
      </c>
      <c r="F205">
        <v>18075</v>
      </c>
      <c r="H205">
        <v>20285</v>
      </c>
    </row>
    <row r="206" spans="1:8" x14ac:dyDescent="0.2">
      <c r="A206" s="1">
        <v>42681.710115046299</v>
      </c>
      <c r="B206" t="s">
        <v>54</v>
      </c>
      <c r="C206" t="s">
        <v>33</v>
      </c>
      <c r="D206" t="s">
        <v>64</v>
      </c>
      <c r="G206" s="2">
        <v>450</v>
      </c>
      <c r="H206">
        <v>19835</v>
      </c>
    </row>
    <row r="207" spans="1:8" x14ac:dyDescent="0.2">
      <c r="A207" s="1">
        <v>42681.711842129633</v>
      </c>
      <c r="B207" t="s">
        <v>54</v>
      </c>
      <c r="C207" t="s">
        <v>23</v>
      </c>
      <c r="D207" t="s">
        <v>291</v>
      </c>
      <c r="G207" s="2">
        <v>300</v>
      </c>
      <c r="H207">
        <v>19535</v>
      </c>
    </row>
    <row r="208" spans="1:8" x14ac:dyDescent="0.2">
      <c r="A208" s="1">
        <v>42682.713179976854</v>
      </c>
      <c r="B208" t="s">
        <v>54</v>
      </c>
      <c r="C208" t="s">
        <v>31</v>
      </c>
      <c r="D208" t="s">
        <v>281</v>
      </c>
      <c r="E208" t="s">
        <v>292</v>
      </c>
      <c r="G208" s="2">
        <v>195</v>
      </c>
      <c r="H208">
        <v>19340</v>
      </c>
    </row>
    <row r="209" spans="1:8" x14ac:dyDescent="0.2">
      <c r="A209" s="1">
        <v>42682.71396828704</v>
      </c>
      <c r="B209" t="s">
        <v>17</v>
      </c>
      <c r="C209" t="s">
        <v>23</v>
      </c>
      <c r="D209" t="s">
        <v>293</v>
      </c>
      <c r="E209" t="s">
        <v>294</v>
      </c>
      <c r="G209" s="2">
        <v>5000</v>
      </c>
      <c r="H209">
        <v>14340</v>
      </c>
    </row>
    <row r="210" spans="1:8" x14ac:dyDescent="0.2">
      <c r="A210" s="1">
        <v>42682.715033680557</v>
      </c>
      <c r="B210" t="s">
        <v>17</v>
      </c>
      <c r="C210" t="s">
        <v>31</v>
      </c>
      <c r="D210" t="s">
        <v>295</v>
      </c>
      <c r="G210" s="2">
        <v>200</v>
      </c>
      <c r="H210">
        <v>14140</v>
      </c>
    </row>
    <row r="211" spans="1:8" x14ac:dyDescent="0.2">
      <c r="A211" s="1">
        <v>42682.715826736108</v>
      </c>
      <c r="B211" t="s">
        <v>44</v>
      </c>
      <c r="C211" t="s">
        <v>45</v>
      </c>
      <c r="D211" t="s">
        <v>109</v>
      </c>
      <c r="E211" t="s">
        <v>296</v>
      </c>
      <c r="G211" s="2">
        <v>2000</v>
      </c>
      <c r="H211">
        <v>12140</v>
      </c>
    </row>
    <row r="212" spans="1:8" x14ac:dyDescent="0.2">
      <c r="A212" s="1">
        <v>42682.716538194443</v>
      </c>
      <c r="B212" t="s">
        <v>75</v>
      </c>
      <c r="C212" t="s">
        <v>45</v>
      </c>
      <c r="D212" t="s">
        <v>297</v>
      </c>
      <c r="E212" t="s">
        <v>298</v>
      </c>
      <c r="G212" s="2">
        <v>7000</v>
      </c>
      <c r="H212">
        <v>5140</v>
      </c>
    </row>
    <row r="213" spans="1:8" x14ac:dyDescent="0.2">
      <c r="A213" s="1">
        <v>42682.742588078705</v>
      </c>
      <c r="B213" t="s">
        <v>54</v>
      </c>
      <c r="C213" t="s">
        <v>45</v>
      </c>
      <c r="D213" t="s">
        <v>299</v>
      </c>
      <c r="E213" t="s">
        <v>300</v>
      </c>
      <c r="G213" s="2">
        <v>4000</v>
      </c>
      <c r="H213">
        <v>1140</v>
      </c>
    </row>
    <row r="214" spans="1:8" x14ac:dyDescent="0.2">
      <c r="A214" s="1">
        <v>42683.726181828701</v>
      </c>
      <c r="B214" t="s">
        <v>54</v>
      </c>
      <c r="C214" t="s">
        <v>45</v>
      </c>
      <c r="D214" t="s">
        <v>301</v>
      </c>
      <c r="E214" t="s">
        <v>302</v>
      </c>
      <c r="F214">
        <v>2385</v>
      </c>
      <c r="H214">
        <v>3525</v>
      </c>
    </row>
    <row r="215" spans="1:8" x14ac:dyDescent="0.2">
      <c r="A215" s="1">
        <v>42683.727187731478</v>
      </c>
      <c r="B215" t="s">
        <v>54</v>
      </c>
      <c r="C215" t="s">
        <v>45</v>
      </c>
      <c r="D215" t="s">
        <v>304</v>
      </c>
      <c r="E215" t="s">
        <v>303</v>
      </c>
      <c r="F215">
        <v>1900</v>
      </c>
      <c r="H215">
        <v>5425</v>
      </c>
    </row>
    <row r="216" spans="1:8" x14ac:dyDescent="0.2">
      <c r="A216" s="1">
        <v>42683.728811458335</v>
      </c>
      <c r="B216" t="s">
        <v>7</v>
      </c>
      <c r="C216" t="s">
        <v>27</v>
      </c>
      <c r="D216" t="s">
        <v>108</v>
      </c>
      <c r="E216" t="s">
        <v>305</v>
      </c>
      <c r="G216" s="2">
        <v>540</v>
      </c>
      <c r="H216">
        <v>4885</v>
      </c>
    </row>
    <row r="217" spans="1:8" x14ac:dyDescent="0.2">
      <c r="A217" s="1">
        <v>42683.729336805554</v>
      </c>
      <c r="B217" t="s">
        <v>7</v>
      </c>
      <c r="C217" t="s">
        <v>27</v>
      </c>
      <c r="D217" t="s">
        <v>306</v>
      </c>
      <c r="G217" s="2">
        <v>100</v>
      </c>
      <c r="H217">
        <v>4785</v>
      </c>
    </row>
    <row r="218" spans="1:8" x14ac:dyDescent="0.2">
      <c r="A218" s="1">
        <v>42683.730053356485</v>
      </c>
      <c r="B218" t="s">
        <v>54</v>
      </c>
      <c r="C218" t="s">
        <v>45</v>
      </c>
      <c r="D218" t="s">
        <v>307</v>
      </c>
      <c r="E218" t="s">
        <v>308</v>
      </c>
      <c r="G218" s="2">
        <v>500</v>
      </c>
      <c r="H218">
        <v>4285</v>
      </c>
    </row>
    <row r="219" spans="1:8" x14ac:dyDescent="0.2">
      <c r="A219" s="1">
        <v>42683.731214814812</v>
      </c>
      <c r="B219" t="s">
        <v>7</v>
      </c>
      <c r="C219" t="s">
        <v>35</v>
      </c>
      <c r="D219" t="s">
        <v>309</v>
      </c>
      <c r="E219" t="s">
        <v>310</v>
      </c>
      <c r="G219" s="2">
        <v>80</v>
      </c>
      <c r="H219">
        <v>4205</v>
      </c>
    </row>
    <row r="220" spans="1:8" x14ac:dyDescent="0.2">
      <c r="A220" s="1">
        <v>42683.731753819447</v>
      </c>
      <c r="B220" t="s">
        <v>54</v>
      </c>
      <c r="C220" t="s">
        <v>31</v>
      </c>
      <c r="D220" t="s">
        <v>311</v>
      </c>
      <c r="G220" s="2">
        <v>600</v>
      </c>
      <c r="H220">
        <v>3605</v>
      </c>
    </row>
    <row r="221" spans="1:8" x14ac:dyDescent="0.2">
      <c r="A221" s="1">
        <v>42683.732603472221</v>
      </c>
      <c r="B221" t="s">
        <v>7</v>
      </c>
      <c r="C221" t="s">
        <v>23</v>
      </c>
      <c r="D221" t="s">
        <v>312</v>
      </c>
      <c r="E221" t="s">
        <v>313</v>
      </c>
      <c r="G221" s="2">
        <v>500</v>
      </c>
      <c r="H221">
        <v>3105</v>
      </c>
    </row>
    <row r="222" spans="1:8" x14ac:dyDescent="0.2">
      <c r="A222" s="1">
        <v>42683.734152083336</v>
      </c>
      <c r="B222" t="s">
        <v>17</v>
      </c>
      <c r="C222" t="s">
        <v>23</v>
      </c>
      <c r="D222" t="s">
        <v>314</v>
      </c>
      <c r="G222" s="2">
        <v>1500</v>
      </c>
      <c r="H222">
        <v>1605</v>
      </c>
    </row>
    <row r="223" spans="1:8" x14ac:dyDescent="0.2">
      <c r="A223" s="1">
        <v>42683.735065972221</v>
      </c>
      <c r="B223" t="s">
        <v>17</v>
      </c>
      <c r="C223" t="s">
        <v>23</v>
      </c>
      <c r="D223" t="s">
        <v>315</v>
      </c>
      <c r="E223" t="s">
        <v>316</v>
      </c>
      <c r="G223" s="2">
        <v>400</v>
      </c>
      <c r="H223">
        <v>1205</v>
      </c>
    </row>
    <row r="224" spans="1:8" x14ac:dyDescent="0.2">
      <c r="A224" s="1">
        <v>42683.736214351855</v>
      </c>
      <c r="B224" t="s">
        <v>54</v>
      </c>
      <c r="C224" t="s">
        <v>45</v>
      </c>
      <c r="D224" t="s">
        <v>317</v>
      </c>
      <c r="G224" s="2">
        <v>1000</v>
      </c>
      <c r="H224">
        <v>205</v>
      </c>
    </row>
    <row r="225" spans="1:8" x14ac:dyDescent="0.2">
      <c r="A225" s="1">
        <v>42684.726038425928</v>
      </c>
      <c r="B225" t="s">
        <v>7</v>
      </c>
      <c r="C225" t="s">
        <v>31</v>
      </c>
      <c r="D225" t="s">
        <v>318</v>
      </c>
      <c r="G225" s="2">
        <v>100</v>
      </c>
      <c r="H225">
        <v>105</v>
      </c>
    </row>
    <row r="226" spans="1:8" x14ac:dyDescent="0.2">
      <c r="A226" s="1">
        <v>42684.726765624997</v>
      </c>
      <c r="B226" t="s">
        <v>54</v>
      </c>
      <c r="C226" t="s">
        <v>45</v>
      </c>
      <c r="D226" t="s">
        <v>267</v>
      </c>
      <c r="E226" t="s">
        <v>319</v>
      </c>
      <c r="F226">
        <v>10000</v>
      </c>
      <c r="H226">
        <v>10105</v>
      </c>
    </row>
    <row r="227" spans="1:8" x14ac:dyDescent="0.2">
      <c r="A227" s="1">
        <v>42684.727457523149</v>
      </c>
      <c r="B227" t="s">
        <v>54</v>
      </c>
      <c r="C227" t="s">
        <v>45</v>
      </c>
      <c r="D227" t="s">
        <v>320</v>
      </c>
      <c r="G227" s="2">
        <v>600</v>
      </c>
      <c r="H227">
        <v>9505</v>
      </c>
    </row>
    <row r="228" spans="1:8" x14ac:dyDescent="0.2">
      <c r="A228" s="1">
        <v>42684.727941203702</v>
      </c>
      <c r="B228" t="s">
        <v>17</v>
      </c>
      <c r="C228" t="s">
        <v>19</v>
      </c>
      <c r="D228" t="s">
        <v>241</v>
      </c>
      <c r="G228" s="2">
        <v>5200</v>
      </c>
      <c r="H228">
        <v>4305</v>
      </c>
    </row>
    <row r="229" spans="1:8" x14ac:dyDescent="0.2">
      <c r="A229" s="1">
        <v>42684.72844363426</v>
      </c>
      <c r="B229" t="s">
        <v>54</v>
      </c>
      <c r="C229" t="s">
        <v>45</v>
      </c>
      <c r="D229" t="s">
        <v>321</v>
      </c>
      <c r="E229" t="s">
        <v>322</v>
      </c>
      <c r="G229" s="2">
        <v>200</v>
      </c>
      <c r="H229">
        <v>4105</v>
      </c>
    </row>
    <row r="230" spans="1:8" x14ac:dyDescent="0.2">
      <c r="A230" s="1">
        <v>42684.73475729167</v>
      </c>
      <c r="B230" t="s">
        <v>75</v>
      </c>
      <c r="C230" t="s">
        <v>45</v>
      </c>
      <c r="D230" t="s">
        <v>323</v>
      </c>
      <c r="G230" s="2">
        <v>300</v>
      </c>
      <c r="H230">
        <v>3805</v>
      </c>
    </row>
    <row r="231" spans="1:8" x14ac:dyDescent="0.2">
      <c r="A231" s="1">
        <v>42684.739207986109</v>
      </c>
      <c r="B231" t="s">
        <v>75</v>
      </c>
      <c r="C231" t="s">
        <v>45</v>
      </c>
      <c r="D231" t="s">
        <v>324</v>
      </c>
      <c r="G231" s="2">
        <v>3000</v>
      </c>
      <c r="H231">
        <v>805</v>
      </c>
    </row>
    <row r="232" spans="1:8" x14ac:dyDescent="0.2">
      <c r="A232" s="1">
        <v>42685.45275798611</v>
      </c>
      <c r="B232" t="s">
        <v>54</v>
      </c>
      <c r="C232" t="s">
        <v>45</v>
      </c>
      <c r="D232" t="s">
        <v>325</v>
      </c>
      <c r="E232" t="s">
        <v>327</v>
      </c>
      <c r="F232">
        <v>5000</v>
      </c>
      <c r="H232">
        <v>5805</v>
      </c>
    </row>
    <row r="233" spans="1:8" x14ac:dyDescent="0.2">
      <c r="A233" s="1">
        <v>42685.453489004627</v>
      </c>
      <c r="B233" t="s">
        <v>44</v>
      </c>
      <c r="C233" t="s">
        <v>45</v>
      </c>
      <c r="D233" t="s">
        <v>91</v>
      </c>
      <c r="E233" t="s">
        <v>326</v>
      </c>
      <c r="G233" s="2">
        <v>4000</v>
      </c>
      <c r="H233">
        <v>1805</v>
      </c>
    </row>
    <row r="234" spans="1:8" x14ac:dyDescent="0.2">
      <c r="A234" s="1">
        <v>42685.480721527776</v>
      </c>
      <c r="B234" t="s">
        <v>54</v>
      </c>
      <c r="C234" t="s">
        <v>45</v>
      </c>
      <c r="D234" t="s">
        <v>325</v>
      </c>
      <c r="E234" t="s">
        <v>328</v>
      </c>
      <c r="F234">
        <v>5000</v>
      </c>
      <c r="H234">
        <v>6805</v>
      </c>
    </row>
    <row r="235" spans="1:8" x14ac:dyDescent="0.2">
      <c r="A235" s="1">
        <v>42685.481698263888</v>
      </c>
      <c r="B235" t="s">
        <v>44</v>
      </c>
      <c r="C235" t="s">
        <v>45</v>
      </c>
      <c r="D235" t="s">
        <v>109</v>
      </c>
      <c r="E235" t="s">
        <v>186</v>
      </c>
      <c r="G235" s="2">
        <v>2400</v>
      </c>
      <c r="H235">
        <v>4405</v>
      </c>
    </row>
    <row r="236" spans="1:8" x14ac:dyDescent="0.2">
      <c r="A236" s="1">
        <v>42685.482004861115</v>
      </c>
      <c r="B236" t="s">
        <v>44</v>
      </c>
      <c r="C236" t="s">
        <v>45</v>
      </c>
      <c r="D236" t="s">
        <v>109</v>
      </c>
      <c r="E236" t="s">
        <v>329</v>
      </c>
      <c r="G236" s="2">
        <v>1500</v>
      </c>
      <c r="H236">
        <v>2905</v>
      </c>
    </row>
    <row r="237" spans="1:8" x14ac:dyDescent="0.2">
      <c r="A237" s="1">
        <v>42685.482790162037</v>
      </c>
      <c r="B237" t="s">
        <v>44</v>
      </c>
      <c r="C237" t="s">
        <v>45</v>
      </c>
      <c r="D237" t="s">
        <v>109</v>
      </c>
      <c r="E237" t="s">
        <v>330</v>
      </c>
      <c r="G237" s="2">
        <v>200</v>
      </c>
      <c r="H237">
        <v>2705</v>
      </c>
    </row>
    <row r="238" spans="1:8" x14ac:dyDescent="0.2">
      <c r="A238" s="1">
        <v>42685.75547546296</v>
      </c>
      <c r="B238" t="s">
        <v>54</v>
      </c>
      <c r="C238" t="s">
        <v>45</v>
      </c>
      <c r="D238" t="s">
        <v>131</v>
      </c>
      <c r="E238" t="s">
        <v>187</v>
      </c>
      <c r="G238" s="2">
        <v>300</v>
      </c>
      <c r="H238">
        <v>2405</v>
      </c>
    </row>
    <row r="239" spans="1:8" x14ac:dyDescent="0.2">
      <c r="A239" s="1">
        <v>42686.743211805559</v>
      </c>
      <c r="B239" t="s">
        <v>7</v>
      </c>
      <c r="C239" t="s">
        <v>23</v>
      </c>
      <c r="D239" t="s">
        <v>216</v>
      </c>
      <c r="E239" t="s">
        <v>331</v>
      </c>
      <c r="G239" s="2">
        <v>360</v>
      </c>
      <c r="H239">
        <v>2045</v>
      </c>
    </row>
    <row r="240" spans="1:8" x14ac:dyDescent="0.2">
      <c r="A240" s="1">
        <v>42686.743884027775</v>
      </c>
      <c r="B240" t="s">
        <v>54</v>
      </c>
      <c r="C240" t="s">
        <v>23</v>
      </c>
      <c r="D240" t="s">
        <v>139</v>
      </c>
      <c r="E240" t="s">
        <v>222</v>
      </c>
      <c r="H240">
        <v>2045</v>
      </c>
    </row>
    <row r="241" spans="1:8" x14ac:dyDescent="0.2">
      <c r="A241" s="1">
        <v>42686.744832638891</v>
      </c>
      <c r="B241" t="s">
        <v>75</v>
      </c>
      <c r="C241" t="s">
        <v>45</v>
      </c>
      <c r="D241" t="s">
        <v>332</v>
      </c>
      <c r="E241" t="s">
        <v>333</v>
      </c>
      <c r="G241" s="2">
        <v>1000</v>
      </c>
      <c r="H241">
        <v>1045</v>
      </c>
    </row>
    <row r="242" spans="1:8" x14ac:dyDescent="0.2">
      <c r="A242" s="1">
        <v>42686.762350231482</v>
      </c>
      <c r="B242" t="s">
        <v>54</v>
      </c>
      <c r="C242" t="s">
        <v>45</v>
      </c>
      <c r="D242" t="s">
        <v>337</v>
      </c>
      <c r="E242" t="s">
        <v>338</v>
      </c>
      <c r="F242">
        <v>6000</v>
      </c>
      <c r="H242">
        <v>7045</v>
      </c>
    </row>
    <row r="243" spans="1:8" x14ac:dyDescent="0.2">
      <c r="A243" s="1">
        <v>42686.763026620371</v>
      </c>
      <c r="B243" t="s">
        <v>54</v>
      </c>
      <c r="C243" t="s">
        <v>23</v>
      </c>
      <c r="D243" t="s">
        <v>164</v>
      </c>
      <c r="G243" s="2">
        <v>500</v>
      </c>
      <c r="H243">
        <v>6545</v>
      </c>
    </row>
    <row r="244" spans="1:8" x14ac:dyDescent="0.2">
      <c r="A244" s="1">
        <v>42686.763705324076</v>
      </c>
      <c r="B244" t="s">
        <v>54</v>
      </c>
      <c r="C244" t="s">
        <v>23</v>
      </c>
      <c r="D244" t="s">
        <v>335</v>
      </c>
      <c r="G244" s="2">
        <v>150</v>
      </c>
      <c r="H244">
        <v>6395</v>
      </c>
    </row>
    <row r="245" spans="1:8" x14ac:dyDescent="0.2">
      <c r="A245" s="1">
        <v>42686.764397800929</v>
      </c>
      <c r="B245" t="s">
        <v>17</v>
      </c>
      <c r="C245" t="s">
        <v>23</v>
      </c>
      <c r="D245" t="s">
        <v>96</v>
      </c>
      <c r="G245" s="2">
        <v>2500</v>
      </c>
      <c r="H245">
        <v>3895</v>
      </c>
    </row>
    <row r="246" spans="1:8" x14ac:dyDescent="0.2">
      <c r="A246" s="1">
        <v>42686.765381249999</v>
      </c>
      <c r="B246" t="s">
        <v>54</v>
      </c>
      <c r="C246" t="s">
        <v>23</v>
      </c>
      <c r="D246" t="s">
        <v>339</v>
      </c>
      <c r="E246" t="s">
        <v>334</v>
      </c>
      <c r="G246" s="2">
        <v>210</v>
      </c>
      <c r="H246">
        <v>3685</v>
      </c>
    </row>
    <row r="247" spans="1:8" x14ac:dyDescent="0.2">
      <c r="A247" s="1">
        <v>42686.766231712965</v>
      </c>
      <c r="B247" t="s">
        <v>17</v>
      </c>
      <c r="C247" t="s">
        <v>45</v>
      </c>
      <c r="D247" t="s">
        <v>336</v>
      </c>
      <c r="E247" t="s">
        <v>222</v>
      </c>
      <c r="G247" s="2">
        <v>350</v>
      </c>
      <c r="H247">
        <v>3335</v>
      </c>
    </row>
    <row r="248" spans="1:8" x14ac:dyDescent="0.2">
      <c r="A248" s="1">
        <v>42686.767641087965</v>
      </c>
      <c r="B248" t="s">
        <v>17</v>
      </c>
      <c r="C248" t="s">
        <v>45</v>
      </c>
      <c r="D248" t="s">
        <v>253</v>
      </c>
      <c r="E248" t="s">
        <v>222</v>
      </c>
      <c r="G248" s="2">
        <v>2100</v>
      </c>
      <c r="H248">
        <v>1235</v>
      </c>
    </row>
    <row r="249" spans="1:8" x14ac:dyDescent="0.2">
      <c r="A249" s="1">
        <v>42686.769413310183</v>
      </c>
      <c r="B249" t="s">
        <v>7</v>
      </c>
      <c r="C249" t="s">
        <v>23</v>
      </c>
      <c r="D249" t="s">
        <v>151</v>
      </c>
      <c r="E249" t="s">
        <v>340</v>
      </c>
      <c r="G249" s="2">
        <v>150</v>
      </c>
      <c r="H249">
        <v>1085</v>
      </c>
    </row>
    <row r="250" spans="1:8" x14ac:dyDescent="0.2">
      <c r="A250" s="1">
        <v>42686.770756944446</v>
      </c>
      <c r="B250" t="s">
        <v>7</v>
      </c>
      <c r="C250" t="s">
        <v>23</v>
      </c>
      <c r="D250" t="s">
        <v>341</v>
      </c>
      <c r="E250" t="s">
        <v>342</v>
      </c>
      <c r="G250" s="2">
        <v>220</v>
      </c>
      <c r="H250">
        <v>865</v>
      </c>
    </row>
    <row r="251" spans="1:8" x14ac:dyDescent="0.2">
      <c r="A251" s="1" t="s">
        <v>47</v>
      </c>
      <c r="B251" t="s">
        <v>80</v>
      </c>
      <c r="C251" t="s">
        <v>80</v>
      </c>
    </row>
    <row r="252" spans="1:8" x14ac:dyDescent="0.2">
      <c r="A252" s="1">
        <v>42688.721246064815</v>
      </c>
      <c r="C252" t="s">
        <v>80</v>
      </c>
      <c r="D252" t="s">
        <v>10</v>
      </c>
      <c r="F252">
        <v>10000</v>
      </c>
      <c r="H252">
        <v>10000</v>
      </c>
    </row>
    <row r="253" spans="1:8" x14ac:dyDescent="0.2">
      <c r="A253" s="1">
        <v>42688.726756597222</v>
      </c>
      <c r="B253" t="s">
        <v>17</v>
      </c>
      <c r="C253" t="s">
        <v>31</v>
      </c>
      <c r="D253" t="s">
        <v>286</v>
      </c>
      <c r="E253" t="s">
        <v>343</v>
      </c>
      <c r="G253" s="2">
        <v>2500</v>
      </c>
      <c r="H253">
        <v>7500</v>
      </c>
    </row>
    <row r="254" spans="1:8" x14ac:dyDescent="0.2">
      <c r="A254" s="1">
        <v>42688.727506134259</v>
      </c>
      <c r="B254" t="s">
        <v>7</v>
      </c>
      <c r="C254" t="s">
        <v>31</v>
      </c>
      <c r="D254" t="s">
        <v>344</v>
      </c>
      <c r="G254" s="2">
        <v>54</v>
      </c>
      <c r="H254">
        <v>7446</v>
      </c>
    </row>
    <row r="255" spans="1:8" x14ac:dyDescent="0.2">
      <c r="A255" s="1">
        <v>42688.728210995374</v>
      </c>
      <c r="B255" t="s">
        <v>7</v>
      </c>
      <c r="C255" t="s">
        <v>35</v>
      </c>
      <c r="D255" t="s">
        <v>345</v>
      </c>
      <c r="E255" t="s">
        <v>346</v>
      </c>
      <c r="G255" s="2">
        <v>100</v>
      </c>
      <c r="H255">
        <v>7346</v>
      </c>
    </row>
    <row r="256" spans="1:8" x14ac:dyDescent="0.2">
      <c r="A256" s="1">
        <v>42689.664614120367</v>
      </c>
      <c r="B256" t="s">
        <v>44</v>
      </c>
      <c r="C256" t="s">
        <v>45</v>
      </c>
      <c r="D256" t="s">
        <v>91</v>
      </c>
      <c r="E256" t="s">
        <v>347</v>
      </c>
      <c r="G256" s="2">
        <v>1000</v>
      </c>
      <c r="H256">
        <v>6346</v>
      </c>
    </row>
    <row r="257" spans="1:8" x14ac:dyDescent="0.2">
      <c r="A257" s="1">
        <v>42689.665894791666</v>
      </c>
      <c r="B257" t="s">
        <v>17</v>
      </c>
      <c r="C257" t="s">
        <v>37</v>
      </c>
      <c r="D257" t="s">
        <v>348</v>
      </c>
      <c r="E257" t="s">
        <v>349</v>
      </c>
      <c r="G257" s="2">
        <v>140</v>
      </c>
      <c r="H257">
        <v>6206</v>
      </c>
    </row>
    <row r="258" spans="1:8" x14ac:dyDescent="0.2">
      <c r="A258" s="1">
        <v>42689.685549305555</v>
      </c>
      <c r="B258" t="s">
        <v>7</v>
      </c>
      <c r="C258" t="s">
        <v>27</v>
      </c>
      <c r="D258" t="s">
        <v>350</v>
      </c>
      <c r="G258" s="2">
        <v>80</v>
      </c>
      <c r="H258">
        <v>6126</v>
      </c>
    </row>
    <row r="259" spans="1:8" x14ac:dyDescent="0.2">
      <c r="A259" s="1">
        <v>42689.735262037037</v>
      </c>
      <c r="B259" t="s">
        <v>54</v>
      </c>
      <c r="C259" t="s">
        <v>45</v>
      </c>
      <c r="D259" t="s">
        <v>351</v>
      </c>
      <c r="G259" s="2">
        <v>200</v>
      </c>
      <c r="H259">
        <v>5926</v>
      </c>
    </row>
    <row r="260" spans="1:8" x14ac:dyDescent="0.2">
      <c r="A260" s="1">
        <v>42689.746413425928</v>
      </c>
      <c r="B260" t="s">
        <v>44</v>
      </c>
      <c r="C260" t="s">
        <v>45</v>
      </c>
      <c r="D260" t="s">
        <v>352</v>
      </c>
      <c r="E260" t="s">
        <v>353</v>
      </c>
      <c r="G260" s="2">
        <v>1500</v>
      </c>
      <c r="H260">
        <v>4426</v>
      </c>
    </row>
    <row r="261" spans="1:8" x14ac:dyDescent="0.2">
      <c r="A261" s="1">
        <v>42689.762263310186</v>
      </c>
      <c r="B261" t="s">
        <v>75</v>
      </c>
      <c r="C261" t="s">
        <v>45</v>
      </c>
      <c r="D261" t="s">
        <v>123</v>
      </c>
      <c r="E261" t="s">
        <v>354</v>
      </c>
      <c r="G261" s="2">
        <v>200</v>
      </c>
      <c r="H261">
        <v>4226</v>
      </c>
    </row>
    <row r="262" spans="1:8" x14ac:dyDescent="0.2">
      <c r="A262" s="1">
        <v>42690.729613888892</v>
      </c>
      <c r="B262" t="s">
        <v>17</v>
      </c>
      <c r="C262" t="s">
        <v>31</v>
      </c>
      <c r="D262" t="s">
        <v>355</v>
      </c>
      <c r="G262" s="2">
        <v>150</v>
      </c>
      <c r="H262">
        <v>4076</v>
      </c>
    </row>
    <row r="263" spans="1:8" x14ac:dyDescent="0.2">
      <c r="A263" s="1">
        <v>42690.73092361111</v>
      </c>
      <c r="B263" t="s">
        <v>54</v>
      </c>
      <c r="C263" t="s">
        <v>35</v>
      </c>
      <c r="D263" t="s">
        <v>164</v>
      </c>
      <c r="E263" t="s">
        <v>356</v>
      </c>
      <c r="G263" s="2">
        <v>600</v>
      </c>
      <c r="H263">
        <v>3476</v>
      </c>
    </row>
    <row r="264" spans="1:8" x14ac:dyDescent="0.2">
      <c r="A264" s="1">
        <v>42690.731874884259</v>
      </c>
      <c r="B264" t="s">
        <v>7</v>
      </c>
      <c r="C264" t="s">
        <v>31</v>
      </c>
      <c r="D264" t="s">
        <v>357</v>
      </c>
      <c r="G264" s="2">
        <v>125</v>
      </c>
      <c r="H264">
        <v>3351</v>
      </c>
    </row>
    <row r="265" spans="1:8" x14ac:dyDescent="0.2">
      <c r="A265" s="1">
        <v>42690.732372106482</v>
      </c>
      <c r="B265" t="s">
        <v>54</v>
      </c>
      <c r="C265" t="s">
        <v>45</v>
      </c>
      <c r="D265" t="s">
        <v>358</v>
      </c>
      <c r="G265" s="2">
        <v>320</v>
      </c>
      <c r="H265">
        <v>3031</v>
      </c>
    </row>
    <row r="266" spans="1:8" x14ac:dyDescent="0.2">
      <c r="A266" s="1">
        <v>42690.733946759261</v>
      </c>
      <c r="B266" t="s">
        <v>17</v>
      </c>
      <c r="C266" t="s">
        <v>35</v>
      </c>
      <c r="D266" t="s">
        <v>359</v>
      </c>
      <c r="G266" s="2">
        <v>800</v>
      </c>
      <c r="H266">
        <v>2231</v>
      </c>
    </row>
    <row r="267" spans="1:8" x14ac:dyDescent="0.2">
      <c r="A267" s="1">
        <v>42690.734884143516</v>
      </c>
      <c r="B267" t="s">
        <v>7</v>
      </c>
      <c r="C267" t="s">
        <v>35</v>
      </c>
      <c r="D267" t="s">
        <v>360</v>
      </c>
      <c r="G267" s="2">
        <v>120</v>
      </c>
      <c r="H267">
        <v>2111</v>
      </c>
    </row>
    <row r="268" spans="1:8" x14ac:dyDescent="0.2">
      <c r="A268" s="1">
        <v>42690.735447106483</v>
      </c>
      <c r="B268" t="s">
        <v>7</v>
      </c>
      <c r="C268" t="s">
        <v>35</v>
      </c>
      <c r="D268" t="s">
        <v>361</v>
      </c>
      <c r="G268" s="2">
        <v>100</v>
      </c>
      <c r="H268">
        <v>2011</v>
      </c>
    </row>
    <row r="269" spans="1:8" x14ac:dyDescent="0.2">
      <c r="A269" s="1">
        <v>42690.744515046295</v>
      </c>
      <c r="B269" t="s">
        <v>54</v>
      </c>
      <c r="C269" t="s">
        <v>45</v>
      </c>
      <c r="D269" t="s">
        <v>131</v>
      </c>
      <c r="E269" t="s">
        <v>223</v>
      </c>
      <c r="G269" s="2">
        <v>300</v>
      </c>
      <c r="H269">
        <v>1711</v>
      </c>
    </row>
    <row r="270" spans="1:8" x14ac:dyDescent="0.2">
      <c r="A270" s="1">
        <v>42691.693641435188</v>
      </c>
      <c r="B270" t="s">
        <v>17</v>
      </c>
      <c r="C270" t="s">
        <v>31</v>
      </c>
      <c r="D270" t="s">
        <v>355</v>
      </c>
      <c r="G270" s="2">
        <v>100</v>
      </c>
      <c r="H270">
        <v>1611</v>
      </c>
    </row>
    <row r="271" spans="1:8" x14ac:dyDescent="0.2">
      <c r="A271" s="1">
        <v>42691.69487777778</v>
      </c>
      <c r="B271" t="s">
        <v>17</v>
      </c>
      <c r="C271" t="s">
        <v>23</v>
      </c>
      <c r="D271" t="s">
        <v>362</v>
      </c>
      <c r="G271" s="2">
        <v>250</v>
      </c>
      <c r="H271">
        <v>1361</v>
      </c>
    </row>
    <row r="272" spans="1:8" x14ac:dyDescent="0.2">
      <c r="A272" s="1">
        <v>42691.696181597224</v>
      </c>
      <c r="B272" t="s">
        <v>17</v>
      </c>
      <c r="C272" t="s">
        <v>23</v>
      </c>
      <c r="D272" t="s">
        <v>363</v>
      </c>
      <c r="G272" s="2">
        <v>500</v>
      </c>
      <c r="H272">
        <v>861</v>
      </c>
    </row>
    <row r="273" spans="1:8" x14ac:dyDescent="0.2">
      <c r="A273" s="1">
        <v>42691.701223958335</v>
      </c>
      <c r="B273" t="s">
        <v>17</v>
      </c>
      <c r="C273" t="s">
        <v>23</v>
      </c>
      <c r="D273" t="s">
        <v>364</v>
      </c>
      <c r="E273" t="s">
        <v>331</v>
      </c>
      <c r="G273" s="2">
        <v>350</v>
      </c>
      <c r="H273">
        <v>511</v>
      </c>
    </row>
    <row r="274" spans="1:8" x14ac:dyDescent="0.2">
      <c r="A274" s="1">
        <v>42691.706646643521</v>
      </c>
      <c r="B274" t="s">
        <v>17</v>
      </c>
      <c r="C274" t="s">
        <v>36</v>
      </c>
      <c r="D274" t="s">
        <v>365</v>
      </c>
      <c r="G274" s="2">
        <v>150</v>
      </c>
      <c r="H274">
        <v>361</v>
      </c>
    </row>
    <row r="275" spans="1:8" x14ac:dyDescent="0.2">
      <c r="A275" s="1">
        <v>42691.718599537038</v>
      </c>
      <c r="B275" t="s">
        <v>17</v>
      </c>
      <c r="C275" t="s">
        <v>31</v>
      </c>
      <c r="D275" t="s">
        <v>366</v>
      </c>
      <c r="E275" t="s">
        <v>367</v>
      </c>
      <c r="G275" s="2">
        <v>200</v>
      </c>
      <c r="H275">
        <v>161</v>
      </c>
    </row>
    <row r="276" spans="1:8" x14ac:dyDescent="0.2">
      <c r="A276" s="1">
        <v>42693.753470370371</v>
      </c>
      <c r="B276" t="s">
        <v>54</v>
      </c>
      <c r="C276" t="s">
        <v>23</v>
      </c>
      <c r="D276" t="s">
        <v>162</v>
      </c>
      <c r="G276" s="2">
        <v>60</v>
      </c>
      <c r="H276">
        <v>101</v>
      </c>
    </row>
    <row r="277" spans="1:8" x14ac:dyDescent="0.2">
      <c r="A277" s="1">
        <v>42693.761889699075</v>
      </c>
      <c r="B277" t="s">
        <v>54</v>
      </c>
      <c r="C277" t="s">
        <v>45</v>
      </c>
      <c r="D277" t="s">
        <v>337</v>
      </c>
      <c r="E277" t="s">
        <v>368</v>
      </c>
      <c r="F277">
        <v>13000</v>
      </c>
      <c r="H277">
        <v>13101</v>
      </c>
    </row>
    <row r="278" spans="1:8" x14ac:dyDescent="0.2">
      <c r="A278" s="1">
        <v>42693.762476851851</v>
      </c>
      <c r="B278" t="s">
        <v>44</v>
      </c>
      <c r="C278" t="s">
        <v>45</v>
      </c>
      <c r="D278" t="s">
        <v>109</v>
      </c>
      <c r="E278" t="s">
        <v>369</v>
      </c>
      <c r="G278" s="2">
        <v>2000</v>
      </c>
      <c r="H278">
        <v>11101</v>
      </c>
    </row>
    <row r="279" spans="1:8" x14ac:dyDescent="0.2">
      <c r="A279" s="1">
        <v>42693.762853935186</v>
      </c>
      <c r="B279" t="s">
        <v>44</v>
      </c>
      <c r="C279" t="s">
        <v>45</v>
      </c>
      <c r="D279" t="s">
        <v>109</v>
      </c>
      <c r="E279" t="s">
        <v>370</v>
      </c>
      <c r="G279" s="2">
        <v>2500</v>
      </c>
      <c r="H279">
        <v>8601</v>
      </c>
    </row>
    <row r="280" spans="1:8" x14ac:dyDescent="0.2">
      <c r="A280" s="1">
        <v>42693.763439467592</v>
      </c>
      <c r="B280" t="s">
        <v>75</v>
      </c>
      <c r="C280" t="s">
        <v>45</v>
      </c>
      <c r="D280" t="s">
        <v>371</v>
      </c>
      <c r="E280" t="s">
        <v>372</v>
      </c>
      <c r="G280" s="2">
        <v>3000</v>
      </c>
      <c r="H280">
        <v>5601</v>
      </c>
    </row>
    <row r="281" spans="1:8" x14ac:dyDescent="0.2">
      <c r="A281" s="1">
        <v>42693.763862500004</v>
      </c>
      <c r="B281" t="s">
        <v>54</v>
      </c>
      <c r="C281" t="s">
        <v>23</v>
      </c>
      <c r="D281" t="s">
        <v>291</v>
      </c>
      <c r="E281" t="s">
        <v>222</v>
      </c>
      <c r="G281" s="2">
        <v>250</v>
      </c>
      <c r="H281">
        <v>5351</v>
      </c>
    </row>
    <row r="282" spans="1:8" x14ac:dyDescent="0.2">
      <c r="A282" s="1">
        <v>42693.764280787036</v>
      </c>
      <c r="B282" t="s">
        <v>17</v>
      </c>
      <c r="C282" t="s">
        <v>23</v>
      </c>
      <c r="D282" t="s">
        <v>373</v>
      </c>
      <c r="E282" t="s">
        <v>374</v>
      </c>
      <c r="G282" s="2">
        <v>2000</v>
      </c>
      <c r="H282">
        <v>3351</v>
      </c>
    </row>
    <row r="283" spans="1:8" x14ac:dyDescent="0.2">
      <c r="A283" s="1">
        <v>42693.765086111111</v>
      </c>
      <c r="B283" t="s">
        <v>17</v>
      </c>
      <c r="C283" t="s">
        <v>23</v>
      </c>
      <c r="D283" t="s">
        <v>375</v>
      </c>
      <c r="E283" t="s">
        <v>376</v>
      </c>
      <c r="G283" s="2">
        <v>1200</v>
      </c>
      <c r="H283">
        <v>2151</v>
      </c>
    </row>
    <row r="284" spans="1:8" x14ac:dyDescent="0.2">
      <c r="A284" s="1">
        <v>42693.765741203701</v>
      </c>
      <c r="B284" t="s">
        <v>17</v>
      </c>
      <c r="C284" t="s">
        <v>31</v>
      </c>
      <c r="D284" t="s">
        <v>377</v>
      </c>
      <c r="E284" t="s">
        <v>378</v>
      </c>
      <c r="G284" s="2">
        <v>1200</v>
      </c>
      <c r="H284">
        <v>951</v>
      </c>
    </row>
    <row r="285" spans="1:8" x14ac:dyDescent="0.2">
      <c r="A285" s="1">
        <v>42695.772596296294</v>
      </c>
      <c r="B285" t="s">
        <v>80</v>
      </c>
      <c r="C285" t="s">
        <v>45</v>
      </c>
      <c r="H285">
        <v>951</v>
      </c>
    </row>
    <row r="286" spans="1:8" x14ac:dyDescent="0.2">
      <c r="A286" s="1" t="s">
        <v>47</v>
      </c>
    </row>
    <row r="287" spans="1:8" x14ac:dyDescent="0.2">
      <c r="A287" s="1">
        <v>42695.772753472222</v>
      </c>
      <c r="D287" t="s">
        <v>10</v>
      </c>
      <c r="F287">
        <v>23000</v>
      </c>
      <c r="H287">
        <v>23000</v>
      </c>
    </row>
    <row r="288" spans="1:8" x14ac:dyDescent="0.2">
      <c r="A288" s="1">
        <v>42695.774055092596</v>
      </c>
      <c r="B288" t="s">
        <v>7</v>
      </c>
      <c r="C288" t="s">
        <v>23</v>
      </c>
      <c r="D288" t="s">
        <v>379</v>
      </c>
      <c r="E288" t="s">
        <v>310</v>
      </c>
      <c r="G288" s="2">
        <v>80</v>
      </c>
      <c r="H288">
        <v>22920</v>
      </c>
    </row>
    <row r="289" spans="1:8" x14ac:dyDescent="0.2">
      <c r="A289" s="1">
        <v>42695.774627199076</v>
      </c>
      <c r="B289" t="s">
        <v>7</v>
      </c>
      <c r="C289" t="s">
        <v>27</v>
      </c>
      <c r="D289" t="s">
        <v>380</v>
      </c>
      <c r="E289" t="s">
        <v>381</v>
      </c>
      <c r="G289" s="2">
        <v>100</v>
      </c>
      <c r="H289">
        <v>22820</v>
      </c>
    </row>
    <row r="290" spans="1:8" x14ac:dyDescent="0.2">
      <c r="A290" s="1">
        <v>42696.754218634262</v>
      </c>
      <c r="B290" t="s">
        <v>7</v>
      </c>
      <c r="C290" t="s">
        <v>37</v>
      </c>
      <c r="D290" t="s">
        <v>151</v>
      </c>
      <c r="E290" t="s">
        <v>165</v>
      </c>
      <c r="G290" s="2">
        <v>230</v>
      </c>
      <c r="H290">
        <v>22590</v>
      </c>
    </row>
    <row r="291" spans="1:8" x14ac:dyDescent="0.2">
      <c r="A291" s="1">
        <v>42696.755100231479</v>
      </c>
      <c r="B291" t="s">
        <v>54</v>
      </c>
      <c r="C291" t="s">
        <v>45</v>
      </c>
      <c r="D291" t="s">
        <v>382</v>
      </c>
      <c r="G291" s="2">
        <v>1030</v>
      </c>
      <c r="H291">
        <v>21560</v>
      </c>
    </row>
    <row r="292" spans="1:8" x14ac:dyDescent="0.2">
      <c r="A292" s="1">
        <v>42696.756137268516</v>
      </c>
      <c r="B292" t="s">
        <v>54</v>
      </c>
      <c r="C292" t="s">
        <v>37</v>
      </c>
      <c r="D292" t="s">
        <v>383</v>
      </c>
      <c r="E292" t="s">
        <v>254</v>
      </c>
      <c r="G292" s="2">
        <v>240</v>
      </c>
      <c r="H292">
        <v>21320</v>
      </c>
    </row>
    <row r="293" spans="1:8" x14ac:dyDescent="0.2">
      <c r="A293" s="1">
        <v>42696.756702662038</v>
      </c>
      <c r="B293" t="s">
        <v>75</v>
      </c>
      <c r="C293" t="s">
        <v>45</v>
      </c>
      <c r="D293" t="s">
        <v>384</v>
      </c>
      <c r="G293" s="2">
        <v>300</v>
      </c>
      <c r="H293">
        <v>21020</v>
      </c>
    </row>
    <row r="294" spans="1:8" x14ac:dyDescent="0.2">
      <c r="A294" s="1">
        <v>42697.735692708331</v>
      </c>
      <c r="B294" t="s">
        <v>54</v>
      </c>
      <c r="C294" t="s">
        <v>37</v>
      </c>
      <c r="D294" t="s">
        <v>162</v>
      </c>
      <c r="G294" s="2">
        <v>80</v>
      </c>
      <c r="H294">
        <v>20940</v>
      </c>
    </row>
    <row r="295" spans="1:8" x14ac:dyDescent="0.2">
      <c r="A295" s="1">
        <v>42697.736716087966</v>
      </c>
      <c r="B295" t="s">
        <v>7</v>
      </c>
      <c r="C295" t="s">
        <v>23</v>
      </c>
      <c r="D295" t="s">
        <v>385</v>
      </c>
      <c r="E295" t="s">
        <v>386</v>
      </c>
      <c r="G295" s="2">
        <v>45</v>
      </c>
      <c r="H295">
        <v>20895</v>
      </c>
    </row>
    <row r="296" spans="1:8" x14ac:dyDescent="0.2">
      <c r="A296" s="1">
        <v>42697.737548495374</v>
      </c>
      <c r="B296" t="s">
        <v>17</v>
      </c>
      <c r="C296" t="s">
        <v>31</v>
      </c>
      <c r="D296" t="s">
        <v>377</v>
      </c>
      <c r="E296" t="s">
        <v>387</v>
      </c>
      <c r="G296" s="2">
        <v>2700</v>
      </c>
      <c r="H296">
        <v>18195</v>
      </c>
    </row>
    <row r="297" spans="1:8" x14ac:dyDescent="0.2">
      <c r="A297" s="1">
        <v>42697.738501157408</v>
      </c>
      <c r="B297" t="s">
        <v>17</v>
      </c>
      <c r="C297" t="s">
        <v>23</v>
      </c>
      <c r="D297" t="s">
        <v>388</v>
      </c>
      <c r="E297" t="s">
        <v>222</v>
      </c>
      <c r="G297" s="2">
        <v>889</v>
      </c>
      <c r="H297">
        <v>17306</v>
      </c>
    </row>
    <row r="298" spans="1:8" x14ac:dyDescent="0.2">
      <c r="A298" s="1">
        <v>42697.745549421299</v>
      </c>
      <c r="B298" t="s">
        <v>54</v>
      </c>
      <c r="C298" t="s">
        <v>45</v>
      </c>
      <c r="D298" t="s">
        <v>204</v>
      </c>
      <c r="G298" s="2">
        <v>1877</v>
      </c>
      <c r="H298">
        <v>15429</v>
      </c>
    </row>
    <row r="299" spans="1:8" x14ac:dyDescent="0.2">
      <c r="A299" s="1">
        <v>42697.747516898147</v>
      </c>
      <c r="B299" t="s">
        <v>17</v>
      </c>
      <c r="C299" t="s">
        <v>19</v>
      </c>
      <c r="D299" t="s">
        <v>389</v>
      </c>
      <c r="E299" t="s">
        <v>390</v>
      </c>
      <c r="G299" s="2">
        <v>15200</v>
      </c>
      <c r="H299">
        <v>229</v>
      </c>
    </row>
    <row r="300" spans="1:8" x14ac:dyDescent="0.2">
      <c r="A300" s="1">
        <v>42698.744599074074</v>
      </c>
      <c r="B300" t="s">
        <v>54</v>
      </c>
      <c r="C300" t="s">
        <v>45</v>
      </c>
      <c r="D300" t="s">
        <v>267</v>
      </c>
      <c r="E300" t="s">
        <v>391</v>
      </c>
      <c r="F300">
        <v>10000</v>
      </c>
      <c r="H300">
        <v>10229</v>
      </c>
    </row>
    <row r="301" spans="1:8" x14ac:dyDescent="0.2">
      <c r="A301" s="1">
        <v>42698.746874652781</v>
      </c>
      <c r="B301" t="s">
        <v>7</v>
      </c>
      <c r="C301" t="s">
        <v>27</v>
      </c>
      <c r="D301" t="s">
        <v>108</v>
      </c>
      <c r="E301" t="s">
        <v>392</v>
      </c>
      <c r="G301" s="2">
        <v>560</v>
      </c>
      <c r="H301">
        <v>9669</v>
      </c>
    </row>
    <row r="302" spans="1:8" x14ac:dyDescent="0.2">
      <c r="A302" s="1">
        <v>42698.74738912037</v>
      </c>
      <c r="B302" t="s">
        <v>7</v>
      </c>
      <c r="C302" t="s">
        <v>35</v>
      </c>
      <c r="D302" t="s">
        <v>393</v>
      </c>
      <c r="E302" t="s">
        <v>394</v>
      </c>
      <c r="G302" s="2">
        <v>110</v>
      </c>
      <c r="H302">
        <v>9559</v>
      </c>
    </row>
    <row r="303" spans="1:8" x14ac:dyDescent="0.2">
      <c r="A303" s="1">
        <v>42698.747964351853</v>
      </c>
      <c r="B303" t="s">
        <v>7</v>
      </c>
      <c r="C303" t="s">
        <v>27</v>
      </c>
      <c r="D303" t="s">
        <v>151</v>
      </c>
      <c r="E303" t="s">
        <v>395</v>
      </c>
      <c r="G303" s="2">
        <v>80</v>
      </c>
      <c r="H303">
        <v>9479</v>
      </c>
    </row>
    <row r="304" spans="1:8" x14ac:dyDescent="0.2">
      <c r="A304" s="1">
        <v>42698.748804050927</v>
      </c>
      <c r="B304" t="s">
        <v>17</v>
      </c>
      <c r="C304" t="s">
        <v>19</v>
      </c>
      <c r="D304" t="s">
        <v>396</v>
      </c>
      <c r="E304" t="s">
        <v>342</v>
      </c>
      <c r="G304" s="2">
        <v>1250</v>
      </c>
      <c r="H304">
        <v>8229</v>
      </c>
    </row>
    <row r="305" spans="1:8" x14ac:dyDescent="0.2">
      <c r="A305" s="1">
        <v>42698.749321064817</v>
      </c>
      <c r="B305" t="s">
        <v>54</v>
      </c>
      <c r="C305" t="s">
        <v>45</v>
      </c>
      <c r="D305" t="s">
        <v>131</v>
      </c>
      <c r="E305" t="s">
        <v>397</v>
      </c>
      <c r="G305" s="2">
        <v>300</v>
      </c>
      <c r="H305">
        <v>7929</v>
      </c>
    </row>
    <row r="306" spans="1:8" x14ac:dyDescent="0.2">
      <c r="A306" s="1">
        <v>42698.749722569446</v>
      </c>
      <c r="B306" t="s">
        <v>44</v>
      </c>
      <c r="C306" t="s">
        <v>45</v>
      </c>
      <c r="D306" t="s">
        <v>109</v>
      </c>
      <c r="E306" t="s">
        <v>398</v>
      </c>
      <c r="G306" s="2">
        <v>1000</v>
      </c>
      <c r="H306">
        <v>6929</v>
      </c>
    </row>
    <row r="307" spans="1:8" x14ac:dyDescent="0.2">
      <c r="A307" s="1">
        <v>42698.750257291664</v>
      </c>
      <c r="B307" t="s">
        <v>44</v>
      </c>
      <c r="C307" t="s">
        <v>45</v>
      </c>
      <c r="D307" t="s">
        <v>109</v>
      </c>
      <c r="E307" t="s">
        <v>399</v>
      </c>
      <c r="G307" s="2">
        <v>1000</v>
      </c>
      <c r="H307">
        <v>5929</v>
      </c>
    </row>
    <row r="308" spans="1:8" x14ac:dyDescent="0.2">
      <c r="A308" s="1">
        <v>42698.75402847222</v>
      </c>
      <c r="B308" t="s">
        <v>44</v>
      </c>
      <c r="C308" t="s">
        <v>45</v>
      </c>
      <c r="D308" t="s">
        <v>352</v>
      </c>
      <c r="E308" t="s">
        <v>400</v>
      </c>
      <c r="G308" s="2">
        <v>1500</v>
      </c>
      <c r="H308">
        <v>4429</v>
      </c>
    </row>
    <row r="309" spans="1:8" x14ac:dyDescent="0.2">
      <c r="A309" s="1">
        <v>42698.755396412038</v>
      </c>
      <c r="B309" t="s">
        <v>44</v>
      </c>
      <c r="C309" t="s">
        <v>45</v>
      </c>
      <c r="D309" t="s">
        <v>109</v>
      </c>
      <c r="E309" t="s">
        <v>249</v>
      </c>
      <c r="G309" s="2">
        <v>1000</v>
      </c>
      <c r="H309">
        <v>3429</v>
      </c>
    </row>
    <row r="310" spans="1:8" x14ac:dyDescent="0.2">
      <c r="A310" s="1">
        <v>42698.756494907408</v>
      </c>
      <c r="B310" t="s">
        <v>75</v>
      </c>
      <c r="C310" t="s">
        <v>45</v>
      </c>
      <c r="D310" t="s">
        <v>401</v>
      </c>
      <c r="G310" s="2">
        <v>2000</v>
      </c>
      <c r="H310">
        <v>1429</v>
      </c>
    </row>
    <row r="311" spans="1:8" x14ac:dyDescent="0.2">
      <c r="A311" s="1">
        <v>42698.756758912037</v>
      </c>
      <c r="B311" t="s">
        <v>75</v>
      </c>
      <c r="C311" t="s">
        <v>45</v>
      </c>
      <c r="D311" t="s">
        <v>402</v>
      </c>
      <c r="G311" s="2">
        <v>500</v>
      </c>
      <c r="H311">
        <v>929</v>
      </c>
    </row>
    <row r="312" spans="1:8" x14ac:dyDescent="0.2">
      <c r="A312" s="1">
        <v>42699.76651134259</v>
      </c>
      <c r="B312" t="s">
        <v>17</v>
      </c>
      <c r="C312" t="s">
        <v>23</v>
      </c>
      <c r="D312" t="s">
        <v>403</v>
      </c>
      <c r="E312" t="s">
        <v>404</v>
      </c>
      <c r="G312" s="2">
        <v>30</v>
      </c>
      <c r="H312">
        <v>899</v>
      </c>
    </row>
    <row r="313" spans="1:8" x14ac:dyDescent="0.2">
      <c r="A313" s="1">
        <v>42700.726381134256</v>
      </c>
      <c r="B313" t="s">
        <v>54</v>
      </c>
      <c r="C313" t="s">
        <v>45</v>
      </c>
      <c r="D313" t="s">
        <v>267</v>
      </c>
      <c r="E313" t="s">
        <v>391</v>
      </c>
      <c r="F313">
        <v>3000</v>
      </c>
      <c r="H313">
        <v>3899</v>
      </c>
    </row>
    <row r="314" spans="1:8" x14ac:dyDescent="0.2">
      <c r="A314" s="1">
        <v>42700.727127430553</v>
      </c>
      <c r="B314" t="s">
        <v>75</v>
      </c>
      <c r="C314" t="s">
        <v>45</v>
      </c>
      <c r="D314" t="s">
        <v>405</v>
      </c>
      <c r="G314" s="2">
        <v>1000</v>
      </c>
      <c r="H314">
        <v>2899</v>
      </c>
    </row>
    <row r="315" spans="1:8" x14ac:dyDescent="0.2">
      <c r="A315" s="1">
        <v>42700.727517245374</v>
      </c>
      <c r="B315" t="s">
        <v>44</v>
      </c>
      <c r="C315" t="s">
        <v>45</v>
      </c>
      <c r="D315" t="s">
        <v>109</v>
      </c>
      <c r="E315" t="s">
        <v>369</v>
      </c>
      <c r="G315" s="2">
        <v>1000</v>
      </c>
      <c r="H315">
        <v>1899</v>
      </c>
    </row>
    <row r="316" spans="1:8" x14ac:dyDescent="0.2">
      <c r="A316" s="1">
        <v>42700.728046412034</v>
      </c>
      <c r="B316" t="s">
        <v>75</v>
      </c>
      <c r="C316" t="s">
        <v>45</v>
      </c>
      <c r="D316" t="s">
        <v>406</v>
      </c>
      <c r="E316" t="s">
        <v>98</v>
      </c>
      <c r="G316" s="2">
        <v>1200</v>
      </c>
      <c r="H316">
        <v>699</v>
      </c>
    </row>
    <row r="317" spans="1:8" x14ac:dyDescent="0.2">
      <c r="A317" s="1">
        <v>42700.72919421296</v>
      </c>
      <c r="B317" t="s">
        <v>7</v>
      </c>
      <c r="C317" t="s">
        <v>23</v>
      </c>
      <c r="D317" t="s">
        <v>407</v>
      </c>
      <c r="E317" t="s">
        <v>408</v>
      </c>
      <c r="G317" s="2">
        <v>250</v>
      </c>
      <c r="H317">
        <v>449</v>
      </c>
    </row>
    <row r="318" spans="1:8" x14ac:dyDescent="0.2">
      <c r="A318" s="1">
        <v>42700.731077314813</v>
      </c>
      <c r="B318" t="s">
        <v>54</v>
      </c>
      <c r="C318" t="s">
        <v>45</v>
      </c>
      <c r="D318" t="s">
        <v>218</v>
      </c>
      <c r="E318" t="s">
        <v>230</v>
      </c>
      <c r="G318" s="2">
        <v>100</v>
      </c>
      <c r="H318">
        <v>349</v>
      </c>
    </row>
    <row r="319" spans="1:8" x14ac:dyDescent="0.2">
      <c r="A319" s="1" t="s">
        <v>47</v>
      </c>
      <c r="B319" t="s">
        <v>80</v>
      </c>
      <c r="C319" t="s">
        <v>80</v>
      </c>
    </row>
    <row r="320" spans="1:8" x14ac:dyDescent="0.2">
      <c r="A320" s="1">
        <v>42702.750232754632</v>
      </c>
      <c r="B320" t="s">
        <v>80</v>
      </c>
      <c r="C320" t="s">
        <v>80</v>
      </c>
      <c r="D320" t="s">
        <v>10</v>
      </c>
      <c r="F320">
        <v>23000</v>
      </c>
      <c r="H320">
        <v>23000</v>
      </c>
    </row>
    <row r="321" spans="1:8" x14ac:dyDescent="0.2">
      <c r="A321" s="1">
        <v>42702.751371759259</v>
      </c>
      <c r="B321" t="s">
        <v>44</v>
      </c>
      <c r="C321" t="s">
        <v>45</v>
      </c>
      <c r="D321" t="s">
        <v>109</v>
      </c>
      <c r="E321" t="s">
        <v>409</v>
      </c>
      <c r="G321" s="2">
        <v>1900</v>
      </c>
      <c r="H321">
        <v>21100</v>
      </c>
    </row>
    <row r="322" spans="1:8" x14ac:dyDescent="0.2">
      <c r="A322" s="1">
        <v>42702.751842592595</v>
      </c>
      <c r="B322" t="s">
        <v>7</v>
      </c>
      <c r="C322" t="s">
        <v>33</v>
      </c>
      <c r="D322" t="s">
        <v>217</v>
      </c>
      <c r="G322" s="2">
        <v>40</v>
      </c>
      <c r="H322">
        <v>21060</v>
      </c>
    </row>
    <row r="323" spans="1:8" x14ac:dyDescent="0.2">
      <c r="A323" s="1">
        <v>42702.753134259263</v>
      </c>
      <c r="B323" t="s">
        <v>54</v>
      </c>
      <c r="C323" t="s">
        <v>33</v>
      </c>
      <c r="D323" t="s">
        <v>410</v>
      </c>
      <c r="E323" t="s">
        <v>411</v>
      </c>
      <c r="G323" s="2">
        <v>2000</v>
      </c>
      <c r="H323">
        <v>19060</v>
      </c>
    </row>
    <row r="324" spans="1:8" x14ac:dyDescent="0.2">
      <c r="A324" s="1">
        <v>42702.753489120369</v>
      </c>
      <c r="B324" t="s">
        <v>54</v>
      </c>
      <c r="C324" t="s">
        <v>45</v>
      </c>
      <c r="D324" t="s">
        <v>268</v>
      </c>
      <c r="G324" s="2">
        <v>100</v>
      </c>
      <c r="H324">
        <v>18960</v>
      </c>
    </row>
    <row r="325" spans="1:8" x14ac:dyDescent="0.2">
      <c r="A325" s="1">
        <v>42703.72745810185</v>
      </c>
      <c r="B325" t="s">
        <v>17</v>
      </c>
      <c r="C325" t="s">
        <v>45</v>
      </c>
      <c r="D325" t="s">
        <v>286</v>
      </c>
      <c r="E325" t="s">
        <v>412</v>
      </c>
      <c r="G325" s="2">
        <v>3400</v>
      </c>
      <c r="H325">
        <v>15560</v>
      </c>
    </row>
    <row r="326" spans="1:8" x14ac:dyDescent="0.2">
      <c r="A326" s="1">
        <v>42703.728057986111</v>
      </c>
      <c r="B326" t="s">
        <v>17</v>
      </c>
      <c r="C326" t="s">
        <v>23</v>
      </c>
      <c r="D326" t="s">
        <v>413</v>
      </c>
      <c r="G326" s="2">
        <v>700</v>
      </c>
      <c r="H326">
        <v>14860</v>
      </c>
    </row>
    <row r="327" spans="1:8" x14ac:dyDescent="0.2">
      <c r="A327" s="1">
        <v>42703.729006018519</v>
      </c>
      <c r="B327" t="s">
        <v>17</v>
      </c>
      <c r="C327" t="s">
        <v>23</v>
      </c>
      <c r="D327" t="s">
        <v>256</v>
      </c>
      <c r="E327" t="s">
        <v>414</v>
      </c>
      <c r="G327" s="2">
        <v>1450</v>
      </c>
      <c r="H327">
        <v>13410</v>
      </c>
    </row>
    <row r="328" spans="1:8" x14ac:dyDescent="0.2">
      <c r="A328" s="1">
        <v>42703.732268055559</v>
      </c>
      <c r="B328" t="s">
        <v>7</v>
      </c>
      <c r="C328" t="s">
        <v>19</v>
      </c>
      <c r="D328" t="s">
        <v>415</v>
      </c>
      <c r="E328" t="s">
        <v>416</v>
      </c>
      <c r="G328" s="2">
        <v>600</v>
      </c>
      <c r="H328">
        <v>12810</v>
      </c>
    </row>
    <row r="329" spans="1:8" x14ac:dyDescent="0.2">
      <c r="A329" s="1">
        <v>42703.73561747685</v>
      </c>
      <c r="B329" t="s">
        <v>17</v>
      </c>
      <c r="C329" t="s">
        <v>19</v>
      </c>
      <c r="D329" t="s">
        <v>417</v>
      </c>
      <c r="E329" t="s">
        <v>418</v>
      </c>
      <c r="G329" s="2">
        <v>3537</v>
      </c>
      <c r="H329">
        <v>9273</v>
      </c>
    </row>
    <row r="330" spans="1:8" x14ac:dyDescent="0.2">
      <c r="A330" s="1">
        <v>42703.736659953705</v>
      </c>
      <c r="B330" t="s">
        <v>75</v>
      </c>
      <c r="C330" t="s">
        <v>45</v>
      </c>
      <c r="D330" t="s">
        <v>419</v>
      </c>
      <c r="E330" t="s">
        <v>279</v>
      </c>
      <c r="G330" s="2">
        <v>500</v>
      </c>
      <c r="H330">
        <v>8773</v>
      </c>
    </row>
    <row r="331" spans="1:8" x14ac:dyDescent="0.2">
      <c r="A331" s="1">
        <v>42703.737471527777</v>
      </c>
      <c r="B331" t="s">
        <v>75</v>
      </c>
      <c r="C331" t="s">
        <v>45</v>
      </c>
      <c r="D331" t="s">
        <v>419</v>
      </c>
      <c r="E331" t="s">
        <v>420</v>
      </c>
      <c r="G331" s="2">
        <v>500</v>
      </c>
      <c r="H331">
        <v>8273</v>
      </c>
    </row>
    <row r="332" spans="1:8" x14ac:dyDescent="0.2">
      <c r="A332" s="1">
        <v>42703.739083796296</v>
      </c>
      <c r="B332" t="s">
        <v>54</v>
      </c>
      <c r="C332" t="s">
        <v>45</v>
      </c>
      <c r="D332" t="s">
        <v>421</v>
      </c>
      <c r="E332" t="s">
        <v>422</v>
      </c>
      <c r="G332" s="2">
        <v>500</v>
      </c>
      <c r="H332">
        <v>7773</v>
      </c>
    </row>
    <row r="333" spans="1:8" x14ac:dyDescent="0.2">
      <c r="A333" s="1">
        <v>42703.740109375001</v>
      </c>
      <c r="B333" t="s">
        <v>54</v>
      </c>
      <c r="C333" t="s">
        <v>45</v>
      </c>
      <c r="D333" t="s">
        <v>423</v>
      </c>
      <c r="E333" t="s">
        <v>424</v>
      </c>
      <c r="G333" s="2">
        <v>5000</v>
      </c>
      <c r="H333">
        <v>2773</v>
      </c>
    </row>
    <row r="334" spans="1:8" x14ac:dyDescent="0.2">
      <c r="A334" s="1">
        <v>42703.746968055559</v>
      </c>
      <c r="B334" t="s">
        <v>17</v>
      </c>
      <c r="C334" t="s">
        <v>19</v>
      </c>
      <c r="D334" t="s">
        <v>425</v>
      </c>
      <c r="E334" t="s">
        <v>165</v>
      </c>
      <c r="G334" s="2">
        <v>1200</v>
      </c>
      <c r="H334">
        <v>1573</v>
      </c>
    </row>
    <row r="335" spans="1:8" x14ac:dyDescent="0.2">
      <c r="A335" s="1">
        <v>42703.748559722226</v>
      </c>
      <c r="B335" t="s">
        <v>7</v>
      </c>
      <c r="C335" t="s">
        <v>23</v>
      </c>
      <c r="D335" t="s">
        <v>151</v>
      </c>
      <c r="E335" t="s">
        <v>426</v>
      </c>
      <c r="G335" s="2">
        <v>360</v>
      </c>
      <c r="H335">
        <v>1213</v>
      </c>
    </row>
    <row r="336" spans="1:8" x14ac:dyDescent="0.2">
      <c r="A336" s="1">
        <v>42703.749510648151</v>
      </c>
      <c r="B336" t="s">
        <v>7</v>
      </c>
      <c r="C336" t="s">
        <v>23</v>
      </c>
      <c r="D336" t="s">
        <v>427</v>
      </c>
      <c r="E336" t="s">
        <v>222</v>
      </c>
      <c r="G336" s="2">
        <v>300</v>
      </c>
      <c r="H336">
        <v>913</v>
      </c>
    </row>
    <row r="337" spans="1:8" x14ac:dyDescent="0.2">
      <c r="A337" s="1">
        <v>42703.751061342591</v>
      </c>
      <c r="B337" t="s">
        <v>54</v>
      </c>
      <c r="C337" t="s">
        <v>27</v>
      </c>
      <c r="D337" t="s">
        <v>168</v>
      </c>
      <c r="G337" s="2">
        <v>500</v>
      </c>
      <c r="H337">
        <v>413</v>
      </c>
    </row>
    <row r="338" spans="1:8" x14ac:dyDescent="0.2">
      <c r="A338" s="1">
        <v>42703.752463078701</v>
      </c>
      <c r="B338" t="s">
        <v>7</v>
      </c>
      <c r="C338" t="s">
        <v>23</v>
      </c>
      <c r="D338" t="s">
        <v>428</v>
      </c>
      <c r="G338" s="2">
        <v>100</v>
      </c>
      <c r="H338">
        <v>313</v>
      </c>
    </row>
    <row r="339" spans="1:8" x14ac:dyDescent="0.2">
      <c r="A339" s="1">
        <v>42703.753398263892</v>
      </c>
      <c r="B339" t="s">
        <v>7</v>
      </c>
      <c r="C339" t="s">
        <v>23</v>
      </c>
      <c r="D339" t="s">
        <v>403</v>
      </c>
      <c r="G339" s="2">
        <v>150</v>
      </c>
      <c r="H339">
        <v>163</v>
      </c>
    </row>
    <row r="340" spans="1:8" x14ac:dyDescent="0.2">
      <c r="A340" s="1">
        <v>42704.726647337964</v>
      </c>
      <c r="B340" t="s">
        <v>54</v>
      </c>
      <c r="C340" t="s">
        <v>45</v>
      </c>
      <c r="D340" t="s">
        <v>267</v>
      </c>
      <c r="E340" t="s">
        <v>429</v>
      </c>
      <c r="F340">
        <v>13500</v>
      </c>
      <c r="H340">
        <v>13663</v>
      </c>
    </row>
    <row r="341" spans="1:8" x14ac:dyDescent="0.2">
      <c r="A341" s="1">
        <v>42704.728028472222</v>
      </c>
      <c r="B341" t="s">
        <v>54</v>
      </c>
      <c r="C341" t="s">
        <v>45</v>
      </c>
      <c r="D341" t="s">
        <v>430</v>
      </c>
      <c r="G341" s="2">
        <v>12506</v>
      </c>
      <c r="H341">
        <v>1157</v>
      </c>
    </row>
    <row r="342" spans="1:8" x14ac:dyDescent="0.2">
      <c r="A342" s="1">
        <v>42704.729468518519</v>
      </c>
      <c r="B342" t="s">
        <v>54</v>
      </c>
      <c r="C342" t="s">
        <v>23</v>
      </c>
      <c r="D342" t="s">
        <v>268</v>
      </c>
      <c r="E342" t="s">
        <v>431</v>
      </c>
      <c r="G342" s="2">
        <v>640</v>
      </c>
      <c r="H342">
        <v>517</v>
      </c>
    </row>
    <row r="343" spans="1:8" x14ac:dyDescent="0.2">
      <c r="A343" s="1">
        <v>42704.729838425927</v>
      </c>
      <c r="B343" t="s">
        <v>7</v>
      </c>
      <c r="C343" t="s">
        <v>23</v>
      </c>
      <c r="D343" t="s">
        <v>432</v>
      </c>
      <c r="E343" t="s">
        <v>433</v>
      </c>
      <c r="G343" s="2">
        <v>20</v>
      </c>
      <c r="H343">
        <v>497</v>
      </c>
    </row>
    <row r="344" spans="1:8" x14ac:dyDescent="0.2">
      <c r="A344" s="1">
        <v>42705.711126967595</v>
      </c>
      <c r="B344" t="s">
        <v>7</v>
      </c>
      <c r="C344" t="s">
        <v>37</v>
      </c>
      <c r="D344" t="s">
        <v>434</v>
      </c>
      <c r="E344" t="s">
        <v>435</v>
      </c>
      <c r="G344" s="2">
        <v>150</v>
      </c>
      <c r="H344">
        <v>347</v>
      </c>
    </row>
    <row r="345" spans="1:8" x14ac:dyDescent="0.2">
      <c r="A345" s="1">
        <v>42705.71387013889</v>
      </c>
      <c r="B345" t="s">
        <v>54</v>
      </c>
      <c r="C345" t="s">
        <v>27</v>
      </c>
      <c r="D345" t="s">
        <v>162</v>
      </c>
      <c r="G345" s="2">
        <v>80</v>
      </c>
      <c r="H345">
        <v>267</v>
      </c>
    </row>
    <row r="346" spans="1:8" x14ac:dyDescent="0.2">
      <c r="A346" s="1">
        <v>42705.714969444445</v>
      </c>
      <c r="B346" t="s">
        <v>54</v>
      </c>
      <c r="C346" t="s">
        <v>27</v>
      </c>
      <c r="D346" t="s">
        <v>130</v>
      </c>
      <c r="E346" t="s">
        <v>436</v>
      </c>
      <c r="G346" s="2">
        <v>200</v>
      </c>
      <c r="H346">
        <v>67</v>
      </c>
    </row>
    <row r="347" spans="1:8" x14ac:dyDescent="0.2">
      <c r="A347" s="1">
        <v>42705.71574699074</v>
      </c>
      <c r="B347" t="s">
        <v>17</v>
      </c>
      <c r="C347" t="s">
        <v>23</v>
      </c>
      <c r="D347" t="s">
        <v>437</v>
      </c>
      <c r="E347" t="s">
        <v>438</v>
      </c>
      <c r="G347" s="2">
        <v>20</v>
      </c>
      <c r="H347">
        <v>47</v>
      </c>
    </row>
    <row r="348" spans="1:8" x14ac:dyDescent="0.2">
      <c r="A348" s="1">
        <v>42705.723478819447</v>
      </c>
      <c r="B348" t="s">
        <v>54</v>
      </c>
      <c r="C348" t="s">
        <v>45</v>
      </c>
      <c r="D348" t="s">
        <v>267</v>
      </c>
      <c r="E348" t="s">
        <v>429</v>
      </c>
      <c r="F348">
        <v>2000</v>
      </c>
      <c r="H348">
        <v>2047</v>
      </c>
    </row>
    <row r="349" spans="1:8" x14ac:dyDescent="0.2">
      <c r="A349" s="1">
        <v>42705.725161805552</v>
      </c>
      <c r="B349" t="s">
        <v>17</v>
      </c>
      <c r="C349" t="s">
        <v>45</v>
      </c>
      <c r="D349" t="s">
        <v>439</v>
      </c>
      <c r="E349">
        <v>1</v>
      </c>
      <c r="G349" s="2">
        <v>400</v>
      </c>
      <c r="H349">
        <v>1647</v>
      </c>
    </row>
    <row r="350" spans="1:8" x14ac:dyDescent="0.2">
      <c r="A350" s="1">
        <v>42705.725477430555</v>
      </c>
      <c r="B350" t="s">
        <v>7</v>
      </c>
      <c r="C350" t="s">
        <v>23</v>
      </c>
      <c r="D350" t="s">
        <v>440</v>
      </c>
      <c r="E350" t="s">
        <v>408</v>
      </c>
      <c r="G350" s="2">
        <v>120</v>
      </c>
      <c r="H350">
        <v>1527</v>
      </c>
    </row>
    <row r="351" spans="1:8" x14ac:dyDescent="0.2">
      <c r="A351" s="1">
        <v>42705.726786342595</v>
      </c>
      <c r="B351" t="s">
        <v>17</v>
      </c>
      <c r="C351" t="s">
        <v>45</v>
      </c>
      <c r="D351" t="s">
        <v>441</v>
      </c>
      <c r="E351" t="s">
        <v>408</v>
      </c>
      <c r="G351" s="2">
        <v>720</v>
      </c>
      <c r="H351">
        <v>807</v>
      </c>
    </row>
    <row r="352" spans="1:8" x14ac:dyDescent="0.2">
      <c r="A352" s="1">
        <v>42705.727078124997</v>
      </c>
      <c r="B352" t="s">
        <v>44</v>
      </c>
      <c r="C352" t="s">
        <v>45</v>
      </c>
      <c r="D352" t="s">
        <v>109</v>
      </c>
      <c r="E352" t="s">
        <v>397</v>
      </c>
      <c r="G352" s="2">
        <v>500</v>
      </c>
      <c r="H352">
        <v>307</v>
      </c>
    </row>
    <row r="353" spans="1:8" x14ac:dyDescent="0.2">
      <c r="A353" s="1">
        <v>42705.727881365739</v>
      </c>
      <c r="B353" t="s">
        <v>7</v>
      </c>
      <c r="C353" t="s">
        <v>45</v>
      </c>
      <c r="D353" t="s">
        <v>151</v>
      </c>
      <c r="E353" t="s">
        <v>165</v>
      </c>
      <c r="G353" s="2">
        <v>115</v>
      </c>
      <c r="H353">
        <v>192</v>
      </c>
    </row>
    <row r="354" spans="1:8" x14ac:dyDescent="0.2">
      <c r="A354" s="1">
        <v>42706.669447569446</v>
      </c>
      <c r="B354" t="s">
        <v>54</v>
      </c>
      <c r="C354" t="s">
        <v>23</v>
      </c>
      <c r="D354" t="s">
        <v>442</v>
      </c>
      <c r="E354" t="s">
        <v>310</v>
      </c>
      <c r="G354" s="2">
        <v>108</v>
      </c>
      <c r="H354">
        <v>84</v>
      </c>
    </row>
    <row r="355" spans="1:8" x14ac:dyDescent="0.2">
      <c r="A355" s="1">
        <v>42706.709271874999</v>
      </c>
      <c r="B355" t="s">
        <v>54</v>
      </c>
      <c r="C355" t="s">
        <v>45</v>
      </c>
      <c r="D355" t="s">
        <v>267</v>
      </c>
      <c r="E355" t="s">
        <v>429</v>
      </c>
      <c r="F355">
        <v>3500</v>
      </c>
      <c r="H355">
        <v>3584</v>
      </c>
    </row>
    <row r="356" spans="1:8" x14ac:dyDescent="0.2">
      <c r="A356" s="1">
        <v>42706.710120833333</v>
      </c>
      <c r="B356" t="s">
        <v>54</v>
      </c>
      <c r="C356" t="s">
        <v>45</v>
      </c>
      <c r="D356" t="s">
        <v>159</v>
      </c>
      <c r="E356" t="s">
        <v>443</v>
      </c>
      <c r="G356" s="2">
        <v>1400</v>
      </c>
      <c r="H356">
        <v>2184</v>
      </c>
    </row>
    <row r="357" spans="1:8" x14ac:dyDescent="0.2">
      <c r="A357" s="1">
        <v>42706.712191203704</v>
      </c>
      <c r="B357" t="s">
        <v>54</v>
      </c>
      <c r="C357" t="s">
        <v>45</v>
      </c>
      <c r="D357" t="s">
        <v>444</v>
      </c>
      <c r="E357" t="s">
        <v>443</v>
      </c>
      <c r="G357" s="2">
        <v>1648</v>
      </c>
      <c r="H357">
        <v>536</v>
      </c>
    </row>
    <row r="358" spans="1:8" x14ac:dyDescent="0.2">
      <c r="A358" s="1">
        <v>42706.715599074072</v>
      </c>
      <c r="B358" t="s">
        <v>7</v>
      </c>
      <c r="C358" t="s">
        <v>23</v>
      </c>
      <c r="D358" t="s">
        <v>445</v>
      </c>
      <c r="E358" t="s">
        <v>433</v>
      </c>
      <c r="G358" s="2">
        <v>200</v>
      </c>
      <c r="H358">
        <v>336</v>
      </c>
    </row>
    <row r="359" spans="1:8" x14ac:dyDescent="0.2">
      <c r="A359" s="1">
        <v>42706.725893518516</v>
      </c>
      <c r="B359" t="s">
        <v>7</v>
      </c>
      <c r="C359" t="s">
        <v>23</v>
      </c>
      <c r="D359" t="s">
        <v>224</v>
      </c>
      <c r="E359" t="s">
        <v>433</v>
      </c>
      <c r="G359" s="2">
        <v>35</v>
      </c>
      <c r="H359">
        <v>301</v>
      </c>
    </row>
    <row r="360" spans="1:8" x14ac:dyDescent="0.2">
      <c r="A360" s="1">
        <v>42707.715504050924</v>
      </c>
      <c r="B360" t="s">
        <v>54</v>
      </c>
      <c r="C360" t="s">
        <v>45</v>
      </c>
      <c r="D360" t="s">
        <v>267</v>
      </c>
      <c r="E360" t="s">
        <v>429</v>
      </c>
      <c r="F360">
        <v>7500</v>
      </c>
      <c r="H360">
        <v>7801</v>
      </c>
    </row>
    <row r="361" spans="1:8" x14ac:dyDescent="0.2">
      <c r="A361" s="1">
        <v>42707.716874652775</v>
      </c>
      <c r="B361" t="s">
        <v>17</v>
      </c>
      <c r="C361" t="s">
        <v>23</v>
      </c>
      <c r="D361" t="s">
        <v>446</v>
      </c>
      <c r="E361" t="s">
        <v>447</v>
      </c>
      <c r="G361" s="2">
        <v>500</v>
      </c>
      <c r="H361">
        <v>7301</v>
      </c>
    </row>
    <row r="362" spans="1:8" x14ac:dyDescent="0.2">
      <c r="A362" s="1">
        <v>42707.717283449078</v>
      </c>
      <c r="B362" t="s">
        <v>54</v>
      </c>
      <c r="C362" t="s">
        <v>45</v>
      </c>
      <c r="D362" t="s">
        <v>159</v>
      </c>
      <c r="E362" t="s">
        <v>443</v>
      </c>
      <c r="G362" s="2">
        <v>500</v>
      </c>
      <c r="H362">
        <v>6801</v>
      </c>
    </row>
    <row r="363" spans="1:8" x14ac:dyDescent="0.2">
      <c r="A363" s="1">
        <v>42707.717889930558</v>
      </c>
      <c r="B363" t="s">
        <v>75</v>
      </c>
      <c r="C363" t="s">
        <v>45</v>
      </c>
      <c r="D363" t="s">
        <v>406</v>
      </c>
      <c r="E363" t="s">
        <v>98</v>
      </c>
      <c r="G363" s="2">
        <v>1200</v>
      </c>
      <c r="H363">
        <v>5601</v>
      </c>
    </row>
    <row r="364" spans="1:8" x14ac:dyDescent="0.2">
      <c r="A364" s="1">
        <v>42707.718937268517</v>
      </c>
      <c r="B364" t="s">
        <v>7</v>
      </c>
      <c r="C364" t="s">
        <v>45</v>
      </c>
      <c r="D364" t="s">
        <v>448</v>
      </c>
      <c r="E364" t="s">
        <v>449</v>
      </c>
      <c r="G364" s="2">
        <v>90</v>
      </c>
      <c r="H364">
        <v>5511</v>
      </c>
    </row>
    <row r="365" spans="1:8" x14ac:dyDescent="0.2">
      <c r="A365" s="1">
        <v>42707.719364814817</v>
      </c>
      <c r="B365" t="s">
        <v>7</v>
      </c>
      <c r="C365" t="s">
        <v>45</v>
      </c>
      <c r="D365" t="s">
        <v>450</v>
      </c>
      <c r="E365" t="s">
        <v>451</v>
      </c>
      <c r="G365" s="2">
        <v>28</v>
      </c>
      <c r="H365">
        <v>5483</v>
      </c>
    </row>
    <row r="366" spans="1:8" x14ac:dyDescent="0.2">
      <c r="A366" s="1">
        <v>42707.719781018517</v>
      </c>
      <c r="B366" t="s">
        <v>54</v>
      </c>
      <c r="C366" t="s">
        <v>45</v>
      </c>
      <c r="D366" t="s">
        <v>131</v>
      </c>
      <c r="E366" t="s">
        <v>187</v>
      </c>
      <c r="G366" s="2">
        <v>300</v>
      </c>
      <c r="H366">
        <v>5183</v>
      </c>
    </row>
    <row r="367" spans="1:8" x14ac:dyDescent="0.2">
      <c r="A367" s="1">
        <v>42707.720076041667</v>
      </c>
      <c r="B367" t="s">
        <v>7</v>
      </c>
      <c r="C367" t="s">
        <v>23</v>
      </c>
      <c r="D367" t="s">
        <v>452</v>
      </c>
      <c r="G367" s="2">
        <v>180</v>
      </c>
      <c r="H367">
        <v>5003</v>
      </c>
    </row>
    <row r="368" spans="1:8" x14ac:dyDescent="0.2">
      <c r="A368" s="1">
        <v>42707.720777314818</v>
      </c>
      <c r="B368" t="s">
        <v>7</v>
      </c>
      <c r="C368" t="s">
        <v>23</v>
      </c>
      <c r="D368" t="s">
        <v>151</v>
      </c>
      <c r="E368" t="s">
        <v>343</v>
      </c>
      <c r="G368" s="2">
        <v>150</v>
      </c>
      <c r="H368">
        <v>4853</v>
      </c>
    </row>
    <row r="369" spans="1:8" x14ac:dyDescent="0.2">
      <c r="A369" s="1">
        <v>42707.722550925922</v>
      </c>
      <c r="B369" t="s">
        <v>17</v>
      </c>
      <c r="C369" t="s">
        <v>45</v>
      </c>
      <c r="D369" t="s">
        <v>453</v>
      </c>
      <c r="E369" t="s">
        <v>454</v>
      </c>
      <c r="G369" s="2">
        <v>4500</v>
      </c>
      <c r="H369">
        <v>353</v>
      </c>
    </row>
    <row r="370" spans="1:8" x14ac:dyDescent="0.2">
      <c r="A370" s="1">
        <v>42707.740664004632</v>
      </c>
      <c r="B370" t="s">
        <v>54</v>
      </c>
      <c r="C370" t="s">
        <v>45</v>
      </c>
      <c r="D370" t="s">
        <v>325</v>
      </c>
      <c r="E370" t="s">
        <v>429</v>
      </c>
      <c r="F370">
        <v>2000</v>
      </c>
      <c r="H370">
        <v>2353</v>
      </c>
    </row>
    <row r="371" spans="1:8" x14ac:dyDescent="0.2">
      <c r="A371" s="1">
        <v>42707.741108912036</v>
      </c>
      <c r="B371" t="s">
        <v>75</v>
      </c>
      <c r="C371" t="s">
        <v>45</v>
      </c>
      <c r="D371" t="s">
        <v>455</v>
      </c>
      <c r="E371" t="s">
        <v>456</v>
      </c>
      <c r="G371" s="2">
        <v>2000</v>
      </c>
      <c r="H371">
        <v>353</v>
      </c>
    </row>
    <row r="372" spans="1:8" x14ac:dyDescent="0.2">
      <c r="A372" s="1" t="s">
        <v>47</v>
      </c>
    </row>
    <row r="373" spans="1:8" x14ac:dyDescent="0.2">
      <c r="A373" s="1">
        <v>42710.746028703703</v>
      </c>
      <c r="D373" t="s">
        <v>10</v>
      </c>
      <c r="H373">
        <v>0</v>
      </c>
    </row>
    <row r="374" spans="1:8" x14ac:dyDescent="0.2">
      <c r="A374" s="1" t="s">
        <v>47</v>
      </c>
    </row>
    <row r="375" spans="1:8" x14ac:dyDescent="0.2">
      <c r="A375" s="1">
        <v>42710.746273611112</v>
      </c>
      <c r="D375" t="s">
        <v>10</v>
      </c>
      <c r="F375">
        <v>7500</v>
      </c>
      <c r="H375">
        <v>7500</v>
      </c>
    </row>
    <row r="376" spans="1:8" x14ac:dyDescent="0.2">
      <c r="A376" s="1">
        <v>42710.747854166664</v>
      </c>
      <c r="B376" t="s">
        <v>7</v>
      </c>
      <c r="C376" t="s">
        <v>23</v>
      </c>
      <c r="D376" t="s">
        <v>457</v>
      </c>
      <c r="E376" t="s">
        <v>310</v>
      </c>
      <c r="G376" s="2">
        <v>200</v>
      </c>
      <c r="H376">
        <v>7300</v>
      </c>
    </row>
    <row r="377" spans="1:8" x14ac:dyDescent="0.2">
      <c r="A377" s="1">
        <v>42710.755606481478</v>
      </c>
      <c r="B377" t="s">
        <v>17</v>
      </c>
      <c r="C377" t="s">
        <v>45</v>
      </c>
      <c r="D377" t="s">
        <v>458</v>
      </c>
      <c r="E377" t="s">
        <v>340</v>
      </c>
      <c r="G377" s="2">
        <v>130</v>
      </c>
      <c r="H377">
        <v>7170</v>
      </c>
    </row>
    <row r="378" spans="1:8" x14ac:dyDescent="0.2">
      <c r="A378" s="1">
        <v>42710.757451851852</v>
      </c>
      <c r="B378" t="s">
        <v>7</v>
      </c>
      <c r="C378" t="s">
        <v>23</v>
      </c>
      <c r="D378" t="s">
        <v>216</v>
      </c>
      <c r="G378" s="2">
        <v>80</v>
      </c>
      <c r="H378">
        <v>7090</v>
      </c>
    </row>
    <row r="379" spans="1:8" x14ac:dyDescent="0.2">
      <c r="A379" s="1">
        <v>42710.757826851848</v>
      </c>
      <c r="B379" t="s">
        <v>54</v>
      </c>
      <c r="C379" t="s">
        <v>23</v>
      </c>
      <c r="D379" t="s">
        <v>459</v>
      </c>
      <c r="E379">
        <v>1</v>
      </c>
      <c r="G379" s="2">
        <v>830</v>
      </c>
      <c r="H379">
        <v>6260</v>
      </c>
    </row>
    <row r="380" spans="1:8" x14ac:dyDescent="0.2">
      <c r="A380" s="1">
        <v>42710.760754513889</v>
      </c>
      <c r="B380" t="s">
        <v>75</v>
      </c>
      <c r="C380" t="s">
        <v>33</v>
      </c>
      <c r="D380" t="s">
        <v>455</v>
      </c>
      <c r="E380" t="s">
        <v>279</v>
      </c>
      <c r="G380" s="2">
        <v>1000</v>
      </c>
      <c r="H380">
        <v>5260</v>
      </c>
    </row>
    <row r="381" spans="1:8" x14ac:dyDescent="0.2">
      <c r="A381" s="1">
        <v>42710.762335648149</v>
      </c>
      <c r="B381" t="s">
        <v>75</v>
      </c>
      <c r="C381" t="s">
        <v>33</v>
      </c>
      <c r="D381" t="s">
        <v>460</v>
      </c>
      <c r="E381" t="s">
        <v>461</v>
      </c>
      <c r="G381" s="2">
        <v>1200</v>
      </c>
      <c r="H381">
        <v>4060</v>
      </c>
    </row>
    <row r="382" spans="1:8" x14ac:dyDescent="0.2">
      <c r="A382" s="1">
        <v>42710.764156481484</v>
      </c>
      <c r="B382" t="s">
        <v>54</v>
      </c>
      <c r="C382" t="s">
        <v>33</v>
      </c>
      <c r="D382" t="s">
        <v>462</v>
      </c>
      <c r="E382" t="s">
        <v>463</v>
      </c>
      <c r="G382" s="2">
        <v>240</v>
      </c>
      <c r="H382">
        <v>3820</v>
      </c>
    </row>
    <row r="383" spans="1:8" x14ac:dyDescent="0.2">
      <c r="A383" s="1">
        <v>42711.762228472224</v>
      </c>
      <c r="B383" t="s">
        <v>54</v>
      </c>
      <c r="C383" t="s">
        <v>35</v>
      </c>
      <c r="D383" t="s">
        <v>162</v>
      </c>
      <c r="G383" s="2">
        <v>100</v>
      </c>
      <c r="H383">
        <v>3720</v>
      </c>
    </row>
    <row r="384" spans="1:8" x14ac:dyDescent="0.2">
      <c r="A384" s="1">
        <v>42711.762634837964</v>
      </c>
      <c r="B384" t="s">
        <v>54</v>
      </c>
      <c r="C384" t="s">
        <v>35</v>
      </c>
      <c r="D384" t="s">
        <v>464</v>
      </c>
      <c r="E384" t="s">
        <v>465</v>
      </c>
      <c r="G384" s="2">
        <v>115</v>
      </c>
      <c r="H384">
        <v>3605</v>
      </c>
    </row>
    <row r="385" spans="1:8" x14ac:dyDescent="0.2">
      <c r="A385" s="1">
        <v>42711.763181481481</v>
      </c>
      <c r="B385" t="s">
        <v>54</v>
      </c>
      <c r="C385" t="s">
        <v>23</v>
      </c>
      <c r="D385" t="s">
        <v>281</v>
      </c>
      <c r="E385" t="s">
        <v>292</v>
      </c>
      <c r="G385" s="2">
        <v>195</v>
      </c>
      <c r="H385">
        <v>3410</v>
      </c>
    </row>
    <row r="386" spans="1:8" x14ac:dyDescent="0.2">
      <c r="A386" s="1">
        <v>42711.764585069446</v>
      </c>
      <c r="B386" t="s">
        <v>75</v>
      </c>
      <c r="C386" t="s">
        <v>45</v>
      </c>
      <c r="D386" t="s">
        <v>455</v>
      </c>
      <c r="E386" t="s">
        <v>466</v>
      </c>
      <c r="G386" s="2">
        <v>1000</v>
      </c>
      <c r="H386">
        <v>2410</v>
      </c>
    </row>
    <row r="387" spans="1:8" x14ac:dyDescent="0.2">
      <c r="A387" s="1">
        <v>42711.765389583335</v>
      </c>
      <c r="B387" t="s">
        <v>75</v>
      </c>
      <c r="C387" t="s">
        <v>45</v>
      </c>
      <c r="D387" t="s">
        <v>455</v>
      </c>
      <c r="E387" t="s">
        <v>467</v>
      </c>
      <c r="G387" s="2">
        <v>1000</v>
      </c>
      <c r="H387">
        <v>1410</v>
      </c>
    </row>
    <row r="388" spans="1:8" x14ac:dyDescent="0.2">
      <c r="A388" s="1">
        <v>42711.765776851855</v>
      </c>
      <c r="B388" t="s">
        <v>75</v>
      </c>
      <c r="C388" t="s">
        <v>45</v>
      </c>
      <c r="D388" t="s">
        <v>455</v>
      </c>
      <c r="E388" t="s">
        <v>420</v>
      </c>
      <c r="G388" s="2">
        <v>300</v>
      </c>
      <c r="H388">
        <v>1110</v>
      </c>
    </row>
    <row r="389" spans="1:8" x14ac:dyDescent="0.2">
      <c r="A389" s="1">
        <v>42712.730944097224</v>
      </c>
      <c r="B389" t="s">
        <v>54</v>
      </c>
      <c r="C389" t="s">
        <v>45</v>
      </c>
      <c r="D389" t="s">
        <v>358</v>
      </c>
      <c r="G389" s="2">
        <v>300</v>
      </c>
      <c r="H389">
        <v>810</v>
      </c>
    </row>
    <row r="390" spans="1:8" x14ac:dyDescent="0.2">
      <c r="A390" s="1">
        <v>42712.731746412035</v>
      </c>
      <c r="B390" t="s">
        <v>54</v>
      </c>
      <c r="C390" t="s">
        <v>37</v>
      </c>
      <c r="D390" t="s">
        <v>129</v>
      </c>
      <c r="E390" t="s">
        <v>468</v>
      </c>
      <c r="G390" s="2">
        <v>110</v>
      </c>
      <c r="H390">
        <v>700</v>
      </c>
    </row>
    <row r="391" spans="1:8" x14ac:dyDescent="0.2">
      <c r="A391" s="1">
        <v>42712.732883217592</v>
      </c>
      <c r="B391" t="s">
        <v>54</v>
      </c>
      <c r="C391" t="s">
        <v>27</v>
      </c>
      <c r="D391" t="s">
        <v>469</v>
      </c>
      <c r="G391" s="2">
        <v>120</v>
      </c>
      <c r="H391">
        <v>580</v>
      </c>
    </row>
    <row r="392" spans="1:8" x14ac:dyDescent="0.2">
      <c r="A392" s="1">
        <v>42713.714022685184</v>
      </c>
      <c r="B392" t="s">
        <v>54</v>
      </c>
      <c r="C392" t="s">
        <v>45</v>
      </c>
      <c r="D392" t="s">
        <v>325</v>
      </c>
      <c r="E392" t="s">
        <v>470</v>
      </c>
      <c r="F392">
        <v>9000</v>
      </c>
      <c r="H392">
        <v>9580</v>
      </c>
    </row>
    <row r="393" spans="1:8" x14ac:dyDescent="0.2">
      <c r="A393" s="1">
        <v>42713.714812500002</v>
      </c>
      <c r="B393" t="s">
        <v>54</v>
      </c>
      <c r="C393" t="s">
        <v>45</v>
      </c>
      <c r="D393" t="s">
        <v>471</v>
      </c>
      <c r="E393" t="s">
        <v>472</v>
      </c>
      <c r="G393" s="2">
        <v>300</v>
      </c>
      <c r="H393">
        <v>9280</v>
      </c>
    </row>
    <row r="394" spans="1:8" x14ac:dyDescent="0.2">
      <c r="A394" s="1">
        <v>42713.715807523149</v>
      </c>
      <c r="B394" t="s">
        <v>54</v>
      </c>
      <c r="C394" t="s">
        <v>45</v>
      </c>
      <c r="D394" t="s">
        <v>131</v>
      </c>
      <c r="E394" t="s">
        <v>473</v>
      </c>
      <c r="G394" s="2">
        <v>400</v>
      </c>
      <c r="H394">
        <v>8880</v>
      </c>
    </row>
    <row r="395" spans="1:8" x14ac:dyDescent="0.2">
      <c r="A395" s="1">
        <v>42713.716824421295</v>
      </c>
      <c r="B395" t="s">
        <v>54</v>
      </c>
      <c r="C395" t="s">
        <v>45</v>
      </c>
      <c r="D395" t="s">
        <v>474</v>
      </c>
      <c r="E395" t="s">
        <v>322</v>
      </c>
      <c r="G395" s="2">
        <v>4000</v>
      </c>
      <c r="H395">
        <v>4880</v>
      </c>
    </row>
    <row r="396" spans="1:8" x14ac:dyDescent="0.2">
      <c r="A396" s="1">
        <v>42713.717752662036</v>
      </c>
      <c r="B396" t="s">
        <v>54</v>
      </c>
      <c r="C396" t="s">
        <v>45</v>
      </c>
      <c r="D396" t="s">
        <v>475</v>
      </c>
      <c r="E396" t="s">
        <v>476</v>
      </c>
      <c r="G396" s="2">
        <v>3500</v>
      </c>
      <c r="H396">
        <v>1380</v>
      </c>
    </row>
    <row r="397" spans="1:8" x14ac:dyDescent="0.2">
      <c r="A397" s="1">
        <v>42713.719022569443</v>
      </c>
      <c r="B397" t="s">
        <v>7</v>
      </c>
      <c r="C397" t="s">
        <v>23</v>
      </c>
      <c r="D397" t="s">
        <v>477</v>
      </c>
      <c r="E397" t="s">
        <v>478</v>
      </c>
      <c r="G397" s="2">
        <v>340</v>
      </c>
      <c r="H397">
        <v>1040</v>
      </c>
    </row>
    <row r="398" spans="1:8" x14ac:dyDescent="0.2">
      <c r="A398" s="1">
        <v>42714.716385648149</v>
      </c>
      <c r="B398" t="s">
        <v>54</v>
      </c>
      <c r="C398" t="s">
        <v>23</v>
      </c>
      <c r="D398" t="s">
        <v>479</v>
      </c>
      <c r="E398">
        <v>1</v>
      </c>
      <c r="G398" s="2">
        <v>50</v>
      </c>
      <c r="H398">
        <v>990</v>
      </c>
    </row>
    <row r="399" spans="1:8" x14ac:dyDescent="0.2">
      <c r="A399" s="1">
        <v>42714.728668171294</v>
      </c>
      <c r="B399" t="s">
        <v>54</v>
      </c>
      <c r="C399" t="s">
        <v>23</v>
      </c>
      <c r="D399" t="s">
        <v>480</v>
      </c>
      <c r="E399" t="s">
        <v>310</v>
      </c>
      <c r="G399" s="2">
        <v>130</v>
      </c>
      <c r="H399">
        <v>860</v>
      </c>
    </row>
    <row r="400" spans="1:8" x14ac:dyDescent="0.2">
      <c r="A400" s="1">
        <v>42714.729577893515</v>
      </c>
      <c r="B400" t="s">
        <v>17</v>
      </c>
      <c r="C400" t="s">
        <v>23</v>
      </c>
      <c r="D400" t="s">
        <v>481</v>
      </c>
      <c r="E400" t="s">
        <v>482</v>
      </c>
      <c r="G400" s="2">
        <v>130</v>
      </c>
      <c r="H400">
        <v>730</v>
      </c>
    </row>
    <row r="401" spans="1:8" x14ac:dyDescent="0.2">
      <c r="A401" s="1">
        <v>42714.741921064815</v>
      </c>
      <c r="B401" t="s">
        <v>54</v>
      </c>
      <c r="C401" t="s">
        <v>45</v>
      </c>
      <c r="D401" t="s">
        <v>325</v>
      </c>
      <c r="E401" t="s">
        <v>470</v>
      </c>
      <c r="F401">
        <v>9800</v>
      </c>
      <c r="H401">
        <v>10530</v>
      </c>
    </row>
    <row r="402" spans="1:8" x14ac:dyDescent="0.2">
      <c r="A402" s="1">
        <v>42714.742693865737</v>
      </c>
      <c r="B402" t="s">
        <v>44</v>
      </c>
      <c r="C402" t="s">
        <v>45</v>
      </c>
      <c r="D402" t="s">
        <v>91</v>
      </c>
      <c r="E402" t="s">
        <v>483</v>
      </c>
      <c r="G402" s="2">
        <v>900</v>
      </c>
      <c r="H402">
        <v>9630</v>
      </c>
    </row>
    <row r="403" spans="1:8" x14ac:dyDescent="0.2">
      <c r="A403" s="1">
        <v>42714.743078703701</v>
      </c>
      <c r="B403" t="s">
        <v>54</v>
      </c>
      <c r="C403" t="s">
        <v>33</v>
      </c>
      <c r="D403" t="s">
        <v>139</v>
      </c>
      <c r="G403" s="2">
        <v>1000</v>
      </c>
      <c r="H403">
        <v>8630</v>
      </c>
    </row>
    <row r="404" spans="1:8" x14ac:dyDescent="0.2">
      <c r="A404" s="1">
        <v>42714.743672106481</v>
      </c>
      <c r="B404" t="s">
        <v>75</v>
      </c>
      <c r="C404" t="s">
        <v>45</v>
      </c>
      <c r="D404" t="s">
        <v>455</v>
      </c>
      <c r="E404" t="s">
        <v>124</v>
      </c>
      <c r="G404" s="2">
        <v>4000</v>
      </c>
      <c r="H404">
        <v>4630</v>
      </c>
    </row>
    <row r="405" spans="1:8" x14ac:dyDescent="0.2">
      <c r="A405" s="1">
        <v>42714.744351157409</v>
      </c>
      <c r="B405" t="s">
        <v>44</v>
      </c>
      <c r="C405" t="s">
        <v>45</v>
      </c>
      <c r="D405" t="s">
        <v>109</v>
      </c>
      <c r="E405" t="s">
        <v>484</v>
      </c>
      <c r="G405" s="2">
        <v>3000</v>
      </c>
      <c r="H405">
        <v>1630</v>
      </c>
    </row>
    <row r="406" spans="1:8" x14ac:dyDescent="0.2">
      <c r="A406" s="1">
        <v>42714.746661805555</v>
      </c>
      <c r="B406" t="s">
        <v>17</v>
      </c>
      <c r="C406" t="s">
        <v>45</v>
      </c>
      <c r="D406" t="s">
        <v>485</v>
      </c>
      <c r="E406" t="s">
        <v>486</v>
      </c>
      <c r="G406" s="2">
        <v>830</v>
      </c>
      <c r="H406">
        <v>800</v>
      </c>
    </row>
    <row r="407" spans="1:8" x14ac:dyDescent="0.2">
      <c r="A407" s="1" t="s">
        <v>47</v>
      </c>
    </row>
    <row r="408" spans="1:8" x14ac:dyDescent="0.2">
      <c r="A408" s="1">
        <v>42716.744274537035</v>
      </c>
      <c r="D408" t="s">
        <v>10</v>
      </c>
      <c r="F408">
        <v>17200</v>
      </c>
      <c r="H408">
        <v>17200</v>
      </c>
    </row>
    <row r="409" spans="1:8" x14ac:dyDescent="0.2">
      <c r="A409" s="1">
        <v>42716.74521828704</v>
      </c>
      <c r="B409" t="s">
        <v>7</v>
      </c>
      <c r="C409" t="s">
        <v>45</v>
      </c>
      <c r="D409" t="s">
        <v>151</v>
      </c>
      <c r="E409" t="s">
        <v>487</v>
      </c>
      <c r="G409" s="2">
        <v>200</v>
      </c>
      <c r="H409">
        <v>17000</v>
      </c>
    </row>
    <row r="410" spans="1:8" x14ac:dyDescent="0.2">
      <c r="A410" s="1">
        <v>42716.747534837959</v>
      </c>
      <c r="B410" t="s">
        <v>54</v>
      </c>
      <c r="C410" t="s">
        <v>37</v>
      </c>
      <c r="D410" t="s">
        <v>488</v>
      </c>
      <c r="E410" t="s">
        <v>489</v>
      </c>
      <c r="G410" s="2">
        <v>150</v>
      </c>
      <c r="H410">
        <v>16850</v>
      </c>
    </row>
    <row r="411" spans="1:8" x14ac:dyDescent="0.2">
      <c r="A411" s="1">
        <v>42716.748156481481</v>
      </c>
      <c r="B411" t="s">
        <v>75</v>
      </c>
      <c r="C411" t="s">
        <v>45</v>
      </c>
      <c r="D411" t="s">
        <v>490</v>
      </c>
      <c r="E411" t="s">
        <v>491</v>
      </c>
      <c r="G411" s="2">
        <v>1500</v>
      </c>
      <c r="H411">
        <v>15350</v>
      </c>
    </row>
    <row r="412" spans="1:8" x14ac:dyDescent="0.2">
      <c r="A412" s="1">
        <v>42716.749000231481</v>
      </c>
      <c r="B412" t="s">
        <v>7</v>
      </c>
      <c r="C412" t="s">
        <v>23</v>
      </c>
      <c r="D412" t="s">
        <v>492</v>
      </c>
      <c r="E412" t="s">
        <v>310</v>
      </c>
      <c r="G412" s="2">
        <v>80</v>
      </c>
      <c r="H412">
        <v>15270</v>
      </c>
    </row>
    <row r="413" spans="1:8" x14ac:dyDescent="0.2">
      <c r="A413" s="1">
        <v>42717.677442129629</v>
      </c>
      <c r="B413" t="s">
        <v>7</v>
      </c>
      <c r="C413" t="s">
        <v>27</v>
      </c>
      <c r="D413" t="s">
        <v>493</v>
      </c>
      <c r="G413" s="2">
        <v>220</v>
      </c>
      <c r="H413">
        <v>15050</v>
      </c>
    </row>
    <row r="414" spans="1:8" x14ac:dyDescent="0.2">
      <c r="A414" s="1">
        <v>42717.678532638885</v>
      </c>
      <c r="B414" t="s">
        <v>7</v>
      </c>
      <c r="C414" t="s">
        <v>45</v>
      </c>
      <c r="D414" t="s">
        <v>151</v>
      </c>
      <c r="E414" t="s">
        <v>395</v>
      </c>
      <c r="G414" s="2">
        <v>240</v>
      </c>
      <c r="H414">
        <v>14810</v>
      </c>
    </row>
    <row r="415" spans="1:8" x14ac:dyDescent="0.2">
      <c r="A415" s="1">
        <v>42717.740592939816</v>
      </c>
      <c r="B415" t="s">
        <v>54</v>
      </c>
      <c r="C415" t="s">
        <v>45</v>
      </c>
      <c r="D415" t="s">
        <v>494</v>
      </c>
      <c r="E415" t="s">
        <v>223</v>
      </c>
      <c r="G415" s="2">
        <v>3500</v>
      </c>
      <c r="H415">
        <v>11310</v>
      </c>
    </row>
    <row r="416" spans="1:8" x14ac:dyDescent="0.2">
      <c r="A416" s="1">
        <v>42718.748710069442</v>
      </c>
      <c r="B416" t="s">
        <v>54</v>
      </c>
      <c r="C416" t="s">
        <v>23</v>
      </c>
      <c r="D416" t="s">
        <v>112</v>
      </c>
      <c r="G416" s="2">
        <v>250</v>
      </c>
      <c r="H416">
        <v>11060</v>
      </c>
    </row>
    <row r="417" spans="1:8" x14ac:dyDescent="0.2">
      <c r="A417" s="1">
        <v>42718.749452662036</v>
      </c>
      <c r="B417" t="s">
        <v>17</v>
      </c>
      <c r="C417" t="s">
        <v>45</v>
      </c>
      <c r="D417" t="s">
        <v>495</v>
      </c>
      <c r="E417" t="s">
        <v>342</v>
      </c>
      <c r="G417" s="2">
        <v>315</v>
      </c>
      <c r="H417">
        <v>10745</v>
      </c>
    </row>
    <row r="418" spans="1:8" x14ac:dyDescent="0.2">
      <c r="A418" s="1">
        <v>42718.749890046296</v>
      </c>
      <c r="B418" t="s">
        <v>7</v>
      </c>
      <c r="C418" t="s">
        <v>23</v>
      </c>
      <c r="D418" t="s">
        <v>151</v>
      </c>
      <c r="E418" t="s">
        <v>426</v>
      </c>
      <c r="G418" s="2">
        <v>100</v>
      </c>
      <c r="H418">
        <v>10645</v>
      </c>
    </row>
    <row r="419" spans="1:8" x14ac:dyDescent="0.2">
      <c r="A419" s="1">
        <v>42718.750353819443</v>
      </c>
      <c r="B419" t="s">
        <v>54</v>
      </c>
      <c r="C419" t="s">
        <v>27</v>
      </c>
      <c r="D419" t="s">
        <v>108</v>
      </c>
      <c r="E419" t="s">
        <v>305</v>
      </c>
      <c r="G419" s="2">
        <v>540</v>
      </c>
      <c r="H419">
        <v>10105</v>
      </c>
    </row>
    <row r="420" spans="1:8" x14ac:dyDescent="0.2">
      <c r="A420" s="1">
        <v>42718.750653703704</v>
      </c>
      <c r="B420" t="s">
        <v>54</v>
      </c>
      <c r="C420" t="s">
        <v>45</v>
      </c>
      <c r="D420" t="s">
        <v>496</v>
      </c>
      <c r="G420" s="2">
        <v>30</v>
      </c>
      <c r="H420">
        <v>10075</v>
      </c>
    </row>
    <row r="421" spans="1:8" x14ac:dyDescent="0.2">
      <c r="A421" s="1">
        <v>42718.751215972225</v>
      </c>
      <c r="B421" t="s">
        <v>54</v>
      </c>
      <c r="C421" t="s">
        <v>27</v>
      </c>
      <c r="D421" t="s">
        <v>242</v>
      </c>
      <c r="E421" t="s">
        <v>243</v>
      </c>
      <c r="G421" s="2">
        <v>540</v>
      </c>
      <c r="H421">
        <v>9535</v>
      </c>
    </row>
    <row r="422" spans="1:8" x14ac:dyDescent="0.2">
      <c r="A422" s="1">
        <v>42719.758474074071</v>
      </c>
      <c r="B422" t="s">
        <v>18</v>
      </c>
      <c r="C422" t="s">
        <v>27</v>
      </c>
      <c r="D422" t="s">
        <v>497</v>
      </c>
      <c r="E422" t="s">
        <v>498</v>
      </c>
      <c r="G422" s="2">
        <v>1200</v>
      </c>
      <c r="H422">
        <v>8335</v>
      </c>
    </row>
    <row r="423" spans="1:8" x14ac:dyDescent="0.2">
      <c r="A423" s="1">
        <v>42719.759571643517</v>
      </c>
      <c r="B423" t="s">
        <v>7</v>
      </c>
      <c r="C423" t="s">
        <v>35</v>
      </c>
      <c r="D423" t="s">
        <v>499</v>
      </c>
      <c r="E423" t="s">
        <v>500</v>
      </c>
      <c r="G423" s="2">
        <v>160</v>
      </c>
      <c r="H423">
        <v>8175</v>
      </c>
    </row>
    <row r="424" spans="1:8" x14ac:dyDescent="0.2">
      <c r="A424" s="1">
        <v>42719.759970833336</v>
      </c>
      <c r="B424" t="s">
        <v>7</v>
      </c>
      <c r="C424" t="s">
        <v>37</v>
      </c>
      <c r="D424" t="s">
        <v>216</v>
      </c>
      <c r="E424" t="s">
        <v>274</v>
      </c>
      <c r="G424" s="2">
        <v>100</v>
      </c>
      <c r="H424">
        <v>8075</v>
      </c>
    </row>
    <row r="425" spans="1:8" x14ac:dyDescent="0.2">
      <c r="A425" s="1">
        <v>42719.760503935184</v>
      </c>
      <c r="B425" t="s">
        <v>44</v>
      </c>
      <c r="C425" t="s">
        <v>45</v>
      </c>
      <c r="D425" t="s">
        <v>109</v>
      </c>
      <c r="E425" t="s">
        <v>369</v>
      </c>
      <c r="G425" s="2">
        <v>1000</v>
      </c>
      <c r="H425">
        <v>7075</v>
      </c>
    </row>
    <row r="426" spans="1:8" x14ac:dyDescent="0.2">
      <c r="A426" s="1">
        <v>42720.729858680555</v>
      </c>
      <c r="B426" t="s">
        <v>44</v>
      </c>
      <c r="C426" t="s">
        <v>45</v>
      </c>
      <c r="D426" t="s">
        <v>91</v>
      </c>
      <c r="E426" t="s">
        <v>501</v>
      </c>
      <c r="G426" s="2">
        <v>1000</v>
      </c>
      <c r="H426">
        <v>6075</v>
      </c>
    </row>
    <row r="427" spans="1:8" x14ac:dyDescent="0.2">
      <c r="A427" s="1">
        <v>42720.730922453702</v>
      </c>
      <c r="B427" t="s">
        <v>7</v>
      </c>
      <c r="C427" t="s">
        <v>23</v>
      </c>
      <c r="D427" t="s">
        <v>217</v>
      </c>
      <c r="E427" t="s">
        <v>502</v>
      </c>
      <c r="G427" s="2">
        <v>40</v>
      </c>
      <c r="H427">
        <v>6035</v>
      </c>
    </row>
    <row r="428" spans="1:8" x14ac:dyDescent="0.2">
      <c r="A428" s="1">
        <v>42720.731413425929</v>
      </c>
      <c r="B428" t="s">
        <v>54</v>
      </c>
      <c r="C428" t="s">
        <v>23</v>
      </c>
      <c r="D428" t="s">
        <v>139</v>
      </c>
      <c r="G428" s="2">
        <v>300</v>
      </c>
      <c r="H428">
        <v>5735</v>
      </c>
    </row>
    <row r="429" spans="1:8" x14ac:dyDescent="0.2">
      <c r="A429" s="1">
        <v>42720.731900925923</v>
      </c>
      <c r="B429" t="s">
        <v>54</v>
      </c>
      <c r="C429" t="s">
        <v>37</v>
      </c>
      <c r="D429" t="s">
        <v>488</v>
      </c>
      <c r="E429" t="s">
        <v>503</v>
      </c>
      <c r="G429" s="2">
        <v>180</v>
      </c>
      <c r="H429">
        <v>5555</v>
      </c>
    </row>
    <row r="430" spans="1:8" x14ac:dyDescent="0.2">
      <c r="A430" s="1">
        <v>42720.733214814813</v>
      </c>
      <c r="B430" t="s">
        <v>7</v>
      </c>
      <c r="C430" t="s">
        <v>35</v>
      </c>
      <c r="D430" t="s">
        <v>504</v>
      </c>
      <c r="E430" t="s">
        <v>505</v>
      </c>
      <c r="G430" s="2">
        <v>120</v>
      </c>
      <c r="H430">
        <v>5435</v>
      </c>
    </row>
    <row r="431" spans="1:8" x14ac:dyDescent="0.2">
      <c r="A431" s="1">
        <v>42720.734342939817</v>
      </c>
      <c r="B431" t="s">
        <v>54</v>
      </c>
      <c r="C431" t="s">
        <v>35</v>
      </c>
      <c r="D431" t="s">
        <v>506</v>
      </c>
      <c r="E431" t="s">
        <v>507</v>
      </c>
      <c r="G431" s="2">
        <v>160</v>
      </c>
      <c r="H431">
        <v>5275</v>
      </c>
    </row>
    <row r="432" spans="1:8" x14ac:dyDescent="0.2">
      <c r="A432" s="1">
        <v>42720.735126157408</v>
      </c>
      <c r="B432" t="s">
        <v>18</v>
      </c>
      <c r="C432" t="s">
        <v>27</v>
      </c>
      <c r="D432" t="s">
        <v>498</v>
      </c>
      <c r="E432" t="s">
        <v>243</v>
      </c>
      <c r="G432" s="2">
        <v>800</v>
      </c>
      <c r="H432">
        <v>4475</v>
      </c>
    </row>
    <row r="433" spans="1:8" x14ac:dyDescent="0.2">
      <c r="A433" s="1">
        <v>42720.735847222226</v>
      </c>
      <c r="B433" t="s">
        <v>54</v>
      </c>
      <c r="C433" t="s">
        <v>45</v>
      </c>
      <c r="D433" t="s">
        <v>125</v>
      </c>
      <c r="E433" t="s">
        <v>508</v>
      </c>
      <c r="G433" s="2">
        <v>500</v>
      </c>
      <c r="H433">
        <v>3975</v>
      </c>
    </row>
    <row r="434" spans="1:8" x14ac:dyDescent="0.2">
      <c r="A434" s="1">
        <v>42721.647962037037</v>
      </c>
      <c r="B434" t="s">
        <v>75</v>
      </c>
      <c r="C434" t="s">
        <v>45</v>
      </c>
      <c r="D434" t="s">
        <v>509</v>
      </c>
      <c r="E434" t="s">
        <v>98</v>
      </c>
      <c r="G434" s="2">
        <v>1200</v>
      </c>
      <c r="H434">
        <v>2775</v>
      </c>
    </row>
    <row r="435" spans="1:8" x14ac:dyDescent="0.2">
      <c r="A435" s="1">
        <v>42721.648610069446</v>
      </c>
      <c r="B435" t="s">
        <v>75</v>
      </c>
      <c r="C435" t="s">
        <v>45</v>
      </c>
      <c r="D435" t="s">
        <v>509</v>
      </c>
      <c r="E435" t="s">
        <v>510</v>
      </c>
      <c r="G435" s="2">
        <v>1500</v>
      </c>
      <c r="H435">
        <v>1275</v>
      </c>
    </row>
    <row r="436" spans="1:8" x14ac:dyDescent="0.2">
      <c r="A436" s="1">
        <v>42721.649480439817</v>
      </c>
      <c r="B436" t="s">
        <v>17</v>
      </c>
      <c r="C436" t="s">
        <v>23</v>
      </c>
      <c r="D436" t="s">
        <v>511</v>
      </c>
      <c r="E436" t="s">
        <v>340</v>
      </c>
      <c r="G436" s="2">
        <v>235</v>
      </c>
      <c r="H436">
        <v>1040</v>
      </c>
    </row>
    <row r="437" spans="1:8" x14ac:dyDescent="0.2">
      <c r="A437" s="1">
        <v>42721.650384143519</v>
      </c>
      <c r="B437" t="s">
        <v>7</v>
      </c>
      <c r="C437" t="s">
        <v>23</v>
      </c>
      <c r="D437" t="s">
        <v>512</v>
      </c>
      <c r="E437">
        <v>1</v>
      </c>
      <c r="G437" s="2">
        <v>140</v>
      </c>
      <c r="H437">
        <v>900</v>
      </c>
    </row>
    <row r="438" spans="1:8" x14ac:dyDescent="0.2">
      <c r="A438" s="1">
        <v>42721.651376620372</v>
      </c>
      <c r="B438" t="s">
        <v>7</v>
      </c>
      <c r="C438" t="s">
        <v>23</v>
      </c>
      <c r="D438" t="s">
        <v>513</v>
      </c>
      <c r="E438" t="s">
        <v>514</v>
      </c>
      <c r="G438" s="2">
        <v>210</v>
      </c>
      <c r="H438">
        <v>690</v>
      </c>
    </row>
    <row r="439" spans="1:8" x14ac:dyDescent="0.2">
      <c r="A439" s="1">
        <v>42721.678485069446</v>
      </c>
      <c r="B439" t="s">
        <v>17</v>
      </c>
      <c r="C439" t="s">
        <v>23</v>
      </c>
      <c r="D439" t="s">
        <v>515</v>
      </c>
      <c r="E439" t="s">
        <v>282</v>
      </c>
      <c r="G439" s="2">
        <v>140</v>
      </c>
      <c r="H439">
        <v>550</v>
      </c>
    </row>
    <row r="440" spans="1:8" x14ac:dyDescent="0.2">
      <c r="A440" s="1">
        <v>42721.731082754632</v>
      </c>
      <c r="B440" t="s">
        <v>7</v>
      </c>
      <c r="C440" t="s">
        <v>23</v>
      </c>
      <c r="D440" t="s">
        <v>516</v>
      </c>
      <c r="G440" s="2">
        <v>100</v>
      </c>
      <c r="H440">
        <v>450</v>
      </c>
    </row>
    <row r="441" spans="1:8" x14ac:dyDescent="0.2">
      <c r="A441" s="1">
        <v>42723.722161458332</v>
      </c>
      <c r="B441" t="s">
        <v>80</v>
      </c>
      <c r="C441" t="s">
        <v>45</v>
      </c>
      <c r="H441">
        <v>450</v>
      </c>
    </row>
    <row r="442" spans="1:8" x14ac:dyDescent="0.2">
      <c r="A442" s="1">
        <v>42723.722253356478</v>
      </c>
      <c r="B442" t="s">
        <v>80</v>
      </c>
      <c r="C442" t="s">
        <v>80</v>
      </c>
      <c r="H442">
        <v>450</v>
      </c>
    </row>
    <row r="443" spans="1:8" x14ac:dyDescent="0.2">
      <c r="A443" s="1" t="s">
        <v>47</v>
      </c>
    </row>
    <row r="444" spans="1:8" x14ac:dyDescent="0.2">
      <c r="A444" s="1">
        <v>42723.722298032408</v>
      </c>
      <c r="D444" t="s">
        <v>10</v>
      </c>
      <c r="F444">
        <v>36000</v>
      </c>
      <c r="H444">
        <v>36000</v>
      </c>
    </row>
    <row r="445" spans="1:8" x14ac:dyDescent="0.2">
      <c r="A445" s="1">
        <v>42723.723102662036</v>
      </c>
      <c r="B445" t="s">
        <v>7</v>
      </c>
      <c r="C445" t="s">
        <v>23</v>
      </c>
      <c r="D445" t="s">
        <v>517</v>
      </c>
      <c r="E445" t="s">
        <v>518</v>
      </c>
      <c r="G445" s="2">
        <v>200</v>
      </c>
      <c r="H445">
        <v>35800</v>
      </c>
    </row>
    <row r="446" spans="1:8" x14ac:dyDescent="0.2">
      <c r="A446" s="1">
        <v>42723.725878124998</v>
      </c>
      <c r="B446" t="s">
        <v>7</v>
      </c>
      <c r="C446" t="s">
        <v>35</v>
      </c>
      <c r="D446" t="s">
        <v>151</v>
      </c>
      <c r="E446" t="s">
        <v>519</v>
      </c>
      <c r="G446" s="2">
        <v>200</v>
      </c>
      <c r="H446">
        <v>35600</v>
      </c>
    </row>
    <row r="447" spans="1:8" x14ac:dyDescent="0.2">
      <c r="A447" s="1">
        <v>42723.747514699076</v>
      </c>
      <c r="B447" t="s">
        <v>54</v>
      </c>
      <c r="C447" t="s">
        <v>45</v>
      </c>
      <c r="D447" t="s">
        <v>521</v>
      </c>
      <c r="E447" t="s">
        <v>520</v>
      </c>
      <c r="G447" s="2">
        <v>1466</v>
      </c>
      <c r="H447">
        <v>34134</v>
      </c>
    </row>
    <row r="448" spans="1:8" x14ac:dyDescent="0.2">
      <c r="A448" s="1">
        <v>42723.748102199075</v>
      </c>
      <c r="B448" t="s">
        <v>54</v>
      </c>
      <c r="C448" t="s">
        <v>45</v>
      </c>
      <c r="D448" t="s">
        <v>523</v>
      </c>
      <c r="E448" t="s">
        <v>522</v>
      </c>
      <c r="G448" s="2">
        <v>1950</v>
      </c>
      <c r="H448">
        <v>32184</v>
      </c>
    </row>
    <row r="449" spans="1:8" x14ac:dyDescent="0.2">
      <c r="A449" s="1">
        <v>42723.748553240737</v>
      </c>
      <c r="B449" t="s">
        <v>75</v>
      </c>
      <c r="C449" t="s">
        <v>45</v>
      </c>
      <c r="D449" t="s">
        <v>524</v>
      </c>
      <c r="E449" t="s">
        <v>525</v>
      </c>
      <c r="G449" s="2">
        <v>1000</v>
      </c>
      <c r="H449">
        <v>31184</v>
      </c>
    </row>
    <row r="450" spans="1:8" x14ac:dyDescent="0.2">
      <c r="A450" s="1">
        <v>42723.749371296297</v>
      </c>
      <c r="B450" t="s">
        <v>75</v>
      </c>
      <c r="C450" t="s">
        <v>45</v>
      </c>
      <c r="D450" t="s">
        <v>524</v>
      </c>
      <c r="E450" t="s">
        <v>526</v>
      </c>
      <c r="G450" s="2">
        <v>200</v>
      </c>
      <c r="H450">
        <v>30984</v>
      </c>
    </row>
    <row r="451" spans="1:8" x14ac:dyDescent="0.2">
      <c r="A451" s="1">
        <v>42724.685611342589</v>
      </c>
      <c r="B451" t="s">
        <v>54</v>
      </c>
      <c r="C451" t="s">
        <v>19</v>
      </c>
      <c r="D451" t="s">
        <v>527</v>
      </c>
      <c r="G451" s="2">
        <v>7000</v>
      </c>
      <c r="H451">
        <v>23984</v>
      </c>
    </row>
    <row r="452" spans="1:8" x14ac:dyDescent="0.2">
      <c r="A452" s="1">
        <v>42724.687213888887</v>
      </c>
      <c r="B452" t="s">
        <v>64</v>
      </c>
      <c r="C452" t="s">
        <v>33</v>
      </c>
      <c r="D452" t="s">
        <v>528</v>
      </c>
      <c r="G452" s="2">
        <v>6000</v>
      </c>
      <c r="H452">
        <v>17984</v>
      </c>
    </row>
    <row r="453" spans="1:8" x14ac:dyDescent="0.2">
      <c r="A453" s="1">
        <v>42724.687984722223</v>
      </c>
      <c r="B453" t="s">
        <v>54</v>
      </c>
      <c r="C453" t="s">
        <v>23</v>
      </c>
      <c r="D453" t="s">
        <v>162</v>
      </c>
      <c r="G453" s="2">
        <v>60</v>
      </c>
      <c r="H453">
        <v>17924</v>
      </c>
    </row>
    <row r="454" spans="1:8" x14ac:dyDescent="0.2">
      <c r="A454" s="1">
        <v>42724.705314814812</v>
      </c>
      <c r="B454" t="s">
        <v>54</v>
      </c>
      <c r="C454" t="s">
        <v>23</v>
      </c>
      <c r="D454" t="s">
        <v>529</v>
      </c>
      <c r="E454">
        <v>1</v>
      </c>
      <c r="G454" s="2">
        <v>150</v>
      </c>
      <c r="H454">
        <v>17774</v>
      </c>
    </row>
    <row r="455" spans="1:8" x14ac:dyDescent="0.2">
      <c r="A455" s="1">
        <v>42724.706131828701</v>
      </c>
      <c r="B455" t="s">
        <v>7</v>
      </c>
      <c r="C455" t="s">
        <v>23</v>
      </c>
      <c r="D455" t="s">
        <v>288</v>
      </c>
      <c r="E455" t="s">
        <v>530</v>
      </c>
      <c r="G455" s="2">
        <v>80</v>
      </c>
      <c r="H455">
        <v>17694</v>
      </c>
    </row>
    <row r="456" spans="1:8" x14ac:dyDescent="0.2">
      <c r="A456" s="1">
        <v>42724.708344212966</v>
      </c>
      <c r="B456" t="s">
        <v>7</v>
      </c>
      <c r="C456" t="s">
        <v>45</v>
      </c>
      <c r="D456" t="s">
        <v>531</v>
      </c>
      <c r="E456" t="s">
        <v>532</v>
      </c>
      <c r="G456" s="2">
        <v>110</v>
      </c>
      <c r="H456">
        <v>17584</v>
      </c>
    </row>
    <row r="457" spans="1:8" x14ac:dyDescent="0.2">
      <c r="A457" s="1">
        <v>42724.708854629629</v>
      </c>
      <c r="B457" t="s">
        <v>44</v>
      </c>
      <c r="C457" t="s">
        <v>45</v>
      </c>
      <c r="D457" t="s">
        <v>109</v>
      </c>
      <c r="E457" t="s">
        <v>533</v>
      </c>
      <c r="G457" s="2">
        <v>1000</v>
      </c>
      <c r="H457">
        <v>16584</v>
      </c>
    </row>
    <row r="458" spans="1:8" x14ac:dyDescent="0.2">
      <c r="A458" s="1">
        <v>42724.709212731483</v>
      </c>
      <c r="B458" t="s">
        <v>44</v>
      </c>
      <c r="C458" t="s">
        <v>45</v>
      </c>
      <c r="D458" t="s">
        <v>109</v>
      </c>
      <c r="E458" t="s">
        <v>534</v>
      </c>
      <c r="G458" s="2">
        <v>700</v>
      </c>
      <c r="H458">
        <v>15884</v>
      </c>
    </row>
    <row r="459" spans="1:8" x14ac:dyDescent="0.2">
      <c r="A459" s="1">
        <v>42724.709609143516</v>
      </c>
      <c r="B459" t="s">
        <v>44</v>
      </c>
      <c r="C459" t="s">
        <v>45</v>
      </c>
      <c r="D459" t="s">
        <v>109</v>
      </c>
      <c r="E459" t="s">
        <v>535</v>
      </c>
      <c r="G459" s="2">
        <v>300</v>
      </c>
      <c r="H459">
        <v>15584</v>
      </c>
    </row>
    <row r="460" spans="1:8" x14ac:dyDescent="0.2">
      <c r="A460" s="1">
        <v>42724.710049884263</v>
      </c>
      <c r="B460" t="s">
        <v>44</v>
      </c>
      <c r="C460" t="s">
        <v>45</v>
      </c>
      <c r="D460" t="s">
        <v>109</v>
      </c>
      <c r="E460" t="s">
        <v>536</v>
      </c>
      <c r="G460" s="2">
        <v>200</v>
      </c>
      <c r="H460">
        <v>15384</v>
      </c>
    </row>
    <row r="461" spans="1:8" x14ac:dyDescent="0.2">
      <c r="A461" s="1">
        <v>42724.710347685184</v>
      </c>
      <c r="B461" t="s">
        <v>44</v>
      </c>
      <c r="C461" t="s">
        <v>45</v>
      </c>
      <c r="D461" t="s">
        <v>109</v>
      </c>
      <c r="E461" t="s">
        <v>92</v>
      </c>
      <c r="G461" s="2">
        <v>2600</v>
      </c>
      <c r="H461">
        <v>12784</v>
      </c>
    </row>
    <row r="462" spans="1:8" x14ac:dyDescent="0.2">
      <c r="A462" s="1">
        <v>42724.726666087961</v>
      </c>
      <c r="B462" t="s">
        <v>54</v>
      </c>
      <c r="C462" t="s">
        <v>45</v>
      </c>
      <c r="D462" t="s">
        <v>537</v>
      </c>
      <c r="E462" t="s">
        <v>538</v>
      </c>
      <c r="G462" s="2">
        <v>2725</v>
      </c>
      <c r="H462">
        <v>10059</v>
      </c>
    </row>
    <row r="463" spans="1:8" x14ac:dyDescent="0.2">
      <c r="A463" s="1">
        <v>42724.735017129628</v>
      </c>
      <c r="B463" t="s">
        <v>75</v>
      </c>
      <c r="C463" t="s">
        <v>45</v>
      </c>
      <c r="D463" t="s">
        <v>539</v>
      </c>
      <c r="E463" t="s">
        <v>279</v>
      </c>
      <c r="G463" s="2">
        <v>500</v>
      </c>
      <c r="H463">
        <v>9559</v>
      </c>
    </row>
    <row r="464" spans="1:8" x14ac:dyDescent="0.2">
      <c r="A464" s="1">
        <v>42724.735563541668</v>
      </c>
      <c r="B464" t="s">
        <v>75</v>
      </c>
      <c r="C464" t="s">
        <v>45</v>
      </c>
      <c r="D464" t="s">
        <v>539</v>
      </c>
      <c r="E464" t="s">
        <v>467</v>
      </c>
      <c r="G464" s="2">
        <v>1000</v>
      </c>
      <c r="H464">
        <v>8559</v>
      </c>
    </row>
    <row r="465" spans="1:8" x14ac:dyDescent="0.2">
      <c r="A465" s="1">
        <v>42724.74206261574</v>
      </c>
      <c r="B465" t="s">
        <v>75</v>
      </c>
      <c r="C465" t="s">
        <v>45</v>
      </c>
      <c r="D465" t="s">
        <v>539</v>
      </c>
      <c r="E465" t="s">
        <v>540</v>
      </c>
      <c r="G465" s="2">
        <v>2000</v>
      </c>
      <c r="H465">
        <v>6559</v>
      </c>
    </row>
    <row r="466" spans="1:8" x14ac:dyDescent="0.2">
      <c r="A466" s="1">
        <v>42725.761534837962</v>
      </c>
      <c r="B466" t="s">
        <v>17</v>
      </c>
      <c r="C466" t="s">
        <v>45</v>
      </c>
      <c r="D466" t="s">
        <v>541</v>
      </c>
      <c r="G466" s="2">
        <v>4500</v>
      </c>
      <c r="H466">
        <v>2059</v>
      </c>
    </row>
    <row r="467" spans="1:8" x14ac:dyDescent="0.2">
      <c r="A467" s="1">
        <v>42725.761993402775</v>
      </c>
      <c r="B467" t="s">
        <v>54</v>
      </c>
      <c r="C467" t="s">
        <v>45</v>
      </c>
      <c r="D467" t="s">
        <v>164</v>
      </c>
      <c r="G467" s="2">
        <v>1926</v>
      </c>
      <c r="H467">
        <v>133</v>
      </c>
    </row>
    <row r="468" spans="1:8" x14ac:dyDescent="0.2">
      <c r="A468" s="1">
        <v>42725.762560995368</v>
      </c>
      <c r="B468" t="s">
        <v>64</v>
      </c>
      <c r="C468" t="s">
        <v>33</v>
      </c>
      <c r="D468" t="s">
        <v>542</v>
      </c>
      <c r="G468" s="2">
        <v>71</v>
      </c>
      <c r="H468">
        <v>62</v>
      </c>
    </row>
    <row r="469" spans="1:8" x14ac:dyDescent="0.2">
      <c r="A469" s="1">
        <v>42725.767912615738</v>
      </c>
      <c r="B469" t="s">
        <v>54</v>
      </c>
      <c r="C469" t="s">
        <v>45</v>
      </c>
      <c r="D469" t="s">
        <v>325</v>
      </c>
      <c r="E469" t="s">
        <v>545</v>
      </c>
      <c r="F469">
        <v>5000</v>
      </c>
      <c r="H469">
        <v>5062</v>
      </c>
    </row>
    <row r="470" spans="1:8" x14ac:dyDescent="0.2">
      <c r="A470" s="1">
        <v>42725.768319212963</v>
      </c>
      <c r="B470" t="s">
        <v>54</v>
      </c>
      <c r="C470" t="s">
        <v>45</v>
      </c>
      <c r="D470" t="s">
        <v>464</v>
      </c>
      <c r="E470" t="s">
        <v>543</v>
      </c>
      <c r="G470" s="2">
        <v>175</v>
      </c>
      <c r="H470">
        <v>4887</v>
      </c>
    </row>
    <row r="471" spans="1:8" x14ac:dyDescent="0.2">
      <c r="A471" s="1">
        <v>42725.768641666669</v>
      </c>
      <c r="B471" t="s">
        <v>54</v>
      </c>
      <c r="C471" t="s">
        <v>23</v>
      </c>
      <c r="D471" t="s">
        <v>162</v>
      </c>
      <c r="G471" s="2">
        <v>100</v>
      </c>
      <c r="H471">
        <v>4787</v>
      </c>
    </row>
    <row r="472" spans="1:8" x14ac:dyDescent="0.2">
      <c r="A472" s="1">
        <v>42725.769081481485</v>
      </c>
      <c r="B472" t="s">
        <v>17</v>
      </c>
      <c r="C472" t="s">
        <v>23</v>
      </c>
      <c r="D472" t="s">
        <v>546</v>
      </c>
      <c r="E472" t="s">
        <v>374</v>
      </c>
      <c r="G472" s="2">
        <v>450</v>
      </c>
      <c r="H472">
        <v>4337</v>
      </c>
    </row>
    <row r="473" spans="1:8" x14ac:dyDescent="0.2">
      <c r="A473" s="1">
        <v>42725.769562384259</v>
      </c>
      <c r="B473" t="s">
        <v>54</v>
      </c>
      <c r="C473" t="s">
        <v>23</v>
      </c>
      <c r="D473" t="s">
        <v>544</v>
      </c>
      <c r="G473" s="2">
        <v>830</v>
      </c>
      <c r="H473">
        <v>3507</v>
      </c>
    </row>
    <row r="474" spans="1:8" x14ac:dyDescent="0.2">
      <c r="A474" s="1">
        <v>42725.770105902775</v>
      </c>
      <c r="B474" t="s">
        <v>75</v>
      </c>
      <c r="C474" t="s">
        <v>45</v>
      </c>
      <c r="D474" t="s">
        <v>547</v>
      </c>
      <c r="E474" t="s">
        <v>548</v>
      </c>
      <c r="G474" s="2">
        <v>1000</v>
      </c>
      <c r="H474">
        <v>2507</v>
      </c>
    </row>
    <row r="475" spans="1:8" x14ac:dyDescent="0.2">
      <c r="A475" s="1">
        <v>42725.770394907406</v>
      </c>
      <c r="B475" t="s">
        <v>75</v>
      </c>
      <c r="C475" t="s">
        <v>45</v>
      </c>
      <c r="D475" t="s">
        <v>547</v>
      </c>
      <c r="E475" t="s">
        <v>124</v>
      </c>
      <c r="G475" s="2">
        <v>2000</v>
      </c>
      <c r="H475">
        <v>507</v>
      </c>
    </row>
    <row r="476" spans="1:8" x14ac:dyDescent="0.2">
      <c r="A476" s="1">
        <v>42726.73597199074</v>
      </c>
      <c r="B476" t="s">
        <v>54</v>
      </c>
      <c r="C476" t="s">
        <v>23</v>
      </c>
      <c r="D476" t="s">
        <v>281</v>
      </c>
      <c r="E476" t="s">
        <v>292</v>
      </c>
      <c r="G476" s="2">
        <v>195</v>
      </c>
      <c r="H476">
        <v>312</v>
      </c>
    </row>
    <row r="477" spans="1:8" x14ac:dyDescent="0.2">
      <c r="A477" s="1">
        <v>42726.736416782405</v>
      </c>
      <c r="B477" t="s">
        <v>7</v>
      </c>
      <c r="C477" t="s">
        <v>23</v>
      </c>
      <c r="D477" t="s">
        <v>549</v>
      </c>
      <c r="E477">
        <v>1</v>
      </c>
      <c r="G477" s="2">
        <v>200</v>
      </c>
      <c r="H477">
        <v>112</v>
      </c>
    </row>
    <row r="478" spans="1:8" x14ac:dyDescent="0.2">
      <c r="A478" s="1">
        <v>42726.739241550924</v>
      </c>
      <c r="B478" t="s">
        <v>54</v>
      </c>
      <c r="C478" t="s">
        <v>45</v>
      </c>
      <c r="D478" t="s">
        <v>524</v>
      </c>
      <c r="E478" t="s">
        <v>550</v>
      </c>
      <c r="F478">
        <v>5000</v>
      </c>
      <c r="H478">
        <v>5112</v>
      </c>
    </row>
    <row r="479" spans="1:8" x14ac:dyDescent="0.2">
      <c r="A479" s="1">
        <v>42726.739863310184</v>
      </c>
      <c r="B479" t="s">
        <v>54</v>
      </c>
      <c r="C479" t="s">
        <v>45</v>
      </c>
      <c r="D479" t="s">
        <v>551</v>
      </c>
      <c r="E479" t="s">
        <v>552</v>
      </c>
      <c r="G479" s="2">
        <v>3040</v>
      </c>
      <c r="H479">
        <v>2072</v>
      </c>
    </row>
    <row r="480" spans="1:8" x14ac:dyDescent="0.2">
      <c r="A480" s="1">
        <v>42726.740790046293</v>
      </c>
      <c r="B480" t="s">
        <v>54</v>
      </c>
      <c r="C480" t="s">
        <v>45</v>
      </c>
      <c r="D480" t="s">
        <v>551</v>
      </c>
      <c r="E480" t="s">
        <v>553</v>
      </c>
      <c r="G480" s="2">
        <v>1490</v>
      </c>
      <c r="H480">
        <v>582</v>
      </c>
    </row>
    <row r="481" spans="1:8" x14ac:dyDescent="0.2">
      <c r="A481" s="1">
        <v>42727.726992013886</v>
      </c>
      <c r="B481" t="s">
        <v>54</v>
      </c>
      <c r="C481" t="s">
        <v>23</v>
      </c>
      <c r="D481" t="s">
        <v>554</v>
      </c>
      <c r="E481" t="s">
        <v>438</v>
      </c>
      <c r="G481" s="2">
        <v>120</v>
      </c>
      <c r="H481">
        <v>462</v>
      </c>
    </row>
    <row r="482" spans="1:8" x14ac:dyDescent="0.2">
      <c r="A482" s="1">
        <v>42727.72786979167</v>
      </c>
      <c r="B482" t="s">
        <v>7</v>
      </c>
      <c r="C482" t="s">
        <v>35</v>
      </c>
      <c r="D482" t="s">
        <v>151</v>
      </c>
      <c r="E482" t="s">
        <v>395</v>
      </c>
      <c r="G482" s="2">
        <v>80</v>
      </c>
      <c r="H482">
        <v>382</v>
      </c>
    </row>
    <row r="483" spans="1:8" x14ac:dyDescent="0.2">
      <c r="A483" s="1">
        <v>42727.728596064815</v>
      </c>
      <c r="B483" t="s">
        <v>7</v>
      </c>
      <c r="C483" t="s">
        <v>23</v>
      </c>
      <c r="D483" t="s">
        <v>555</v>
      </c>
      <c r="E483" t="s">
        <v>274</v>
      </c>
      <c r="G483" s="2">
        <v>200</v>
      </c>
      <c r="H483">
        <v>182</v>
      </c>
    </row>
    <row r="484" spans="1:8" x14ac:dyDescent="0.2">
      <c r="A484" s="1">
        <v>42727.731691550929</v>
      </c>
      <c r="B484" t="s">
        <v>54</v>
      </c>
      <c r="C484" t="s">
        <v>45</v>
      </c>
      <c r="D484" t="s">
        <v>547</v>
      </c>
      <c r="E484" t="s">
        <v>550</v>
      </c>
      <c r="F484">
        <v>11300</v>
      </c>
      <c r="H484">
        <v>11482</v>
      </c>
    </row>
    <row r="485" spans="1:8" x14ac:dyDescent="0.2">
      <c r="A485" s="1">
        <v>42727.732279166667</v>
      </c>
      <c r="B485" t="s">
        <v>54</v>
      </c>
      <c r="C485" t="s">
        <v>45</v>
      </c>
      <c r="D485" t="s">
        <v>556</v>
      </c>
      <c r="E485" t="s">
        <v>557</v>
      </c>
      <c r="G485" s="2">
        <v>4000</v>
      </c>
      <c r="H485">
        <v>7482</v>
      </c>
    </row>
    <row r="486" spans="1:8" x14ac:dyDescent="0.2">
      <c r="A486" s="1">
        <v>42727.733043518521</v>
      </c>
      <c r="B486" t="s">
        <v>7</v>
      </c>
      <c r="C486" t="s">
        <v>23</v>
      </c>
      <c r="D486" t="s">
        <v>558</v>
      </c>
      <c r="E486" t="s">
        <v>559</v>
      </c>
      <c r="G486" s="2">
        <v>450</v>
      </c>
      <c r="H486">
        <v>7032</v>
      </c>
    </row>
    <row r="487" spans="1:8" x14ac:dyDescent="0.2">
      <c r="A487" s="1">
        <v>42727.733822222224</v>
      </c>
      <c r="B487" t="s">
        <v>54</v>
      </c>
      <c r="C487" t="s">
        <v>45</v>
      </c>
      <c r="D487" t="s">
        <v>560</v>
      </c>
      <c r="E487" t="s">
        <v>342</v>
      </c>
      <c r="G487" s="2">
        <v>4500</v>
      </c>
      <c r="H487">
        <v>2532</v>
      </c>
    </row>
    <row r="488" spans="1:8" x14ac:dyDescent="0.2">
      <c r="A488" s="1">
        <v>42727.734320601849</v>
      </c>
      <c r="B488" t="s">
        <v>44</v>
      </c>
      <c r="C488" t="s">
        <v>45</v>
      </c>
      <c r="D488" t="s">
        <v>109</v>
      </c>
      <c r="G488" s="2">
        <v>1000</v>
      </c>
      <c r="H488">
        <v>1532</v>
      </c>
    </row>
    <row r="489" spans="1:8" x14ac:dyDescent="0.2">
      <c r="A489" s="1">
        <v>42727.734619444447</v>
      </c>
      <c r="B489" t="s">
        <v>75</v>
      </c>
      <c r="C489" t="s">
        <v>45</v>
      </c>
      <c r="D489" t="s">
        <v>547</v>
      </c>
      <c r="E489" t="s">
        <v>561</v>
      </c>
      <c r="G489" s="2">
        <v>1000</v>
      </c>
      <c r="H489">
        <v>532</v>
      </c>
    </row>
    <row r="490" spans="1:8" x14ac:dyDescent="0.2">
      <c r="A490" s="1">
        <v>42727.735220254632</v>
      </c>
      <c r="B490" t="s">
        <v>75</v>
      </c>
      <c r="C490" t="s">
        <v>45</v>
      </c>
      <c r="D490" t="s">
        <v>547</v>
      </c>
      <c r="E490" t="s">
        <v>526</v>
      </c>
      <c r="G490" s="2">
        <v>300</v>
      </c>
      <c r="H490">
        <v>232</v>
      </c>
    </row>
    <row r="491" spans="1:8" x14ac:dyDescent="0.2">
      <c r="A491" s="1">
        <v>42728.706704166667</v>
      </c>
      <c r="B491" t="s">
        <v>64</v>
      </c>
      <c r="C491" t="s">
        <v>45</v>
      </c>
      <c r="D491" t="s">
        <v>562</v>
      </c>
      <c r="E491" t="s">
        <v>349</v>
      </c>
      <c r="G491" s="2">
        <v>80</v>
      </c>
      <c r="H491">
        <v>152</v>
      </c>
    </row>
    <row r="492" spans="1:8" x14ac:dyDescent="0.2">
      <c r="A492" s="1">
        <v>42728.70715775463</v>
      </c>
      <c r="B492" t="s">
        <v>7</v>
      </c>
      <c r="C492" t="s">
        <v>23</v>
      </c>
      <c r="D492" t="s">
        <v>216</v>
      </c>
      <c r="E492" t="s">
        <v>274</v>
      </c>
      <c r="G492" s="2">
        <v>20</v>
      </c>
      <c r="H492">
        <v>132</v>
      </c>
    </row>
    <row r="493" spans="1:8" x14ac:dyDescent="0.2">
      <c r="A493" s="1">
        <v>42728.71040520833</v>
      </c>
      <c r="B493" t="s">
        <v>54</v>
      </c>
      <c r="C493" t="s">
        <v>45</v>
      </c>
      <c r="D493" t="s">
        <v>547</v>
      </c>
      <c r="E493" t="s">
        <v>550</v>
      </c>
      <c r="F493">
        <v>6000</v>
      </c>
      <c r="H493">
        <v>6132</v>
      </c>
    </row>
    <row r="494" spans="1:8" x14ac:dyDescent="0.2">
      <c r="A494" s="1">
        <v>42728.710839467596</v>
      </c>
      <c r="B494" t="s">
        <v>54</v>
      </c>
      <c r="C494" t="s">
        <v>23</v>
      </c>
      <c r="D494" t="s">
        <v>112</v>
      </c>
      <c r="E494">
        <v>1</v>
      </c>
      <c r="G494" s="2">
        <v>250</v>
      </c>
      <c r="H494">
        <v>5882</v>
      </c>
    </row>
    <row r="495" spans="1:8" x14ac:dyDescent="0.2">
      <c r="A495" s="1">
        <v>42728.711313078704</v>
      </c>
      <c r="B495" t="s">
        <v>54</v>
      </c>
      <c r="C495" t="s">
        <v>45</v>
      </c>
      <c r="D495" t="s">
        <v>563</v>
      </c>
      <c r="E495">
        <v>1</v>
      </c>
      <c r="G495" s="2">
        <v>680</v>
      </c>
      <c r="H495">
        <v>5202</v>
      </c>
    </row>
    <row r="496" spans="1:8" x14ac:dyDescent="0.2">
      <c r="A496" s="1">
        <v>42728.711851157408</v>
      </c>
      <c r="B496" t="s">
        <v>75</v>
      </c>
      <c r="C496" t="s">
        <v>45</v>
      </c>
      <c r="D496" t="s">
        <v>564</v>
      </c>
      <c r="E496" t="s">
        <v>98</v>
      </c>
      <c r="G496" s="2">
        <v>1200</v>
      </c>
      <c r="H496">
        <v>4002</v>
      </c>
    </row>
    <row r="497" spans="1:8" x14ac:dyDescent="0.2">
      <c r="A497" s="1">
        <v>42728.712194907406</v>
      </c>
      <c r="B497" t="s">
        <v>75</v>
      </c>
      <c r="C497" t="s">
        <v>45</v>
      </c>
      <c r="D497" t="s">
        <v>564</v>
      </c>
      <c r="E497" t="s">
        <v>510</v>
      </c>
      <c r="G497" s="2">
        <v>1500</v>
      </c>
      <c r="H497">
        <v>2502</v>
      </c>
    </row>
    <row r="498" spans="1:8" x14ac:dyDescent="0.2">
      <c r="A498" s="1">
        <v>42728.712631712966</v>
      </c>
      <c r="B498" t="s">
        <v>44</v>
      </c>
      <c r="C498" t="s">
        <v>45</v>
      </c>
      <c r="D498" t="s">
        <v>109</v>
      </c>
      <c r="E498" t="s">
        <v>501</v>
      </c>
      <c r="G498" s="2">
        <v>2000</v>
      </c>
      <c r="H498">
        <v>502</v>
      </c>
    </row>
    <row r="499" spans="1:8" x14ac:dyDescent="0.2">
      <c r="A499" s="1">
        <v>42730.662353935186</v>
      </c>
      <c r="B499" t="s">
        <v>80</v>
      </c>
      <c r="C499" t="s">
        <v>45</v>
      </c>
      <c r="H499">
        <v>502</v>
      </c>
    </row>
    <row r="500" spans="1:8" x14ac:dyDescent="0.2">
      <c r="A500" s="1">
        <v>42730.662379050926</v>
      </c>
      <c r="B500" t="s">
        <v>80</v>
      </c>
      <c r="C500" t="s">
        <v>80</v>
      </c>
      <c r="H500">
        <v>502</v>
      </c>
    </row>
    <row r="501" spans="1:8" x14ac:dyDescent="0.2">
      <c r="A501" s="1" t="s">
        <v>47</v>
      </c>
    </row>
    <row r="502" spans="1:8" x14ac:dyDescent="0.2">
      <c r="A502" s="1">
        <v>42730.662399652778</v>
      </c>
      <c r="D502" t="s">
        <v>10</v>
      </c>
      <c r="F502">
        <v>8700</v>
      </c>
      <c r="H502">
        <v>8700</v>
      </c>
    </row>
    <row r="503" spans="1:8" x14ac:dyDescent="0.2">
      <c r="A503" s="1">
        <v>42730.663177546296</v>
      </c>
      <c r="B503" t="s">
        <v>18</v>
      </c>
      <c r="C503" t="s">
        <v>45</v>
      </c>
      <c r="D503" t="s">
        <v>498</v>
      </c>
      <c r="G503" s="2">
        <v>250</v>
      </c>
      <c r="H503">
        <v>8450</v>
      </c>
    </row>
    <row r="504" spans="1:8" x14ac:dyDescent="0.2">
      <c r="A504" s="1">
        <v>42730.672762731483</v>
      </c>
      <c r="B504" t="s">
        <v>18</v>
      </c>
      <c r="C504" t="s">
        <v>45</v>
      </c>
      <c r="D504" t="s">
        <v>565</v>
      </c>
      <c r="G504" s="2">
        <v>300</v>
      </c>
      <c r="H504">
        <v>8150</v>
      </c>
    </row>
    <row r="505" spans="1:8" x14ac:dyDescent="0.2">
      <c r="A505" s="1">
        <v>42730.673513194444</v>
      </c>
      <c r="B505" t="s">
        <v>7</v>
      </c>
      <c r="C505" t="s">
        <v>27</v>
      </c>
      <c r="D505" t="s">
        <v>144</v>
      </c>
      <c r="E505" t="s">
        <v>566</v>
      </c>
      <c r="G505" s="2">
        <v>55</v>
      </c>
      <c r="H505">
        <v>8095</v>
      </c>
    </row>
    <row r="506" spans="1:8" x14ac:dyDescent="0.2">
      <c r="A506" s="1">
        <v>42730.67434513889</v>
      </c>
      <c r="B506" t="s">
        <v>17</v>
      </c>
      <c r="C506" t="s">
        <v>45</v>
      </c>
      <c r="D506" t="s">
        <v>567</v>
      </c>
      <c r="E506">
        <v>1</v>
      </c>
      <c r="G506" s="2">
        <v>80</v>
      </c>
      <c r="H506">
        <v>8015</v>
      </c>
    </row>
    <row r="507" spans="1:8" x14ac:dyDescent="0.2">
      <c r="A507" s="1">
        <v>42731.657550578704</v>
      </c>
      <c r="B507" t="s">
        <v>17</v>
      </c>
      <c r="C507" t="s">
        <v>23</v>
      </c>
      <c r="D507" t="s">
        <v>568</v>
      </c>
      <c r="E507">
        <v>1</v>
      </c>
      <c r="G507" s="2">
        <v>190</v>
      </c>
      <c r="H507">
        <v>7825</v>
      </c>
    </row>
    <row r="508" spans="1:8" x14ac:dyDescent="0.2">
      <c r="A508" s="1">
        <v>42731.657927199078</v>
      </c>
      <c r="B508" t="s">
        <v>18</v>
      </c>
      <c r="C508" t="s">
        <v>45</v>
      </c>
      <c r="D508" t="s">
        <v>569</v>
      </c>
      <c r="E508" t="s">
        <v>310</v>
      </c>
      <c r="G508" s="2">
        <v>350</v>
      </c>
      <c r="H508">
        <v>7475</v>
      </c>
    </row>
    <row r="509" spans="1:8" x14ac:dyDescent="0.2">
      <c r="A509" s="1">
        <v>42731.658704513888</v>
      </c>
      <c r="B509" t="s">
        <v>54</v>
      </c>
      <c r="C509" t="s">
        <v>23</v>
      </c>
      <c r="D509" t="s">
        <v>162</v>
      </c>
      <c r="G509" s="2">
        <v>50</v>
      </c>
      <c r="H509">
        <v>7425</v>
      </c>
    </row>
    <row r="510" spans="1:8" x14ac:dyDescent="0.2">
      <c r="A510" s="1">
        <v>42731.717747106479</v>
      </c>
      <c r="B510" t="s">
        <v>54</v>
      </c>
      <c r="C510" t="s">
        <v>23</v>
      </c>
      <c r="D510" t="s">
        <v>570</v>
      </c>
      <c r="E510" t="s">
        <v>571</v>
      </c>
      <c r="G510" s="2">
        <v>500</v>
      </c>
      <c r="H510">
        <v>6925</v>
      </c>
    </row>
    <row r="511" spans="1:8" x14ac:dyDescent="0.2">
      <c r="A511" s="1">
        <v>42731.737768634259</v>
      </c>
      <c r="B511" t="s">
        <v>17</v>
      </c>
      <c r="C511" t="s">
        <v>45</v>
      </c>
      <c r="D511" t="s">
        <v>572</v>
      </c>
      <c r="E511">
        <v>1</v>
      </c>
      <c r="G511" s="2">
        <v>180</v>
      </c>
      <c r="H511">
        <v>6745</v>
      </c>
    </row>
    <row r="512" spans="1:8" x14ac:dyDescent="0.2">
      <c r="A512" s="1">
        <v>42732.675645949072</v>
      </c>
      <c r="B512" t="s">
        <v>7</v>
      </c>
      <c r="C512" t="s">
        <v>23</v>
      </c>
      <c r="D512" t="s">
        <v>309</v>
      </c>
      <c r="E512" t="s">
        <v>310</v>
      </c>
      <c r="G512" s="2">
        <v>80</v>
      </c>
      <c r="H512">
        <v>6665</v>
      </c>
    </row>
    <row r="513" spans="1:8" x14ac:dyDescent="0.2">
      <c r="A513" s="1">
        <v>42732.675980324071</v>
      </c>
      <c r="B513" t="s">
        <v>44</v>
      </c>
      <c r="C513" t="s">
        <v>45</v>
      </c>
      <c r="D513" t="s">
        <v>109</v>
      </c>
      <c r="G513" s="2">
        <v>2000</v>
      </c>
      <c r="H513">
        <v>4665</v>
      </c>
    </row>
    <row r="514" spans="1:8" x14ac:dyDescent="0.2">
      <c r="A514" s="1">
        <v>42732.676287268521</v>
      </c>
      <c r="B514" t="s">
        <v>44</v>
      </c>
      <c r="C514" t="s">
        <v>45</v>
      </c>
      <c r="D514" t="s">
        <v>109</v>
      </c>
      <c r="E514" t="s">
        <v>573</v>
      </c>
      <c r="G514" s="2">
        <v>1500</v>
      </c>
      <c r="H514">
        <v>3165</v>
      </c>
    </row>
    <row r="515" spans="1:8" x14ac:dyDescent="0.2">
      <c r="A515" s="1">
        <v>42732.685018055556</v>
      </c>
      <c r="B515" t="s">
        <v>54</v>
      </c>
      <c r="C515" t="s">
        <v>45</v>
      </c>
      <c r="D515" t="s">
        <v>325</v>
      </c>
      <c r="F515">
        <v>1000</v>
      </c>
      <c r="H515">
        <v>4165</v>
      </c>
    </row>
    <row r="516" spans="1:8" x14ac:dyDescent="0.2">
      <c r="A516" s="1">
        <v>42732.685481365741</v>
      </c>
      <c r="B516" t="s">
        <v>44</v>
      </c>
      <c r="C516" t="s">
        <v>45</v>
      </c>
      <c r="D516" t="s">
        <v>109</v>
      </c>
      <c r="E516" t="s">
        <v>370</v>
      </c>
      <c r="G516" s="2">
        <v>3500</v>
      </c>
      <c r="H516">
        <v>665</v>
      </c>
    </row>
    <row r="517" spans="1:8" x14ac:dyDescent="0.2">
      <c r="A517" s="1">
        <v>42732.686119791666</v>
      </c>
      <c r="B517" t="s">
        <v>17</v>
      </c>
      <c r="C517" t="s">
        <v>23</v>
      </c>
      <c r="D517" t="s">
        <v>574</v>
      </c>
      <c r="E517">
        <v>1</v>
      </c>
      <c r="G517" s="2">
        <v>300</v>
      </c>
      <c r="H517">
        <v>365</v>
      </c>
    </row>
    <row r="518" spans="1:8" x14ac:dyDescent="0.2">
      <c r="A518" s="1">
        <v>42732.686441203703</v>
      </c>
      <c r="B518" t="s">
        <v>7</v>
      </c>
      <c r="C518" t="s">
        <v>23</v>
      </c>
      <c r="D518" t="s">
        <v>575</v>
      </c>
      <c r="E518">
        <v>1</v>
      </c>
      <c r="G518" s="2">
        <v>150</v>
      </c>
      <c r="H518">
        <v>215</v>
      </c>
    </row>
    <row r="519" spans="1:8" x14ac:dyDescent="0.2">
      <c r="A519" s="1">
        <v>42732.744037268516</v>
      </c>
      <c r="B519" t="s">
        <v>75</v>
      </c>
      <c r="C519" t="s">
        <v>45</v>
      </c>
      <c r="D519" t="s">
        <v>524</v>
      </c>
      <c r="E519" t="s">
        <v>520</v>
      </c>
      <c r="G519" s="2">
        <v>200</v>
      </c>
      <c r="H519">
        <v>15</v>
      </c>
    </row>
    <row r="520" spans="1:8" x14ac:dyDescent="0.2">
      <c r="A520" s="1" t="s">
        <v>47</v>
      </c>
      <c r="B520" t="s">
        <v>80</v>
      </c>
    </row>
    <row r="521" spans="1:8" x14ac:dyDescent="0.2">
      <c r="A521" s="1">
        <v>42744.72549733796</v>
      </c>
      <c r="B521" t="s">
        <v>80</v>
      </c>
      <c r="C521" t="s">
        <v>80</v>
      </c>
      <c r="D521" t="s">
        <v>10</v>
      </c>
      <c r="F521">
        <v>735</v>
      </c>
      <c r="H521">
        <v>735</v>
      </c>
    </row>
    <row r="522" spans="1:8" x14ac:dyDescent="0.2">
      <c r="A522" s="1">
        <v>42744.729056018521</v>
      </c>
      <c r="B522" t="s">
        <v>54</v>
      </c>
      <c r="C522" t="s">
        <v>23</v>
      </c>
      <c r="D522" t="s">
        <v>162</v>
      </c>
      <c r="G522" s="2">
        <v>100</v>
      </c>
      <c r="H522">
        <v>635</v>
      </c>
    </row>
    <row r="523" spans="1:8" x14ac:dyDescent="0.2">
      <c r="A523" s="1">
        <v>42744.730836805553</v>
      </c>
      <c r="B523" t="s">
        <v>7</v>
      </c>
      <c r="C523" t="s">
        <v>27</v>
      </c>
      <c r="D523" t="s">
        <v>576</v>
      </c>
      <c r="E523" t="s">
        <v>310</v>
      </c>
      <c r="G523" s="2">
        <v>180</v>
      </c>
      <c r="H523">
        <v>455</v>
      </c>
    </row>
    <row r="524" spans="1:8" x14ac:dyDescent="0.2">
      <c r="A524" s="1">
        <v>42744.731475578701</v>
      </c>
      <c r="B524" t="s">
        <v>7</v>
      </c>
      <c r="C524" t="s">
        <v>27</v>
      </c>
      <c r="D524" t="s">
        <v>577</v>
      </c>
      <c r="E524" t="s">
        <v>435</v>
      </c>
      <c r="G524" s="2">
        <v>150</v>
      </c>
      <c r="H524">
        <v>305</v>
      </c>
    </row>
    <row r="525" spans="1:8" x14ac:dyDescent="0.2">
      <c r="A525" s="1">
        <v>42744.732094907406</v>
      </c>
      <c r="B525" t="s">
        <v>7</v>
      </c>
      <c r="C525" t="s">
        <v>27</v>
      </c>
      <c r="D525" t="s">
        <v>578</v>
      </c>
      <c r="E525" t="s">
        <v>435</v>
      </c>
      <c r="G525" s="2">
        <v>55</v>
      </c>
      <c r="H525">
        <v>250</v>
      </c>
    </row>
    <row r="526" spans="1:8" x14ac:dyDescent="0.2">
      <c r="A526" s="1">
        <v>42744.732673611114</v>
      </c>
      <c r="B526" t="s">
        <v>54</v>
      </c>
      <c r="C526" t="s">
        <v>23</v>
      </c>
      <c r="D526" t="s">
        <v>112</v>
      </c>
      <c r="E526">
        <v>1</v>
      </c>
      <c r="G526" s="2">
        <v>250</v>
      </c>
      <c r="H526">
        <v>0</v>
      </c>
    </row>
    <row r="527" spans="1:8" x14ac:dyDescent="0.2">
      <c r="B527" t="s">
        <v>80</v>
      </c>
      <c r="C527" t="s">
        <v>80</v>
      </c>
    </row>
    <row r="528" spans="1:8" x14ac:dyDescent="0.2">
      <c r="B528" t="s">
        <v>80</v>
      </c>
      <c r="C528" t="s">
        <v>80</v>
      </c>
    </row>
    <row r="529" spans="2:3" x14ac:dyDescent="0.2">
      <c r="B529" t="s">
        <v>80</v>
      </c>
      <c r="C529" t="s">
        <v>80</v>
      </c>
    </row>
    <row r="530" spans="2:3" x14ac:dyDescent="0.2">
      <c r="B530" t="s">
        <v>80</v>
      </c>
      <c r="C530" t="s">
        <v>80</v>
      </c>
    </row>
    <row r="531" spans="2:3" x14ac:dyDescent="0.2">
      <c r="B531" t="s">
        <v>80</v>
      </c>
      <c r="C531" t="s">
        <v>80</v>
      </c>
    </row>
    <row r="532" spans="2:3" x14ac:dyDescent="0.2">
      <c r="B532" t="s">
        <v>80</v>
      </c>
      <c r="C532" t="s">
        <v>80</v>
      </c>
    </row>
    <row r="533" spans="2:3" x14ac:dyDescent="0.2">
      <c r="B533" t="s">
        <v>80</v>
      </c>
      <c r="C533" t="s">
        <v>80</v>
      </c>
    </row>
    <row r="534" spans="2:3" x14ac:dyDescent="0.2">
      <c r="B534" t="s">
        <v>80</v>
      </c>
      <c r="C534" t="s">
        <v>80</v>
      </c>
    </row>
    <row r="535" spans="2:3" x14ac:dyDescent="0.2">
      <c r="B535" t="s">
        <v>80</v>
      </c>
      <c r="C535" t="s">
        <v>80</v>
      </c>
    </row>
    <row r="536" spans="2:3" x14ac:dyDescent="0.2">
      <c r="B536" t="s">
        <v>80</v>
      </c>
      <c r="C536" t="s">
        <v>80</v>
      </c>
    </row>
    <row r="537" spans="2:3" x14ac:dyDescent="0.2">
      <c r="B537" t="s">
        <v>80</v>
      </c>
      <c r="C537" t="s">
        <v>80</v>
      </c>
    </row>
    <row r="538" spans="2:3" x14ac:dyDescent="0.2">
      <c r="B538" t="s">
        <v>80</v>
      </c>
      <c r="C538" t="s">
        <v>80</v>
      </c>
    </row>
    <row r="539" spans="2:3" x14ac:dyDescent="0.2">
      <c r="B539" t="s">
        <v>80</v>
      </c>
      <c r="C539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INCEXP</vt:lpstr>
      <vt:lpstr>INCEXPLIST</vt:lpstr>
      <vt:lpstr>2559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Hungping</dc:creator>
  <cp:lastModifiedBy>TCOM2</cp:lastModifiedBy>
  <dcterms:created xsi:type="dcterms:W3CDTF">2016-09-03T14:08:51Z</dcterms:created>
  <dcterms:modified xsi:type="dcterms:W3CDTF">2017-10-20T10:44:47Z</dcterms:modified>
</cp:coreProperties>
</file>