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xampp\htdocs\100_csm\CSM\Doc\"/>
    </mc:Choice>
  </mc:AlternateContent>
  <bookViews>
    <workbookView xWindow="0" yWindow="0" windowWidth="24000" windowHeight="9510"/>
  </bookViews>
  <sheets>
    <sheet name="ออกใบกำกับภาษี" sheetId="1" r:id="rId1"/>
    <sheet name="รหัสแสกน" sheetId="3" r:id="rId2"/>
  </sheets>
  <externalReferences>
    <externalReference r:id="rId3"/>
  </externalReferences>
  <definedNames>
    <definedName name="No">ออกใบกำกับภาษี!#REF!</definedName>
    <definedName name="_xlnm.Print_Area" localSheetId="1">รหัสแสกน!$A$1:$C$116</definedName>
    <definedName name="_xlnm.Print_Area" localSheetId="0">ออกใบกำกับภาษี!$A$1:$Y$41</definedName>
    <definedName name="_xlnm.Print_Titles" localSheetId="0">ออกใบกำกับภาษี!$1:$10</definedName>
  </definedNames>
  <calcPr calcId="152511"/>
</workbook>
</file>

<file path=xl/calcChain.xml><?xml version="1.0" encoding="utf-8"?>
<calcChain xmlns="http://schemas.openxmlformats.org/spreadsheetml/2006/main">
  <c r="B6" i="1" l="1"/>
  <c r="F40" i="1" l="1"/>
  <c r="E39" i="1"/>
  <c r="E35" i="1"/>
  <c r="B36" i="1" s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G4" i="1" l="1"/>
</calcChain>
</file>

<file path=xl/sharedStrings.xml><?xml version="1.0" encoding="utf-8"?>
<sst xmlns="http://schemas.openxmlformats.org/spreadsheetml/2006/main" count="226" uniqueCount="164">
  <si>
    <t>จำนวนเงิน</t>
  </si>
  <si>
    <t>ข้อมูลคู่ค้า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</si>
  <si>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</si>
  <si>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</si>
  <si>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</si>
  <si>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</si>
  <si>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</si>
  <si>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</si>
  <si>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</si>
  <si>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</si>
  <si>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</si>
  <si>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ประกันภัย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</si>
  <si>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</si>
  <si>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</si>
  <si>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</si>
  <si>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</si>
  <si>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</si>
  <si>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</si>
  <si>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</si>
  <si>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</si>
  <si>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</si>
  <si>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</si>
  <si>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</si>
  <si>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</si>
  <si>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</si>
  <si>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</si>
  <si>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</si>
  <si>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</si>
  <si>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รหัส</t>
  </si>
  <si>
    <t>ที่อยู่</t>
  </si>
  <si>
    <t>ชื่อบริษัท</t>
  </si>
  <si>
    <t>A026</t>
  </si>
  <si>
    <t>A027</t>
  </si>
  <si>
    <t>A028</t>
  </si>
  <si>
    <t>A029</t>
  </si>
  <si>
    <t>A030</t>
  </si>
  <si>
    <t>ข้อมูลพนักงาน</t>
  </si>
  <si>
    <t>ชื่อ</t>
  </si>
  <si>
    <t>แผนก</t>
  </si>
  <si>
    <t>การเงิน</t>
  </si>
  <si>
    <t>ผู้จัดการ</t>
  </si>
  <si>
    <t>FIN001</t>
  </si>
  <si>
    <t>MAG001</t>
  </si>
  <si>
    <t>CEO001</t>
  </si>
  <si>
    <t>CEO002</t>
  </si>
  <si>
    <t>กรรมการบริหาร</t>
  </si>
  <si>
    <t>นายกฤษ์ จตุสิทธางกูรณ์</t>
  </si>
  <si>
    <t>นายภูดิศ จตุสิทธางกูรณ์</t>
  </si>
  <si>
    <t>รหัสผู้ซื้อ</t>
  </si>
  <si>
    <t>รหัส/รหัสรอง</t>
  </si>
  <si>
    <t>CODE.</t>
  </si>
  <si>
    <t>ข้อมูลสินค้า/บริการ</t>
  </si>
  <si>
    <t>INS001</t>
  </si>
  <si>
    <t>ลูกค้าทั่วไป</t>
  </si>
  <si>
    <t>ค่าแรง แผนกซ่อมบำรุงรถยนต์ (ทั่วไป)</t>
  </si>
  <si>
    <t>เปลี่ยนอะไหล่ และการบำรุงรักษารถยนต์</t>
  </si>
  <si>
    <t>ค่าแรง แผนกซ่อมสีรถยนต์</t>
  </si>
  <si>
    <t>ค่าแรง แผนกซ่อมตัวถังรถยนต์</t>
  </si>
  <si>
    <t>เครื่องมือหนักพิเศษ</t>
  </si>
  <si>
    <t>JIG(แท่นดึงตัวถัง), เครื่องกระตุก</t>
  </si>
  <si>
    <t>อุปกรณ์สิ้นเปลือง</t>
  </si>
  <si>
    <t>สีพ่นรถยนต์ ยี่ห้อ-NIPPON PAINT,Premilar 2K</t>
  </si>
  <si>
    <t>สีพ่นรถยนต์ ยี่ห้อ-DUPONT REFINISH,2K</t>
  </si>
  <si>
    <t>กระดาษกาว, กระดาษทราย, ผงซักฟอก</t>
  </si>
  <si>
    <t>อะไหล่รถยนต์-กันชนหน้า</t>
  </si>
  <si>
    <t>อะไหล่รถยนต์-กันชนหลัง</t>
  </si>
  <si>
    <t>อะไหล่รถยนต์-ฝากระโปรงหน้า</t>
  </si>
  <si>
    <t>อะไหล่รถยนต์-ฝากระโปรงหลัง</t>
  </si>
  <si>
    <t>อะไหล่รถยนต์-บังโคลนหลัง, R</t>
  </si>
  <si>
    <t>อะไหล่รถยนต์-บังโคลนหน้า, L</t>
  </si>
  <si>
    <t>อะไหล่รถยนต์-บังโคลนหลัง, L</t>
  </si>
  <si>
    <t>อะไหล่รถยนต์-บังโคลนหน้า, R</t>
  </si>
  <si>
    <t>อะไหล่รถยนต์-ประตูหน้า, L</t>
  </si>
  <si>
    <t>อะไหล่รถยนต์-ประตูหน้า, R</t>
  </si>
  <si>
    <t>อะไหล่รถยนต์-ประตูหลัง, L</t>
  </si>
  <si>
    <t>อะไหล่รถยนต์-ประตูหลัง, R</t>
  </si>
  <si>
    <t>GSM101</t>
  </si>
  <si>
    <t>GSM102</t>
  </si>
  <si>
    <t>GSM103</t>
  </si>
  <si>
    <t>GSM104</t>
  </si>
  <si>
    <t>GSM105</t>
  </si>
  <si>
    <t>GSM106</t>
  </si>
  <si>
    <t>GSM107</t>
  </si>
  <si>
    <t>GSM108</t>
  </si>
  <si>
    <t>GSM109</t>
  </si>
  <si>
    <t>GSM110</t>
  </si>
  <si>
    <t>GSM111</t>
  </si>
  <si>
    <t>GSM112</t>
  </si>
  <si>
    <t>GSM113</t>
  </si>
  <si>
    <t>GSM114</t>
  </si>
  <si>
    <t>GSM115</t>
  </si>
  <si>
    <t>GSM116</t>
  </si>
  <si>
    <t>GSM117</t>
  </si>
  <si>
    <t>GSM118</t>
  </si>
  <si>
    <t>GSM119</t>
  </si>
  <si>
    <t>GSM120</t>
  </si>
  <si>
    <t>อะไหล่รถยนต์-หลังคา</t>
  </si>
  <si>
    <t>อะไหล่รถยนต์-อื่นๆ ระบุ….</t>
  </si>
  <si>
    <t>บริการ</t>
  </si>
  <si>
    <t>ลักษณะบริการ</t>
  </si>
  <si>
    <t>GSM201</t>
  </si>
  <si>
    <t>GSM202</t>
  </si>
  <si>
    <t>GSM203</t>
  </si>
  <si>
    <t>อะไหล่รถยนต์-แคป, L</t>
  </si>
  <si>
    <t>อะไหล่รถยนต์-แคป, R</t>
  </si>
  <si>
    <t>อะไหล่รถยนต์-ฝาปิดท้าย</t>
  </si>
  <si>
    <t>GSM301</t>
  </si>
  <si>
    <t>อะไหล่รถยนต์-ประตูผู้โดยสาร</t>
  </si>
  <si>
    <t>GSM000</t>
  </si>
  <si>
    <t>อื่นๆ</t>
  </si>
  <si>
    <t>ไม่พบข้อมูล</t>
  </si>
  <si>
    <t>รถยนต์จัดซ่อมประเภทใช้ประกันภัย</t>
  </si>
  <si>
    <t>ค่าบริการจัดซ่อมรถยนต์ หมายเลขทะเบียน</t>
  </si>
  <si>
    <t>รภยนต์ประเภททั่วไป</t>
  </si>
  <si>
    <t>รถยนต์ประเภทกะบะ</t>
  </si>
  <si>
    <t>รถยนต์ประเภทรถตู้</t>
  </si>
  <si>
    <t>ค่าวัตถุดิบ(สีโป๊ว,สีพื้น,สีพ่นจริง,แล็คเกอร์,ทินเนอร์)</t>
  </si>
  <si>
    <t>ค่าแรงช่างโป๊ว</t>
  </si>
  <si>
    <t>ค่าแรงช่างเคาะ ช่างประกอบ</t>
  </si>
  <si>
    <t>นางสาวชลธิชา ปาลกะวงศ์ ณ อยุธยา</t>
  </si>
  <si>
    <t>ว่าที่ รต.หญิง วิไลลักษณ์ ราศ รี</t>
  </si>
  <si>
    <t>บิลเงินสด</t>
  </si>
  <si>
    <t>MN001</t>
  </si>
  <si>
    <t>MN002</t>
  </si>
  <si>
    <t>ชื่อลูกค้า</t>
  </si>
  <si>
    <t>ลูกค้า VIP</t>
  </si>
  <si>
    <t>MN003</t>
  </si>
  <si>
    <t>ระบุชื่อ</t>
  </si>
  <si>
    <t>รวมเงิน</t>
  </si>
  <si>
    <t xml:space="preserve">                บริษัท รุ่งทรัพย์ ออโตโมบิล รีแพร์ เซ็นเตอร์ จำกัด</t>
  </si>
  <si>
    <t xml:space="preserve">                     23/326 หมู่ที่2 ซอยสุขุมวิท35 อัศวนนท์ ถนนสุขุมวิท </t>
  </si>
  <si>
    <t xml:space="preserve">                     ตำบลบางเมือง อำเภอเมืองฯ จังหวัดสมุทรปราการ 10270</t>
  </si>
  <si>
    <t xml:space="preserve">                     โทร. +662 388 0700, +662 388 1821  FAX.+662 702 5185</t>
  </si>
  <si>
    <t>ผู้ออกเอกสาร</t>
  </si>
  <si>
    <t>เลขที่</t>
  </si>
  <si>
    <t>เลขที่เคลม</t>
  </si>
  <si>
    <t>ลำดับ</t>
  </si>
  <si>
    <t>เลขที่กรมธรรม์</t>
  </si>
  <si>
    <t>หมายเหตู</t>
  </si>
  <si>
    <t>บาท</t>
  </si>
  <si>
    <t>ผู้วางบิล</t>
  </si>
  <si>
    <t>ผู้รับวางบิล</t>
  </si>
  <si>
    <t xml:space="preserve">          วันที่         </t>
  </si>
  <si>
    <t>(__________________________)</t>
  </si>
  <si>
    <t xml:space="preserve">          วันที่</t>
  </si>
  <si>
    <t>กำหนดวันชำระเงิน</t>
  </si>
  <si>
    <t>วันที่รับวางบิล: ______________</t>
  </si>
  <si>
    <t>วันที่วางบิล:      ______________</t>
  </si>
  <si>
    <t>__________________</t>
  </si>
  <si>
    <t>บริษัท โตเกียวมารีนประกันภัย(ประเทศไทย) จำกัด(มหาชน)  สำนักงานใหญ่  เลขประจำตัวผู้เสียภาษีอากร 0107555000368</t>
  </si>
  <si>
    <t>บริษัท  ธนชาตประกันภัย  จำกัด(มหาชน)  สำนักงานใหญ่  เลขประจำตัวผู้เสียภาษีอากร  0107555000473</t>
  </si>
  <si>
    <t>บริษัท  มิตรแท้ประกันภัย  จำกัด(มหาชน)   สำนักงานใหญ่  เลขประจำตัวผู้เสียภาษีอากร  0107555000252</t>
  </si>
  <si>
    <t>บริษัท  กรุงไทยพานิชประกันภัย  จำกัด(มหาชน)  สำนักงานใหญ่  เลขประจำตัวผู้เสียภาษีอากร  0107555000121</t>
  </si>
  <si>
    <t>บริษัท   เอเชียประกันภัย  1950  จำกัด(มหาชน)  สำนักงานใหญ่  เลขประจำตัวผู้เสียภาษีอากร  0107556000159</t>
  </si>
  <si>
    <t>บริษัท   เจ้าพระยาประกันภัย  จำกัด(มหาชน)  สำนักงานใหญ่  เลขประจำตัวผู้เสียภาษีอากร  0107549000017</t>
  </si>
  <si>
    <t>บริษัท  เทเวศประกันภัย  จำกัด(มหาชน)  สำนักงานใหญ่  เลขประจำตัวผู้เสียภาษีอากร  0107537002478</t>
  </si>
  <si>
    <t>บริษัท  คิวบีอี  ประกันภัย  (ประเทศไทย)  จำกัด(มหาชน)  สำนักงานใหญ่  เลขประจำตัวผู้เสียภาษีอากร  0107556000019</t>
  </si>
  <si>
    <t>บริษัท  อินทรประกันภัย  จำกัด(มหาชน)  สำนักงานใหญ่  เลขประจำตัวผู้เสียภาษีอากร  0107537000394</t>
  </si>
  <si>
    <t>บริษัท  บางกอกสหประกันภัย  จำกัด(มหาชน)  สำนักงานใหญ่  เลขประจำตัวผู้เสียภาษีอากร  0107537002044</t>
  </si>
  <si>
    <t xml:space="preserve">บริษัท เมืองไทยประกันภัย จำกัด(มหาชน) สำนักงานใหญ่ เลขประจำตัวผู้เสียภาษีอากร 0107551000151 </t>
  </si>
  <si>
    <t>บริษัท อาคเนย์ประกันภัย จำกัด (มหาชน) สำนักงานใหญ่ เลขประจำตัวผู้เสียภาษีอากร 0107555000392</t>
  </si>
  <si>
    <t>บริษัท สยามซิตี้ ประกันภัย จำกัด (มหาชน) (สำนักงานใหญ่)  เลขประจำตัวผู้เสียภาษีอากร 0107555000597</t>
  </si>
  <si>
    <t xml:space="preserve">บริษัท ประกันภัยไทยวิวัฒน์ จำกัด (มหาชน) สำนักงานใหญ่ เลขประจำตัวผู้เสียภาษีอากร 0107536001427 </t>
  </si>
  <si>
    <t>บริษัท ไดเร็ค เอเชีย เซอร์วิสเซส (ประเทศไทย) จำกัด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</si>
</sst>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1070000]d/mm/yyyy;@"/>
  </numFmts>
  <fonts count="25">
    <font>
      <sz val="11"/>
      <color theme="1"/>
      <name val="Calibri"/>
      <family val="2"/>
      <charset val="222"/>
      <scheme val="minor"/>
    </font>
    <font>
      <sz val="11"/>
      <color theme="1"/>
      <name val="Angsana New"/>
      <family val="1"/>
    </font>
    <font>
      <b/>
      <sz val="11"/>
      <color theme="1"/>
      <name val="Angsana New"/>
      <family val="1"/>
    </font>
    <font>
      <sz val="11"/>
      <color theme="1"/>
      <name val="Calibri"/>
      <family val="2"/>
      <charset val="222"/>
      <scheme val="minor"/>
    </font>
    <font>
      <b/>
      <sz val="18"/>
      <color theme="1"/>
      <name val="Angsana New"/>
      <family val="1"/>
    </font>
    <font>
      <b/>
      <u/>
      <sz val="22"/>
      <color theme="1"/>
      <name val="Angsana New"/>
      <family val="1"/>
    </font>
    <font>
      <sz val="11"/>
      <color theme="0" tint="-0.249977111117893"/>
      <name val="Angsana New"/>
      <family val="1"/>
    </font>
    <font>
      <b/>
      <sz val="11"/>
      <name val="Angsana New"/>
      <family val="1"/>
    </font>
    <font>
      <sz val="18"/>
      <color rgb="FF000000"/>
      <name val="Tahoma"/>
      <family val="2"/>
    </font>
    <font>
      <sz val="22"/>
      <color theme="1"/>
      <name val="Angsana New"/>
      <family val="1"/>
    </font>
    <font>
      <b/>
      <sz val="30"/>
      <color theme="1"/>
      <name val="Angsana New"/>
      <family val="1"/>
    </font>
    <font>
      <sz val="24"/>
      <color theme="1"/>
      <name val="Angsana New"/>
      <family val="1"/>
    </font>
    <font>
      <b/>
      <sz val="22"/>
      <color theme="1"/>
      <name val="Angsana New"/>
      <family val="1"/>
    </font>
    <font>
      <sz val="18"/>
      <color theme="1"/>
      <name val="Courier"/>
      <family val="3"/>
    </font>
    <font>
      <b/>
      <sz val="28"/>
      <color theme="1"/>
      <name val="Angsana New"/>
      <family val="1"/>
    </font>
    <font>
      <sz val="11"/>
      <color theme="1"/>
      <name val="Angsana New"/>
      <family val="1"/>
    </font>
    <font>
      <sz val="20"/>
      <color theme="1"/>
      <name val="Angsana New"/>
      <family val="1"/>
    </font>
    <font>
      <sz val="17"/>
      <color theme="1"/>
      <name val="Angsana New"/>
      <family val="1"/>
    </font>
    <font>
      <b/>
      <sz val="11"/>
      <color theme="1"/>
      <name val="Angsana New"/>
      <family val="1"/>
    </font>
    <font>
      <b/>
      <sz val="14"/>
      <color theme="1"/>
      <name val="Angsana New"/>
      <family val="1"/>
    </font>
    <font>
      <b/>
      <sz val="26"/>
      <color theme="1"/>
      <name val="Angsana New"/>
      <family val="1"/>
    </font>
    <font>
      <sz val="26"/>
      <color theme="1"/>
      <name val="Angsana New"/>
      <family val="1"/>
    </font>
    <font>
      <sz val="14"/>
      <color theme="1"/>
      <name val="Cambria"/>
      <family val="2"/>
      <scheme val="major"/>
    </font>
    <font>
      <sz val="27"/>
      <color theme="1"/>
      <name val="Angsana New"/>
      <family val="1"/>
    </font>
    <font>
      <sz val="14"/>
      <color theme="1"/>
      <name val="Angsana New"/>
      <family val="1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left"/>
    </xf>
    <xf numFmtId="49" fontId="1" fillId="0" borderId="0" xfId="0" applyNumberFormat="1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1" fillId="0" borderId="6" xfId="0" applyFont="1" applyBorder="1"/>
    <xf numFmtId="0" fontId="6" fillId="0" borderId="0" xfId="0" applyFont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/>
    <xf numFmtId="0" fontId="1" fillId="0" borderId="14" xfId="0" applyFont="1" applyBorder="1" applyAlignment="1">
      <alignment horizontal="left"/>
    </xf>
    <xf numFmtId="0" fontId="1" fillId="0" borderId="15" xfId="0" applyFont="1" applyBorder="1"/>
    <xf numFmtId="0" fontId="1" fillId="0" borderId="16" xfId="0" applyFont="1" applyBorder="1"/>
    <xf numFmtId="49" fontId="1" fillId="0" borderId="6" xfId="0" applyNumberFormat="1" applyFont="1" applyBorder="1"/>
    <xf numFmtId="0" fontId="2" fillId="0" borderId="9" xfId="0" applyFont="1" applyBorder="1" applyAlignment="1">
      <alignment horizontal="left"/>
    </xf>
    <xf numFmtId="49" fontId="6" fillId="0" borderId="13" xfId="0" applyNumberFormat="1" applyFont="1" applyBorder="1"/>
    <xf numFmtId="49" fontId="1" fillId="0" borderId="15" xfId="0" applyNumberFormat="1" applyFont="1" applyBorder="1"/>
    <xf numFmtId="49" fontId="6" fillId="0" borderId="16" xfId="0" applyNumberFormat="1" applyFont="1" applyBorder="1"/>
    <xf numFmtId="49" fontId="7" fillId="0" borderId="11" xfId="0" applyNumberFormat="1" applyFont="1" applyBorder="1"/>
    <xf numFmtId="49" fontId="2" fillId="0" borderId="10" xfId="0" applyNumberFormat="1" applyFont="1" applyBorder="1"/>
    <xf numFmtId="49" fontId="2" fillId="0" borderId="8" xfId="0" applyNumberFormat="1" applyFont="1" applyBorder="1"/>
    <xf numFmtId="0" fontId="2" fillId="0" borderId="17" xfId="0" applyFont="1" applyBorder="1" applyAlignment="1">
      <alignment horizontal="left"/>
    </xf>
    <xf numFmtId="49" fontId="7" fillId="0" borderId="18" xfId="0" applyNumberFormat="1" applyFont="1" applyBorder="1"/>
    <xf numFmtId="0" fontId="9" fillId="0" borderId="0" xfId="0" applyFont="1" applyFill="1" applyProtection="1"/>
    <xf numFmtId="0" fontId="10" fillId="0" borderId="0" xfId="0" applyFont="1" applyFill="1" applyAlignment="1" applyProtection="1"/>
    <xf numFmtId="0" fontId="9" fillId="0" borderId="0" xfId="0" applyFont="1" applyFill="1" applyAlignment="1" applyProtection="1">
      <alignment horizontal="right"/>
    </xf>
    <xf numFmtId="0" fontId="11" fillId="0" borderId="0" xfId="0" applyFont="1" applyFill="1" applyAlignment="1" applyProtection="1"/>
    <xf numFmtId="0" fontId="12" fillId="0" borderId="0" xfId="0" applyFont="1" applyFill="1" applyAlignment="1" applyProtection="1"/>
    <xf numFmtId="0" fontId="12" fillId="0" borderId="0" xfId="0" applyFont="1" applyFill="1" applyAlignment="1" applyProtection="1">
      <alignment horizontal="right"/>
    </xf>
    <xf numFmtId="164" fontId="13" fillId="0" borderId="0" xfId="0" applyNumberFormat="1" applyFont="1" applyFill="1" applyAlignment="1" applyProtection="1">
      <alignment horizontal="center"/>
    </xf>
    <xf numFmtId="0" fontId="12" fillId="0" borderId="35" xfId="0" applyFont="1" applyFill="1" applyBorder="1" applyAlignment="1" applyProtection="1">
      <alignment horizontal="center" wrapText="1"/>
    </xf>
    <xf numFmtId="0" fontId="12" fillId="0" borderId="35" xfId="0" applyFont="1" applyFill="1" applyBorder="1" applyAlignment="1" applyProtection="1">
      <alignment horizontal="center"/>
    </xf>
    <xf numFmtId="0" fontId="15" fillId="0" borderId="0" xfId="0" applyFont="1" applyFill="1" applyProtection="1"/>
    <xf numFmtId="0" fontId="15" fillId="0" borderId="0" xfId="0" applyFont="1" applyFill="1" applyAlignment="1" applyProtection="1"/>
    <xf numFmtId="0" fontId="16" fillId="0" borderId="36" xfId="0" applyFont="1" applyFill="1" applyBorder="1" applyAlignment="1" applyProtection="1">
      <alignment horizontal="center" vertical="center" wrapText="1"/>
      <protection locked="0"/>
    </xf>
    <xf numFmtId="0" fontId="16" fillId="0" borderId="36" xfId="0" applyFont="1" applyFill="1" applyBorder="1" applyAlignment="1" applyProtection="1">
      <alignment horizontal="center" vertical="center"/>
      <protection locked="0"/>
    </xf>
    <xf numFmtId="0" fontId="16" fillId="0" borderId="36" xfId="0" applyFont="1" applyFill="1" applyBorder="1" applyAlignment="1" applyProtection="1">
      <alignment horizontal="center"/>
    </xf>
    <xf numFmtId="0" fontId="12" fillId="0" borderId="0" xfId="0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>
      <alignment horizontal="left" vertical="center" wrapText="1"/>
    </xf>
    <xf numFmtId="0" fontId="12" fillId="0" borderId="0" xfId="0" applyFont="1" applyFill="1" applyBorder="1" applyAlignment="1" applyProtection="1">
      <alignment horizontal="right" vertical="center"/>
    </xf>
    <xf numFmtId="0" fontId="17" fillId="0" borderId="0" xfId="0" applyFont="1" applyFill="1" applyBorder="1" applyAlignment="1" applyProtection="1">
      <alignment horizontal="right" vertical="center"/>
    </xf>
    <xf numFmtId="0" fontId="16" fillId="0" borderId="0" xfId="0" applyFont="1" applyFill="1" applyBorder="1" applyAlignment="1" applyProtection="1">
      <alignment horizontal="center" vertical="center"/>
    </xf>
    <xf numFmtId="0" fontId="18" fillId="0" borderId="0" xfId="0" applyFont="1" applyFill="1" applyAlignment="1" applyProtection="1"/>
    <xf numFmtId="0" fontId="12" fillId="0" borderId="9" xfId="0" applyFont="1" applyFill="1" applyBorder="1" applyAlignment="1" applyProtection="1">
      <alignment horizontal="center" vertical="center"/>
    </xf>
    <xf numFmtId="0" fontId="12" fillId="0" borderId="10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 applyProtection="1">
      <alignment vertical="top"/>
    </xf>
    <xf numFmtId="0" fontId="20" fillId="0" borderId="32" xfId="0" applyFont="1" applyFill="1" applyBorder="1" applyAlignment="1" applyProtection="1">
      <alignment horizontal="center" vertical="center"/>
    </xf>
    <xf numFmtId="0" fontId="21" fillId="0" borderId="3" xfId="0" applyFont="1" applyFill="1" applyBorder="1" applyAlignment="1" applyProtection="1">
      <alignment horizontal="left" vertical="center"/>
      <protection locked="0"/>
    </xf>
    <xf numFmtId="43" fontId="21" fillId="0" borderId="3" xfId="1" applyFont="1" applyFill="1" applyBorder="1" applyAlignment="1" applyProtection="1">
      <alignment horizontal="right" vertical="center"/>
      <protection locked="0"/>
    </xf>
    <xf numFmtId="0" fontId="9" fillId="0" borderId="1" xfId="0" applyFont="1" applyFill="1" applyBorder="1" applyAlignment="1" applyProtection="1">
      <alignment vertical="center"/>
      <protection locked="0"/>
    </xf>
    <xf numFmtId="0" fontId="9" fillId="0" borderId="40" xfId="0" applyFont="1" applyFill="1" applyBorder="1" applyAlignment="1" applyProtection="1">
      <alignment vertical="center"/>
    </xf>
    <xf numFmtId="0" fontId="20" fillId="0" borderId="12" xfId="0" applyFont="1" applyFill="1" applyBorder="1" applyAlignment="1" applyProtection="1">
      <alignment horizontal="center" vertical="center"/>
    </xf>
    <xf numFmtId="0" fontId="21" fillId="0" borderId="6" xfId="0" applyFont="1" applyFill="1" applyBorder="1" applyAlignment="1" applyProtection="1">
      <alignment horizontal="left" vertical="center"/>
      <protection locked="0"/>
    </xf>
    <xf numFmtId="43" fontId="21" fillId="0" borderId="6" xfId="1" applyFont="1" applyFill="1" applyBorder="1" applyAlignment="1" applyProtection="1">
      <alignment horizontal="right" vertical="center"/>
      <protection locked="0"/>
    </xf>
    <xf numFmtId="0" fontId="9" fillId="0" borderId="5" xfId="0" applyFont="1" applyFill="1" applyBorder="1" applyAlignment="1" applyProtection="1">
      <alignment vertical="center"/>
      <protection locked="0"/>
    </xf>
    <xf numFmtId="0" fontId="9" fillId="0" borderId="23" xfId="0" applyFont="1" applyFill="1" applyBorder="1" applyAlignment="1" applyProtection="1">
      <alignment vertical="center"/>
    </xf>
    <xf numFmtId="0" fontId="22" fillId="0" borderId="0" xfId="0" applyFont="1" applyFill="1" applyProtection="1"/>
    <xf numFmtId="0" fontId="22" fillId="0" borderId="0" xfId="0" applyFont="1" applyFill="1" applyAlignment="1" applyProtection="1">
      <alignment wrapText="1"/>
    </xf>
    <xf numFmtId="0" fontId="20" fillId="0" borderId="30" xfId="0" applyFont="1" applyFill="1" applyBorder="1" applyAlignment="1" applyProtection="1">
      <alignment horizontal="center" vertical="center"/>
    </xf>
    <xf numFmtId="0" fontId="21" fillId="0" borderId="4" xfId="0" applyFont="1" applyFill="1" applyBorder="1" applyAlignment="1" applyProtection="1">
      <alignment horizontal="left" vertical="center"/>
      <protection locked="0"/>
    </xf>
    <xf numFmtId="43" fontId="21" fillId="0" borderId="4" xfId="1" applyFont="1" applyFill="1" applyBorder="1" applyAlignment="1" applyProtection="1">
      <alignment horizontal="right" vertical="center"/>
      <protection locked="0"/>
    </xf>
    <xf numFmtId="0" fontId="9" fillId="0" borderId="2" xfId="0" applyFont="1" applyFill="1" applyBorder="1" applyAlignment="1" applyProtection="1">
      <alignment vertical="center"/>
      <protection locked="0"/>
    </xf>
    <xf numFmtId="0" fontId="9" fillId="0" borderId="31" xfId="0" applyFont="1" applyFill="1" applyBorder="1" applyAlignment="1" applyProtection="1">
      <alignment vertical="center"/>
    </xf>
    <xf numFmtId="0" fontId="21" fillId="0" borderId="0" xfId="0" applyFont="1" applyFill="1" applyProtection="1"/>
    <xf numFmtId="0" fontId="21" fillId="0" borderId="0" xfId="0" applyFont="1" applyFill="1" applyAlignment="1" applyProtection="1">
      <alignment horizontal="right"/>
    </xf>
    <xf numFmtId="0" fontId="23" fillId="0" borderId="0" xfId="0" applyFont="1" applyFill="1" applyAlignment="1" applyProtection="1">
      <alignment horizontal="right"/>
    </xf>
    <xf numFmtId="43" fontId="23" fillId="0" borderId="0" xfId="1" applyFont="1" applyFill="1" applyBorder="1" applyAlignment="1" applyProtection="1">
      <alignment horizontal="right" vertical="center"/>
    </xf>
    <xf numFmtId="0" fontId="21" fillId="0" borderId="21" xfId="0" applyFont="1" applyFill="1" applyBorder="1" applyAlignment="1" applyProtection="1">
      <alignment horizontal="center"/>
    </xf>
    <xf numFmtId="0" fontId="21" fillId="0" borderId="27" xfId="0" applyFont="1" applyFill="1" applyBorder="1" applyAlignment="1" applyProtection="1">
      <alignment horizontal="center" vertical="center" wrapText="1"/>
    </xf>
    <xf numFmtId="0" fontId="21" fillId="0" borderId="23" xfId="0" applyFont="1" applyFill="1" applyBorder="1" applyAlignment="1" applyProtection="1">
      <alignment horizontal="center"/>
    </xf>
    <xf numFmtId="0" fontId="21" fillId="0" borderId="28" xfId="0" applyFont="1" applyFill="1" applyBorder="1" applyAlignment="1" applyProtection="1">
      <alignment horizontal="center"/>
    </xf>
    <xf numFmtId="0" fontId="21" fillId="0" borderId="29" xfId="0" applyFont="1" applyFill="1" applyBorder="1" applyAlignment="1" applyProtection="1">
      <alignment horizontal="left"/>
    </xf>
    <xf numFmtId="0" fontId="24" fillId="0" borderId="0" xfId="0" applyFont="1" applyFill="1" applyProtection="1"/>
    <xf numFmtId="0" fontId="24" fillId="0" borderId="0" xfId="0" applyFont="1" applyFill="1" applyAlignment="1" applyProtection="1">
      <alignment horizontal="right"/>
    </xf>
    <xf numFmtId="0" fontId="15" fillId="0" borderId="0" xfId="0" applyFont="1" applyFill="1" applyAlignment="1" applyProtection="1">
      <alignment horizontal="right"/>
    </xf>
    <xf numFmtId="0" fontId="21" fillId="0" borderId="24" xfId="0" applyFont="1" applyFill="1" applyBorder="1" applyAlignment="1" applyProtection="1">
      <alignment horizontal="center"/>
    </xf>
    <xf numFmtId="0" fontId="21" fillId="0" borderId="26" xfId="0" applyFont="1" applyFill="1" applyBorder="1" applyAlignment="1" applyProtection="1">
      <alignment horizontal="center"/>
    </xf>
    <xf numFmtId="0" fontId="20" fillId="0" borderId="37" xfId="0" applyFont="1" applyFill="1" applyBorder="1" applyAlignment="1" applyProtection="1">
      <alignment horizontal="center" vertical="center"/>
    </xf>
    <xf numFmtId="0" fontId="20" fillId="0" borderId="33" xfId="0" applyFont="1" applyFill="1" applyBorder="1" applyAlignment="1" applyProtection="1">
      <alignment horizontal="center" vertical="center"/>
    </xf>
    <xf numFmtId="0" fontId="20" fillId="0" borderId="7" xfId="0" applyFont="1" applyFill="1" applyBorder="1" applyAlignment="1" applyProtection="1">
      <alignment horizontal="center" vertical="center"/>
    </xf>
    <xf numFmtId="0" fontId="20" fillId="0" borderId="24" xfId="0" applyFont="1" applyFill="1" applyBorder="1" applyAlignment="1" applyProtection="1">
      <alignment horizontal="center" vertical="center"/>
    </xf>
    <xf numFmtId="0" fontId="20" fillId="0" borderId="25" xfId="0" applyFont="1" applyFill="1" applyBorder="1" applyAlignment="1" applyProtection="1">
      <alignment horizontal="center" vertical="center"/>
    </xf>
    <xf numFmtId="0" fontId="20" fillId="0" borderId="41" xfId="0" applyFont="1" applyFill="1" applyBorder="1" applyAlignment="1" applyProtection="1">
      <alignment horizontal="center" vertical="center"/>
    </xf>
    <xf numFmtId="0" fontId="21" fillId="0" borderId="19" xfId="0" applyFont="1" applyFill="1" applyBorder="1" applyAlignment="1" applyProtection="1">
      <alignment horizontal="center" vertical="top"/>
    </xf>
    <xf numFmtId="0" fontId="21" fillId="0" borderId="21" xfId="0" applyFont="1" applyFill="1" applyBorder="1" applyAlignment="1" applyProtection="1">
      <alignment horizontal="center" vertical="top"/>
    </xf>
    <xf numFmtId="0" fontId="11" fillId="0" borderId="24" xfId="0" applyFont="1" applyFill="1" applyBorder="1" applyAlignment="1" applyProtection="1">
      <alignment horizontal="left"/>
    </xf>
    <xf numFmtId="0" fontId="11" fillId="0" borderId="26" xfId="0" applyFont="1" applyFill="1" applyBorder="1" applyAlignment="1" applyProtection="1">
      <alignment horizontal="left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29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left" vertical="center"/>
    </xf>
    <xf numFmtId="0" fontId="14" fillId="0" borderId="40" xfId="0" applyFont="1" applyFill="1" applyBorder="1" applyAlignment="1" applyProtection="1">
      <alignment horizontal="left" vertical="center"/>
    </xf>
    <xf numFmtId="0" fontId="14" fillId="0" borderId="34" xfId="0" applyFont="1" applyFill="1" applyBorder="1" applyAlignment="1" applyProtection="1">
      <alignment horizontal="left" vertical="center"/>
    </xf>
    <xf numFmtId="0" fontId="14" fillId="0" borderId="26" xfId="0" applyFont="1" applyFill="1" applyBorder="1" applyAlignment="1" applyProtection="1">
      <alignment horizontal="left" vertical="center"/>
    </xf>
    <xf numFmtId="43" fontId="20" fillId="0" borderId="3" xfId="1" applyFont="1" applyFill="1" applyBorder="1" applyAlignment="1" applyProtection="1">
      <alignment horizontal="center" vertical="center"/>
    </xf>
    <xf numFmtId="43" fontId="20" fillId="0" borderId="15" xfId="1" applyFont="1" applyFill="1" applyBorder="1" applyAlignment="1" applyProtection="1">
      <alignment horizontal="center" vertical="center"/>
    </xf>
    <xf numFmtId="0" fontId="21" fillId="0" borderId="19" xfId="0" applyFont="1" applyFill="1" applyBorder="1" applyAlignment="1" applyProtection="1">
      <alignment horizontal="center"/>
    </xf>
    <xf numFmtId="0" fontId="21" fillId="0" borderId="21" xfId="0" applyFont="1" applyFill="1" applyBorder="1" applyAlignment="1" applyProtection="1">
      <alignment horizontal="center"/>
    </xf>
    <xf numFmtId="164" fontId="9" fillId="0" borderId="0" xfId="0" applyNumberFormat="1" applyFont="1" applyFill="1" applyAlignment="1" applyProtection="1">
      <alignment horizontal="right" vertical="center"/>
    </xf>
    <xf numFmtId="0" fontId="14" fillId="0" borderId="19" xfId="0" applyFont="1" applyFill="1" applyBorder="1" applyAlignment="1" applyProtection="1">
      <alignment horizontal="center" vertical="center" wrapText="1"/>
    </xf>
    <xf numFmtId="0" fontId="14" fillId="0" borderId="20" xfId="0" applyFont="1" applyFill="1" applyBorder="1" applyAlignment="1" applyProtection="1">
      <alignment horizontal="center" vertical="center" wrapText="1"/>
    </xf>
    <xf numFmtId="0" fontId="14" fillId="0" borderId="21" xfId="0" applyFont="1" applyFill="1" applyBorder="1" applyAlignment="1" applyProtection="1">
      <alignment horizontal="center" vertical="center" wrapText="1"/>
    </xf>
    <xf numFmtId="0" fontId="14" fillId="0" borderId="24" xfId="0" applyFont="1" applyFill="1" applyBorder="1" applyAlignment="1" applyProtection="1">
      <alignment horizontal="center" vertical="center" wrapText="1"/>
    </xf>
    <xf numFmtId="0" fontId="14" fillId="0" borderId="25" xfId="0" applyFont="1" applyFill="1" applyBorder="1" applyAlignment="1" applyProtection="1">
      <alignment horizontal="center" vertical="center" wrapText="1"/>
    </xf>
    <xf numFmtId="0" fontId="14" fillId="0" borderId="26" xfId="0" applyFont="1" applyFill="1" applyBorder="1" applyAlignment="1" applyProtection="1">
      <alignment horizontal="center" vertical="center" wrapText="1"/>
    </xf>
    <xf numFmtId="0" fontId="12" fillId="0" borderId="38" xfId="0" applyFont="1" applyFill="1" applyBorder="1" applyAlignment="1" applyProtection="1">
      <alignment horizontal="center" vertical="center"/>
    </xf>
    <xf numFmtId="0" fontId="12" fillId="0" borderId="39" xfId="0" applyFont="1" applyFill="1" applyBorder="1" applyAlignment="1" applyProtection="1">
      <alignment horizontal="center" vertical="center"/>
    </xf>
    <xf numFmtId="0" fontId="21" fillId="0" borderId="22" xfId="0" applyFont="1" applyFill="1" applyBorder="1" applyAlignment="1" applyProtection="1">
      <alignment horizontal="center" vertical="center"/>
    </xf>
    <xf numFmtId="0" fontId="21" fillId="0" borderId="23" xfId="0" applyFont="1" applyFill="1" applyBorder="1" applyAlignment="1" applyProtection="1">
      <alignment horizontal="center" vertical="center"/>
    </xf>
    <xf numFmtId="0" fontId="11" fillId="0" borderId="22" xfId="0" applyFont="1" applyFill="1" applyBorder="1" applyAlignment="1" applyProtection="1">
      <alignment horizontal="center"/>
    </xf>
    <xf numFmtId="0" fontId="11" fillId="0" borderId="23" xfId="0" applyFont="1" applyFill="1" applyBorder="1" applyAlignment="1" applyProtection="1">
      <alignment horizontal="center"/>
    </xf>
    <xf numFmtId="0" fontId="20" fillId="0" borderId="22" xfId="0" applyFont="1" applyFill="1" applyBorder="1" applyAlignment="1" applyProtection="1">
      <alignment horizontal="center"/>
    </xf>
    <xf numFmtId="0" fontId="20" fillId="0" borderId="23" xfId="0" applyFont="1" applyFill="1" applyBorder="1" applyAlignment="1" applyProtection="1">
      <alignment horizontal="center"/>
    </xf>
    <xf numFmtId="0" fontId="1" fillId="0" borderId="12" xfId="0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left" vertical="center" wrapText="1"/>
    </xf>
    <xf numFmtId="49" fontId="1" fillId="0" borderId="13" xfId="0" applyNumberFormat="1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  <xf numFmtId="49" fontId="1" fillId="0" borderId="15" xfId="0" applyNumberFormat="1" applyFont="1" applyBorder="1" applyAlignment="1">
      <alignment horizontal="left" vertical="center" wrapText="1"/>
    </xf>
    <xf numFmtId="49" fontId="1" fillId="0" borderId="16" xfId="0" applyNumberFormat="1" applyFont="1" applyBorder="1" applyAlignment="1">
      <alignment horizontal="left" vertical="center" wrapText="1"/>
    </xf>
    <xf numFmtId="49" fontId="1" fillId="0" borderId="13" xfId="0" applyNumberFormat="1" applyFont="1" applyBorder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59265</xdr:colOff>
      <xdr:row>0</xdr:row>
      <xdr:rowOff>78315</xdr:rowOff>
    </xdr:from>
    <xdr:to>
      <xdr:col>2</xdr:col>
      <xdr:colOff>1019873</xdr:colOff>
      <xdr:row>3</xdr:row>
      <xdr:rowOff>330993</xdr:rowOff>
    </xdr:to>
    <xdr:pic>
      <xdr:nvPicPr>
        <xdr:cNvPr id="2" name="Picture 1" descr="logo-ed fit.JP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65" y="78315"/>
          <a:ext cx="1682126" cy="1664759"/>
        </a:xfrm>
        <a:prstGeom prst="rect">
          <a:avLst/>
        </a:prstGeom>
      </xdr:spPr>
    </xdr:pic>
    <xdr:clientData/>
  </xdr:twoCellAnchor>
  <xdr:twoCellAnchor>
    <xdr:from>
      <xdr:col>5</xdr:col>
      <xdr:colOff>966322</xdr:colOff>
      <xdr:row>2</xdr:row>
      <xdr:rowOff>378617</xdr:rowOff>
    </xdr:from>
    <xdr:to>
      <xdr:col>6</xdr:col>
      <xdr:colOff>1373517</xdr:colOff>
      <xdr:row>4</xdr:row>
      <xdr:rowOff>4488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 txBox="1"/>
      </xdr:nvSpPr>
      <xdr:spPr>
        <a:xfrm>
          <a:off x="8323563" y="1363962"/>
          <a:ext cx="1808575" cy="436043"/>
        </a:xfrm>
        <a:prstGeom prst="rect">
          <a:avLst/>
        </a:prstGeom>
        <a:noFill/>
        <a:ln w="317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th-TH" sz="1800"/>
            <a:t>วันที่</a:t>
          </a:r>
          <a:r>
            <a:rPr lang="en-US" sz="1800"/>
            <a:t>:</a:t>
          </a:r>
          <a:endParaRPr lang="th-TH" sz="1800"/>
        </a:p>
      </xdr:txBody>
    </xdr:sp>
    <xdr:clientData/>
  </xdr:twoCellAnchor>
  <xdr:oneCellAnchor>
    <xdr:from>
      <xdr:col>5</xdr:col>
      <xdr:colOff>329269</xdr:colOff>
      <xdr:row>0</xdr:row>
      <xdr:rowOff>163805</xdr:rowOff>
    </xdr:from>
    <xdr:ext cx="2452688" cy="71147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 txBox="1"/>
      </xdr:nvSpPr>
      <xdr:spPr>
        <a:xfrm>
          <a:off x="7686510" y="163805"/>
          <a:ext cx="2452688" cy="711477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r>
            <a:rPr lang="th-TH" sz="4000">
              <a:solidFill>
                <a:schemeClr val="tx1"/>
              </a:solidFill>
              <a:latin typeface="+mn-lt"/>
              <a:ea typeface="+mn-ea"/>
              <a:cs typeface="+mn-cs"/>
            </a:rPr>
            <a:t>ใบวางบิล</a:t>
          </a:r>
        </a:p>
      </xdr:txBody>
    </xdr:sp>
    <xdr:clientData/>
  </xdr:oneCellAnchor>
  <xdr:oneCellAnchor>
    <xdr:from>
      <xdr:col>5</xdr:col>
      <xdr:colOff>985456</xdr:colOff>
      <xdr:row>1</xdr:row>
      <xdr:rowOff>318827</xdr:rowOff>
    </xdr:from>
    <xdr:ext cx="1830181" cy="43287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/>
      </xdr:nvSpPr>
      <xdr:spPr>
        <a:xfrm>
          <a:off x="8342697" y="899086"/>
          <a:ext cx="1830181" cy="43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th-TH" sz="2200"/>
            <a:t>สำนักงานใหญ่</a:t>
          </a:r>
        </a:p>
      </xdr:txBody>
    </xdr:sp>
    <xdr:clientData/>
  </xdr:oneCellAnchor>
  <xdr:twoCellAnchor>
    <xdr:from>
      <xdr:col>5</xdr:col>
      <xdr:colOff>95250</xdr:colOff>
      <xdr:row>38</xdr:row>
      <xdr:rowOff>312964</xdr:rowOff>
    </xdr:from>
    <xdr:to>
      <xdr:col>6</xdr:col>
      <xdr:colOff>1510393</xdr:colOff>
      <xdr:row>38</xdr:row>
      <xdr:rowOff>314552</xdr:rowOff>
    </xdr:to>
    <xdr:cxnSp macro="">
      <xdr:nvCxnSpPr>
        <xdr:cNvPr id="11" name="ตัวเชื่อมต่อตรง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CxnSpPr/>
      </xdr:nvCxnSpPr>
      <xdr:spPr>
        <a:xfrm>
          <a:off x="8518071" y="13035643"/>
          <a:ext cx="3020786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29986</xdr:colOff>
      <xdr:row>38</xdr:row>
      <xdr:rowOff>315687</xdr:rowOff>
    </xdr:from>
    <xdr:to>
      <xdr:col>3</xdr:col>
      <xdr:colOff>3048050</xdr:colOff>
      <xdr:row>38</xdr:row>
      <xdr:rowOff>317275</xdr:rowOff>
    </xdr:to>
    <xdr:cxnSp macro="">
      <xdr:nvCxnSpPr>
        <xdr:cNvPr id="12" name="ตัวเชื่อมต่อตรง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CxnSpPr/>
      </xdr:nvCxnSpPr>
      <xdr:spPr>
        <a:xfrm>
          <a:off x="3853593" y="13038366"/>
          <a:ext cx="3018064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123825</xdr:colOff>
          <xdr:row>0</xdr:row>
          <xdr:rowOff>38100</xdr:rowOff>
        </xdr:from>
        <xdr:to>
          <xdr:col>36</xdr:col>
          <xdr:colOff>447675</xdr:colOff>
          <xdr:row>3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ออกใบวางบิล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123825</xdr:colOff>
          <xdr:row>3</xdr:row>
          <xdr:rowOff>219075</xdr:rowOff>
        </xdr:from>
        <xdr:to>
          <xdr:col>36</xdr:col>
          <xdr:colOff>447675</xdr:colOff>
          <xdr:row>6</xdr:row>
          <xdr:rowOff>247650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xmlns="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ransa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ออกใบกำกับภาษี"/>
      <sheetName val="ลูกค้าทั่วไป"/>
      <sheetName val="หัก ณ ที่จ่าย"/>
      <sheetName val="ขอออกซ้ำ"/>
      <sheetName val="รหัสแสกน"/>
      <sheetName val="รายการบันทึก"/>
      <sheetName val="ใบแจ้งผลการประเมิน"/>
      <sheetName val="รายชื่อนักศึกษา"/>
      <sheetName val="ใบประเมิน"/>
      <sheetName val="ออกบิลเงินสด"/>
      <sheetName val="Sheet1"/>
      <sheetName val="Slip print o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ข้อมูลพนักงาน</v>
          </cell>
        </row>
        <row r="3">
          <cell r="A3" t="str">
            <v>CEO001</v>
          </cell>
          <cell r="B3" t="str">
            <v>กรรมการบริหาร</v>
          </cell>
          <cell r="C3" t="str">
            <v>นายกฤษ์ จตุสิทธางกูรณ์</v>
          </cell>
        </row>
        <row r="4">
          <cell r="A4" t="str">
            <v>CEO002</v>
          </cell>
          <cell r="B4" t="str">
            <v>กรรมการบริหาร</v>
          </cell>
          <cell r="C4" t="str">
            <v>นายภูดิศ จตุสิทธางกูรณ์</v>
          </cell>
        </row>
        <row r="5">
          <cell r="A5" t="str">
            <v>MAG001</v>
          </cell>
          <cell r="B5" t="str">
            <v>ผู้จัดการ</v>
          </cell>
          <cell r="C5" t="str">
            <v>นางสาวชลพินท์ ปาลกะวงศ์ ณ อยุธยา</v>
          </cell>
        </row>
        <row r="6">
          <cell r="A6" t="str">
            <v>FIN001</v>
          </cell>
          <cell r="B6" t="str">
            <v>การเงิน</v>
          </cell>
          <cell r="C6" t="str">
            <v>ว่าที่ รต.หญิง วิไลลักษณ์ ราศ รี</v>
          </cell>
        </row>
        <row r="7">
          <cell r="A7" t="str">
            <v>SVS001</v>
          </cell>
          <cell r="B7" t="str">
            <v>Service Section</v>
          </cell>
          <cell r="C7" t="str">
            <v>_____________________________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97"/>
  <sheetViews>
    <sheetView tabSelected="1" view="pageBreakPreview" zoomScale="87" zoomScaleNormal="85" zoomScaleSheetLayoutView="87" zoomScalePageLayoutView="80" workbookViewId="0">
      <selection activeCell="C11" sqref="C11"/>
    </sheetView>
  </sheetViews>
  <sheetFormatPr defaultColWidth="9" defaultRowHeight="16.5"/>
  <cols>
    <col min="1" max="1" width="2" style="38" customWidth="1"/>
    <col min="2" max="2" width="7.42578125" style="38" customWidth="1"/>
    <col min="3" max="4" width="40.7109375" style="38" customWidth="1"/>
    <col min="5" max="5" width="19.5703125" style="80" customWidth="1"/>
    <col min="6" max="7" width="21" style="80" customWidth="1"/>
    <col min="8" max="8" width="17" style="38" hidden="1" customWidth="1"/>
    <col min="9" max="34" width="0" style="38" hidden="1" customWidth="1"/>
    <col min="35" max="16384" width="9" style="38"/>
  </cols>
  <sheetData>
    <row r="1" spans="2:31" s="29" customFormat="1" ht="45.75" customHeight="1">
      <c r="C1" s="30" t="s">
        <v>129</v>
      </c>
      <c r="D1" s="30"/>
      <c r="E1" s="31"/>
      <c r="F1" s="31"/>
      <c r="G1" s="103"/>
      <c r="I1" s="31"/>
    </row>
    <row r="2" spans="2:31" s="29" customFormat="1" ht="32.25" customHeight="1">
      <c r="C2" s="32" t="s">
        <v>130</v>
      </c>
      <c r="E2" s="31"/>
      <c r="F2" s="31"/>
      <c r="G2" s="103"/>
      <c r="I2" s="31"/>
    </row>
    <row r="3" spans="2:31" s="29" customFormat="1" ht="32.25" customHeight="1">
      <c r="C3" s="32" t="s">
        <v>131</v>
      </c>
      <c r="E3" s="31"/>
      <c r="F3" s="31"/>
      <c r="G3" s="31"/>
      <c r="I3" s="31"/>
    </row>
    <row r="4" spans="2:31" s="29" customFormat="1" ht="32.25" customHeight="1">
      <c r="C4" s="32" t="s">
        <v>132</v>
      </c>
      <c r="D4" s="33"/>
      <c r="E4" s="34"/>
      <c r="F4" s="34"/>
      <c r="G4" s="35">
        <f ca="1">NOW()</f>
        <v>43342.81948229167</v>
      </c>
      <c r="I4" s="31"/>
      <c r="AE4" s="29">
        <v>0</v>
      </c>
    </row>
    <row r="5" spans="2:31" s="29" customFormat="1" ht="3.75" customHeight="1" thickBot="1">
      <c r="C5" s="30"/>
      <c r="E5" s="31"/>
      <c r="F5" s="31"/>
      <c r="I5" s="31"/>
    </row>
    <row r="6" spans="2:31" ht="42.75" customHeight="1">
      <c r="B6" s="104" t="str">
        <f>IF(F7="","",IFERROR(VLOOKUP(F7,รหัสแสกน!$A$12:$C$301,2,FALSE)," "))</f>
        <v/>
      </c>
      <c r="C6" s="105"/>
      <c r="D6" s="106"/>
      <c r="E6" s="36" t="s">
        <v>133</v>
      </c>
      <c r="F6" s="36" t="s">
        <v>48</v>
      </c>
      <c r="G6" s="37" t="s">
        <v>134</v>
      </c>
      <c r="J6" s="39"/>
      <c r="K6" s="39"/>
      <c r="M6" s="39"/>
      <c r="N6" s="39"/>
    </row>
    <row r="7" spans="2:31" ht="42.75" customHeight="1" thickBot="1">
      <c r="B7" s="107"/>
      <c r="C7" s="108"/>
      <c r="D7" s="109"/>
      <c r="E7" s="40"/>
      <c r="F7" s="41"/>
      <c r="G7" s="42">
        <v>299</v>
      </c>
      <c r="J7" s="39"/>
      <c r="K7" s="39"/>
      <c r="L7" s="39"/>
      <c r="M7" s="39"/>
      <c r="N7" s="39"/>
    </row>
    <row r="8" spans="2:31" ht="3.75" customHeight="1" thickBot="1">
      <c r="B8" s="43"/>
      <c r="C8" s="44"/>
      <c r="D8" s="44"/>
      <c r="E8" s="45"/>
      <c r="F8" s="46"/>
      <c r="G8" s="47"/>
      <c r="I8" s="48"/>
    </row>
    <row r="9" spans="2:31" ht="39.75" customHeight="1">
      <c r="B9" s="49" t="s">
        <v>136</v>
      </c>
      <c r="C9" s="50" t="s">
        <v>135</v>
      </c>
      <c r="D9" s="50" t="s">
        <v>137</v>
      </c>
      <c r="E9" s="50" t="s">
        <v>0</v>
      </c>
      <c r="F9" s="110" t="s">
        <v>138</v>
      </c>
      <c r="G9" s="111"/>
      <c r="I9" s="51"/>
    </row>
    <row r="10" spans="2:31" ht="30" customHeight="1">
      <c r="B10" s="52" t="str">
        <f>IF(C10="","",1)</f>
        <v/>
      </c>
      <c r="C10" s="53"/>
      <c r="D10" s="53"/>
      <c r="E10" s="54"/>
      <c r="F10" s="55"/>
      <c r="G10" s="56"/>
    </row>
    <row r="11" spans="2:31" s="62" customFormat="1" ht="30" customHeight="1">
      <c r="B11" s="57" t="str">
        <f>IF(C11="","",2)</f>
        <v/>
      </c>
      <c r="C11" s="58"/>
      <c r="D11" s="58"/>
      <c r="E11" s="59"/>
      <c r="F11" s="60"/>
      <c r="G11" s="61"/>
    </row>
    <row r="12" spans="2:31" s="63" customFormat="1" ht="30" customHeight="1">
      <c r="B12" s="57" t="str">
        <f>IF(C12="","",3)</f>
        <v/>
      </c>
      <c r="C12" s="58"/>
      <c r="D12" s="58"/>
      <c r="E12" s="59"/>
      <c r="F12" s="60"/>
      <c r="G12" s="61"/>
    </row>
    <row r="13" spans="2:31" s="63" customFormat="1" ht="30" customHeight="1">
      <c r="B13" s="57" t="str">
        <f>IF(C13="","",4)</f>
        <v/>
      </c>
      <c r="C13" s="58"/>
      <c r="D13" s="58"/>
      <c r="E13" s="59"/>
      <c r="F13" s="60"/>
      <c r="G13" s="61"/>
    </row>
    <row r="14" spans="2:31" s="63" customFormat="1" ht="30" customHeight="1">
      <c r="B14" s="57" t="str">
        <f>IF(C14="","",5)</f>
        <v/>
      </c>
      <c r="C14" s="58"/>
      <c r="D14" s="58"/>
      <c r="E14" s="59"/>
      <c r="F14" s="60"/>
      <c r="G14" s="61"/>
    </row>
    <row r="15" spans="2:31" s="63" customFormat="1" ht="30" customHeight="1">
      <c r="B15" s="57" t="str">
        <f>IF(C15="","",6)</f>
        <v/>
      </c>
      <c r="C15" s="58"/>
      <c r="D15" s="58"/>
      <c r="E15" s="59"/>
      <c r="F15" s="60"/>
      <c r="G15" s="61"/>
    </row>
    <row r="16" spans="2:31" s="63" customFormat="1" ht="30" customHeight="1">
      <c r="B16" s="57" t="str">
        <f>IF(C16="","",7)</f>
        <v/>
      </c>
      <c r="C16" s="58"/>
      <c r="D16" s="58"/>
      <c r="E16" s="59"/>
      <c r="F16" s="60"/>
      <c r="G16" s="61"/>
    </row>
    <row r="17" spans="2:7" s="63" customFormat="1" ht="30" customHeight="1">
      <c r="B17" s="57" t="str">
        <f>IF(C17="","",8)</f>
        <v/>
      </c>
      <c r="C17" s="58"/>
      <c r="D17" s="58"/>
      <c r="E17" s="59"/>
      <c r="F17" s="60"/>
      <c r="G17" s="61"/>
    </row>
    <row r="18" spans="2:7" s="63" customFormat="1" ht="30" customHeight="1">
      <c r="B18" s="57" t="str">
        <f>IF(C18="","",9)</f>
        <v/>
      </c>
      <c r="C18" s="58"/>
      <c r="D18" s="58"/>
      <c r="E18" s="59"/>
      <c r="F18" s="60"/>
      <c r="G18" s="61"/>
    </row>
    <row r="19" spans="2:7" s="63" customFormat="1" ht="30" customHeight="1">
      <c r="B19" s="57" t="str">
        <f>IF(C19="","",10)</f>
        <v/>
      </c>
      <c r="C19" s="58"/>
      <c r="D19" s="58"/>
      <c r="E19" s="59"/>
      <c r="F19" s="60"/>
      <c r="G19" s="61"/>
    </row>
    <row r="20" spans="2:7" s="63" customFormat="1" ht="30" customHeight="1">
      <c r="B20" s="57" t="str">
        <f>IF(C20="","",11)</f>
        <v/>
      </c>
      <c r="C20" s="58"/>
      <c r="D20" s="58"/>
      <c r="E20" s="59"/>
      <c r="F20" s="60"/>
      <c r="G20" s="61"/>
    </row>
    <row r="21" spans="2:7" s="63" customFormat="1" ht="30" customHeight="1">
      <c r="B21" s="57" t="str">
        <f>IF(C21="","",12)</f>
        <v/>
      </c>
      <c r="C21" s="58"/>
      <c r="D21" s="58"/>
      <c r="E21" s="59"/>
      <c r="F21" s="60"/>
      <c r="G21" s="61"/>
    </row>
    <row r="22" spans="2:7" s="63" customFormat="1" ht="30" customHeight="1">
      <c r="B22" s="57" t="str">
        <f>IF(C22="","",13)</f>
        <v/>
      </c>
      <c r="C22" s="58"/>
      <c r="D22" s="58"/>
      <c r="E22" s="59"/>
      <c r="F22" s="60"/>
      <c r="G22" s="61"/>
    </row>
    <row r="23" spans="2:7" ht="30" customHeight="1">
      <c r="B23" s="57" t="str">
        <f>IF(C23="","",14)</f>
        <v/>
      </c>
      <c r="C23" s="58"/>
      <c r="D23" s="58"/>
      <c r="E23" s="59"/>
      <c r="F23" s="60"/>
      <c r="G23" s="61"/>
    </row>
    <row r="24" spans="2:7" ht="30" customHeight="1">
      <c r="B24" s="57" t="str">
        <f>IF(C24="","",15)</f>
        <v/>
      </c>
      <c r="C24" s="58"/>
      <c r="D24" s="58"/>
      <c r="E24" s="59"/>
      <c r="F24" s="60"/>
      <c r="G24" s="61"/>
    </row>
    <row r="25" spans="2:7" ht="30" customHeight="1">
      <c r="B25" s="57" t="str">
        <f>IF(C25="","",16)</f>
        <v/>
      </c>
      <c r="C25" s="58"/>
      <c r="D25" s="58"/>
      <c r="E25" s="59"/>
      <c r="F25" s="60"/>
      <c r="G25" s="61"/>
    </row>
    <row r="26" spans="2:7" ht="30" customHeight="1">
      <c r="B26" s="57" t="str">
        <f>IF(C26="","",17)</f>
        <v/>
      </c>
      <c r="C26" s="58"/>
      <c r="D26" s="58"/>
      <c r="E26" s="59"/>
      <c r="F26" s="60"/>
      <c r="G26" s="61"/>
    </row>
    <row r="27" spans="2:7" ht="30" customHeight="1">
      <c r="B27" s="57" t="str">
        <f>IF(C27="","",18)</f>
        <v/>
      </c>
      <c r="C27" s="58"/>
      <c r="D27" s="58"/>
      <c r="E27" s="59"/>
      <c r="F27" s="60"/>
      <c r="G27" s="61"/>
    </row>
    <row r="28" spans="2:7" ht="33.75" customHeight="1">
      <c r="B28" s="57" t="str">
        <f>IF(C28="","",19)</f>
        <v/>
      </c>
      <c r="C28" s="58"/>
      <c r="D28" s="58"/>
      <c r="E28" s="59"/>
      <c r="F28" s="60"/>
      <c r="G28" s="61"/>
    </row>
    <row r="29" spans="2:7" ht="29.25" customHeight="1">
      <c r="B29" s="57" t="str">
        <f>IF(C29="","",20)</f>
        <v/>
      </c>
      <c r="C29" s="58"/>
      <c r="D29" s="58"/>
      <c r="E29" s="59"/>
      <c r="F29" s="60"/>
      <c r="G29" s="61"/>
    </row>
    <row r="30" spans="2:7" ht="29.25" customHeight="1">
      <c r="B30" s="57" t="str">
        <f>IF(C30="","",21)</f>
        <v/>
      </c>
      <c r="C30" s="58"/>
      <c r="D30" s="58"/>
      <c r="E30" s="59"/>
      <c r="F30" s="60"/>
      <c r="G30" s="61"/>
    </row>
    <row r="31" spans="2:7" ht="29.25" customHeight="1">
      <c r="B31" s="57" t="str">
        <f>IF(C31="","",22)</f>
        <v/>
      </c>
      <c r="C31" s="58"/>
      <c r="D31" s="58"/>
      <c r="E31" s="59"/>
      <c r="F31" s="60"/>
      <c r="G31" s="61"/>
    </row>
    <row r="32" spans="2:7" ht="29.25" customHeight="1">
      <c r="B32" s="57" t="str">
        <f>IF(C32="","",23)</f>
        <v/>
      </c>
      <c r="C32" s="58"/>
      <c r="D32" s="58"/>
      <c r="E32" s="59"/>
      <c r="F32" s="60"/>
      <c r="G32" s="61"/>
    </row>
    <row r="33" spans="2:7" ht="29.25" customHeight="1">
      <c r="B33" s="57" t="str">
        <f>IF(C33="","",24)</f>
        <v/>
      </c>
      <c r="C33" s="58"/>
      <c r="D33" s="58"/>
      <c r="E33" s="59"/>
      <c r="F33" s="60"/>
      <c r="G33" s="61"/>
    </row>
    <row r="34" spans="2:7" ht="29.25" customHeight="1">
      <c r="B34" s="64" t="str">
        <f>IF(C34="","",25)</f>
        <v/>
      </c>
      <c r="C34" s="65"/>
      <c r="D34" s="65"/>
      <c r="E34" s="66"/>
      <c r="F34" s="67"/>
      <c r="G34" s="68"/>
    </row>
    <row r="35" spans="2:7" ht="29.25" customHeight="1">
      <c r="B35" s="83" t="s">
        <v>128</v>
      </c>
      <c r="C35" s="84"/>
      <c r="D35" s="85"/>
      <c r="E35" s="99">
        <f>SUM(E10:E34)</f>
        <v>0</v>
      </c>
      <c r="F35" s="95" t="s">
        <v>139</v>
      </c>
      <c r="G35" s="96"/>
    </row>
    <row r="36" spans="2:7" ht="29.25" customHeight="1" thickBot="1">
      <c r="B36" s="86" t="str">
        <f>BAHTTEXT(E35)</f>
        <v>ศูนย์บาทถ้วน</v>
      </c>
      <c r="C36" s="87"/>
      <c r="D36" s="88"/>
      <c r="E36" s="100"/>
      <c r="F36" s="97"/>
      <c r="G36" s="98"/>
    </row>
    <row r="37" spans="2:7" ht="3.75" customHeight="1" thickBot="1">
      <c r="B37" s="69"/>
      <c r="C37" s="69"/>
      <c r="D37" s="69"/>
      <c r="E37" s="70"/>
      <c r="F37" s="71"/>
      <c r="G37" s="72"/>
    </row>
    <row r="38" spans="2:7" ht="37.5" customHeight="1">
      <c r="B38" s="89" t="s">
        <v>147</v>
      </c>
      <c r="C38" s="90"/>
      <c r="D38" s="73" t="s">
        <v>141</v>
      </c>
      <c r="E38" s="74" t="s">
        <v>50</v>
      </c>
      <c r="F38" s="101" t="s">
        <v>140</v>
      </c>
      <c r="G38" s="102"/>
    </row>
    <row r="39" spans="2:7" ht="29.25" customHeight="1" thickBot="1">
      <c r="B39" s="81" t="s">
        <v>146</v>
      </c>
      <c r="C39" s="82"/>
      <c r="D39" s="75"/>
      <c r="E39" s="93">
        <f>F7</f>
        <v>0</v>
      </c>
      <c r="F39" s="112"/>
      <c r="G39" s="113"/>
    </row>
    <row r="40" spans="2:7" ht="29.25" customHeight="1">
      <c r="B40" s="116" t="s">
        <v>145</v>
      </c>
      <c r="C40" s="117"/>
      <c r="D40" s="76" t="s">
        <v>143</v>
      </c>
      <c r="E40" s="93"/>
      <c r="F40" s="114" t="str">
        <f>IFERROR(VLOOKUP(E7,[1]รหัสแสกน!$A$3:$C$7,3,FALSE)," ")</f>
        <v xml:space="preserve"> </v>
      </c>
      <c r="G40" s="115"/>
    </row>
    <row r="41" spans="2:7" ht="29.25" customHeight="1" thickBot="1">
      <c r="B41" s="81" t="s">
        <v>148</v>
      </c>
      <c r="C41" s="82"/>
      <c r="D41" s="77" t="s">
        <v>144</v>
      </c>
      <c r="E41" s="94"/>
      <c r="F41" s="91" t="s">
        <v>142</v>
      </c>
      <c r="G41" s="92"/>
    </row>
    <row r="42" spans="2:7" ht="21">
      <c r="B42" s="78"/>
      <c r="C42" s="78"/>
      <c r="D42" s="78"/>
      <c r="E42" s="79"/>
      <c r="F42" s="79"/>
      <c r="G42" s="79"/>
    </row>
    <row r="43" spans="2:7" ht="21">
      <c r="B43" s="78"/>
      <c r="C43" s="78"/>
      <c r="D43" s="78"/>
      <c r="E43" s="79"/>
      <c r="F43" s="79"/>
      <c r="G43" s="79"/>
    </row>
    <row r="44" spans="2:7" ht="21">
      <c r="B44" s="78"/>
      <c r="C44" s="78"/>
      <c r="D44" s="78"/>
      <c r="E44" s="79"/>
      <c r="F44" s="79"/>
      <c r="G44" s="79"/>
    </row>
    <row r="45" spans="2:7" ht="21">
      <c r="B45" s="78"/>
      <c r="C45" s="78"/>
      <c r="D45" s="78"/>
      <c r="E45" s="79"/>
      <c r="F45" s="79"/>
      <c r="G45" s="79"/>
    </row>
    <row r="46" spans="2:7" ht="21">
      <c r="B46" s="78"/>
      <c r="C46" s="78"/>
      <c r="D46" s="78"/>
      <c r="E46" s="79"/>
      <c r="F46" s="79"/>
      <c r="G46" s="79"/>
    </row>
    <row r="47" spans="2:7" ht="21">
      <c r="B47" s="78"/>
      <c r="C47" s="78"/>
      <c r="D47" s="78"/>
      <c r="E47" s="79"/>
      <c r="F47" s="79"/>
      <c r="G47" s="79"/>
    </row>
    <row r="48" spans="2:7" ht="21">
      <c r="B48" s="78"/>
      <c r="C48" s="78"/>
      <c r="D48" s="78"/>
      <c r="E48" s="79"/>
      <c r="F48" s="79"/>
      <c r="G48" s="79"/>
    </row>
    <row r="49" spans="2:7" ht="21">
      <c r="B49" s="78"/>
      <c r="C49" s="78"/>
      <c r="D49" s="78"/>
      <c r="E49" s="79"/>
      <c r="F49" s="79"/>
      <c r="G49" s="79"/>
    </row>
    <row r="50" spans="2:7" ht="21">
      <c r="B50" s="78"/>
      <c r="C50" s="78"/>
      <c r="D50" s="78"/>
      <c r="E50" s="79"/>
      <c r="F50" s="79"/>
      <c r="G50" s="79"/>
    </row>
    <row r="51" spans="2:7" ht="21">
      <c r="B51" s="78"/>
      <c r="C51" s="78"/>
      <c r="D51" s="78"/>
      <c r="E51" s="79"/>
      <c r="F51" s="79"/>
      <c r="G51" s="79"/>
    </row>
    <row r="52" spans="2:7" ht="21">
      <c r="B52" s="78"/>
      <c r="C52" s="78"/>
      <c r="D52" s="78"/>
      <c r="E52" s="79"/>
      <c r="F52" s="79"/>
      <c r="G52" s="79"/>
    </row>
    <row r="53" spans="2:7" ht="21">
      <c r="B53" s="78"/>
      <c r="C53" s="78"/>
      <c r="D53" s="78"/>
      <c r="E53" s="79"/>
      <c r="F53" s="79"/>
      <c r="G53" s="79"/>
    </row>
    <row r="54" spans="2:7" ht="21">
      <c r="B54" s="78"/>
      <c r="C54" s="78"/>
      <c r="D54" s="78"/>
      <c r="E54" s="79"/>
      <c r="F54" s="79"/>
      <c r="G54" s="79"/>
    </row>
    <row r="55" spans="2:7" ht="21">
      <c r="B55" s="78"/>
      <c r="C55" s="78"/>
      <c r="D55" s="78"/>
      <c r="E55" s="79"/>
      <c r="F55" s="79"/>
      <c r="G55" s="79"/>
    </row>
    <row r="56" spans="2:7" ht="21">
      <c r="B56" s="78"/>
      <c r="C56" s="78"/>
      <c r="D56" s="78"/>
      <c r="E56" s="79"/>
      <c r="F56" s="79"/>
      <c r="G56" s="79"/>
    </row>
    <row r="57" spans="2:7" ht="21">
      <c r="B57" s="78"/>
      <c r="C57" s="78"/>
      <c r="D57" s="78"/>
      <c r="E57" s="79"/>
      <c r="F57" s="79"/>
      <c r="G57" s="79"/>
    </row>
    <row r="58" spans="2:7" ht="21">
      <c r="B58" s="78"/>
      <c r="C58" s="78"/>
      <c r="D58" s="78"/>
      <c r="E58" s="79"/>
      <c r="F58" s="79"/>
      <c r="G58" s="79"/>
    </row>
    <row r="59" spans="2:7" ht="21">
      <c r="B59" s="78"/>
      <c r="C59" s="78"/>
      <c r="D59" s="78"/>
      <c r="E59" s="79"/>
      <c r="F59" s="79"/>
      <c r="G59" s="79"/>
    </row>
    <row r="60" spans="2:7" ht="21">
      <c r="B60" s="78"/>
      <c r="C60" s="78"/>
      <c r="D60" s="78"/>
      <c r="E60" s="79"/>
      <c r="F60" s="79"/>
      <c r="G60" s="79"/>
    </row>
    <row r="61" spans="2:7" ht="21">
      <c r="B61" s="78"/>
      <c r="C61" s="78"/>
      <c r="D61" s="78"/>
      <c r="E61" s="79"/>
      <c r="F61" s="79"/>
      <c r="G61" s="79"/>
    </row>
    <row r="62" spans="2:7" ht="21">
      <c r="B62" s="78"/>
      <c r="C62" s="78"/>
      <c r="D62" s="78"/>
      <c r="E62" s="79"/>
      <c r="F62" s="79"/>
      <c r="G62" s="79"/>
    </row>
    <row r="63" spans="2:7" ht="21">
      <c r="B63" s="78"/>
      <c r="C63" s="78"/>
      <c r="D63" s="78"/>
      <c r="E63" s="79"/>
      <c r="F63" s="79"/>
      <c r="G63" s="79"/>
    </row>
    <row r="64" spans="2:7" ht="21">
      <c r="B64" s="78"/>
      <c r="C64" s="78"/>
      <c r="D64" s="78"/>
      <c r="E64" s="79"/>
      <c r="F64" s="79"/>
      <c r="G64" s="79"/>
    </row>
    <row r="65" spans="2:7" ht="21">
      <c r="B65" s="78"/>
      <c r="C65" s="78"/>
      <c r="D65" s="78"/>
      <c r="E65" s="79"/>
      <c r="F65" s="79"/>
      <c r="G65" s="79"/>
    </row>
    <row r="66" spans="2:7" ht="21">
      <c r="B66" s="78"/>
      <c r="C66" s="78"/>
      <c r="D66" s="78"/>
      <c r="E66" s="79"/>
      <c r="F66" s="79"/>
      <c r="G66" s="79"/>
    </row>
    <row r="67" spans="2:7" ht="21">
      <c r="B67" s="78"/>
      <c r="C67" s="78"/>
      <c r="D67" s="78"/>
      <c r="E67" s="79"/>
      <c r="F67" s="79"/>
      <c r="G67" s="79"/>
    </row>
    <row r="68" spans="2:7" ht="21">
      <c r="B68" s="78"/>
      <c r="C68" s="78"/>
      <c r="D68" s="78"/>
      <c r="E68" s="79"/>
      <c r="F68" s="79"/>
      <c r="G68" s="79"/>
    </row>
    <row r="69" spans="2:7" ht="21">
      <c r="B69" s="78"/>
      <c r="C69" s="78"/>
      <c r="D69" s="78"/>
      <c r="E69" s="79"/>
      <c r="F69" s="79"/>
      <c r="G69" s="79"/>
    </row>
    <row r="70" spans="2:7" ht="21">
      <c r="B70" s="78"/>
      <c r="C70" s="78"/>
      <c r="D70" s="78"/>
      <c r="E70" s="79"/>
      <c r="F70" s="79"/>
      <c r="G70" s="79"/>
    </row>
    <row r="71" spans="2:7" ht="21">
      <c r="B71" s="78"/>
      <c r="C71" s="78"/>
      <c r="D71" s="78"/>
      <c r="E71" s="79"/>
      <c r="F71" s="79"/>
      <c r="G71" s="79"/>
    </row>
    <row r="72" spans="2:7" ht="21">
      <c r="B72" s="78"/>
      <c r="C72" s="78"/>
      <c r="D72" s="78"/>
      <c r="E72" s="79"/>
      <c r="F72" s="79"/>
      <c r="G72" s="79"/>
    </row>
    <row r="73" spans="2:7" ht="21">
      <c r="B73" s="78"/>
      <c r="C73" s="78"/>
      <c r="D73" s="78"/>
      <c r="E73" s="79"/>
      <c r="F73" s="79"/>
      <c r="G73" s="79"/>
    </row>
    <row r="74" spans="2:7" ht="21">
      <c r="B74" s="78"/>
      <c r="C74" s="78"/>
      <c r="D74" s="78"/>
      <c r="E74" s="79"/>
      <c r="F74" s="79"/>
      <c r="G74" s="79"/>
    </row>
    <row r="75" spans="2:7" ht="21">
      <c r="B75" s="78"/>
      <c r="C75" s="78"/>
      <c r="D75" s="78"/>
      <c r="E75" s="79"/>
      <c r="F75" s="79"/>
      <c r="G75" s="79"/>
    </row>
    <row r="76" spans="2:7" ht="21">
      <c r="B76" s="78"/>
      <c r="C76" s="78"/>
      <c r="D76" s="78"/>
      <c r="E76" s="79"/>
      <c r="F76" s="79"/>
      <c r="G76" s="79"/>
    </row>
    <row r="77" spans="2:7" ht="21">
      <c r="B77" s="78"/>
      <c r="C77" s="78"/>
      <c r="D77" s="78"/>
      <c r="E77" s="79"/>
      <c r="F77" s="79"/>
      <c r="G77" s="79"/>
    </row>
    <row r="78" spans="2:7" ht="21">
      <c r="B78" s="78"/>
      <c r="C78" s="78"/>
      <c r="D78" s="78"/>
      <c r="E78" s="79"/>
      <c r="F78" s="79"/>
      <c r="G78" s="79"/>
    </row>
    <row r="79" spans="2:7" ht="21">
      <c r="B79" s="78"/>
      <c r="C79" s="78"/>
      <c r="D79" s="78"/>
      <c r="E79" s="79"/>
      <c r="F79" s="79"/>
      <c r="G79" s="79"/>
    </row>
    <row r="80" spans="2:7" ht="21">
      <c r="B80" s="78"/>
      <c r="C80" s="78"/>
      <c r="D80" s="78"/>
      <c r="E80" s="79"/>
      <c r="F80" s="79"/>
      <c r="G80" s="79"/>
    </row>
    <row r="81" spans="2:7" ht="21">
      <c r="B81" s="78"/>
      <c r="C81" s="78"/>
      <c r="D81" s="78"/>
      <c r="E81" s="79"/>
      <c r="F81" s="79"/>
      <c r="G81" s="79"/>
    </row>
    <row r="82" spans="2:7" ht="21">
      <c r="B82" s="78"/>
      <c r="C82" s="78"/>
      <c r="D82" s="78"/>
      <c r="E82" s="79"/>
      <c r="F82" s="79"/>
      <c r="G82" s="79"/>
    </row>
    <row r="83" spans="2:7" ht="21">
      <c r="B83" s="78"/>
      <c r="C83" s="78"/>
      <c r="D83" s="78"/>
      <c r="E83" s="79"/>
      <c r="F83" s="79"/>
      <c r="G83" s="79"/>
    </row>
    <row r="84" spans="2:7" ht="21">
      <c r="B84" s="78"/>
      <c r="C84" s="78"/>
      <c r="D84" s="78"/>
      <c r="E84" s="79"/>
      <c r="F84" s="79"/>
      <c r="G84" s="79"/>
    </row>
    <row r="85" spans="2:7" ht="21">
      <c r="B85" s="78"/>
      <c r="C85" s="78"/>
      <c r="D85" s="78"/>
      <c r="E85" s="79"/>
      <c r="F85" s="79"/>
      <c r="G85" s="79"/>
    </row>
    <row r="86" spans="2:7" ht="21">
      <c r="B86" s="78"/>
      <c r="C86" s="78"/>
      <c r="D86" s="78"/>
      <c r="E86" s="79"/>
      <c r="F86" s="79"/>
      <c r="G86" s="79"/>
    </row>
    <row r="87" spans="2:7" ht="21">
      <c r="B87" s="78"/>
      <c r="C87" s="78"/>
      <c r="D87" s="78"/>
      <c r="E87" s="79"/>
      <c r="F87" s="79"/>
      <c r="G87" s="79"/>
    </row>
    <row r="88" spans="2:7" ht="21">
      <c r="B88" s="78"/>
      <c r="C88" s="78"/>
      <c r="D88" s="78"/>
      <c r="E88" s="79"/>
      <c r="F88" s="79"/>
      <c r="G88" s="79"/>
    </row>
    <row r="89" spans="2:7" ht="21">
      <c r="B89" s="78"/>
      <c r="C89" s="78"/>
      <c r="D89" s="78"/>
      <c r="E89" s="79"/>
      <c r="F89" s="79"/>
      <c r="G89" s="79"/>
    </row>
    <row r="90" spans="2:7" ht="21">
      <c r="B90" s="78"/>
      <c r="C90" s="78"/>
      <c r="D90" s="78"/>
      <c r="E90" s="79"/>
      <c r="F90" s="79"/>
      <c r="G90" s="79"/>
    </row>
    <row r="91" spans="2:7" ht="21">
      <c r="B91" s="78"/>
      <c r="C91" s="78"/>
      <c r="D91" s="78"/>
      <c r="E91" s="79"/>
      <c r="F91" s="79"/>
      <c r="G91" s="79"/>
    </row>
    <row r="92" spans="2:7" ht="21">
      <c r="B92" s="78"/>
      <c r="C92" s="78"/>
      <c r="D92" s="78"/>
      <c r="E92" s="79"/>
      <c r="F92" s="79"/>
      <c r="G92" s="79"/>
    </row>
    <row r="93" spans="2:7" ht="21">
      <c r="B93" s="78"/>
      <c r="C93" s="78"/>
      <c r="D93" s="78"/>
      <c r="E93" s="79"/>
      <c r="F93" s="79"/>
      <c r="G93" s="79"/>
    </row>
    <row r="94" spans="2:7" ht="21">
      <c r="B94" s="78"/>
      <c r="C94" s="78"/>
      <c r="D94" s="78"/>
      <c r="E94" s="79"/>
      <c r="F94" s="79"/>
      <c r="G94" s="79"/>
    </row>
    <row r="95" spans="2:7" ht="21">
      <c r="B95" s="78"/>
      <c r="C95" s="78"/>
      <c r="D95" s="78"/>
      <c r="E95" s="79"/>
      <c r="F95" s="79"/>
      <c r="G95" s="79"/>
    </row>
    <row r="96" spans="2:7" ht="21">
      <c r="B96" s="78"/>
      <c r="C96" s="78"/>
      <c r="D96" s="78"/>
      <c r="E96" s="79"/>
      <c r="F96" s="79"/>
      <c r="G96" s="79"/>
    </row>
    <row r="97" spans="2:7" ht="21">
      <c r="B97" s="78"/>
      <c r="C97" s="78"/>
      <c r="D97" s="78"/>
      <c r="E97" s="79"/>
      <c r="F97" s="79"/>
      <c r="G97" s="79"/>
    </row>
  </sheetData>
  <sheetProtection sheet="1" objects="1" scenarios="1" selectLockedCells="1"/>
  <mergeCells count="16">
    <mergeCell ref="G1:G2"/>
    <mergeCell ref="B6:D7"/>
    <mergeCell ref="F9:G9"/>
    <mergeCell ref="F39:G39"/>
    <mergeCell ref="F40:G40"/>
    <mergeCell ref="B39:C39"/>
    <mergeCell ref="B40:C40"/>
    <mergeCell ref="B41:C41"/>
    <mergeCell ref="B35:D35"/>
    <mergeCell ref="B36:D36"/>
    <mergeCell ref="B38:C38"/>
    <mergeCell ref="F41:G41"/>
    <mergeCell ref="E39:E41"/>
    <mergeCell ref="F35:G36"/>
    <mergeCell ref="E35:E36"/>
    <mergeCell ref="F38:G38"/>
  </mergeCells>
  <pageMargins left="0.35433070866141736" right="0.31496062992125984" top="0.39370078740157483" bottom="1.1811023622047245" header="0.23622047244094491" footer="1.2204724409448819"/>
  <pageSetup paperSize="9" scale="59" orientation="portrait" horizontalDpi="180" verticalDpi="180" r:id="rId1"/>
  <rowBreaks count="1" manualBreakCount="1">
    <brk id="41" max="43" man="1"/>
  </rowBreaks>
  <colBreaks count="1" manualBreakCount="1">
    <brk id="7" max="36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_xludf.Clear">
                <anchor moveWithCells="1" sizeWithCells="1">
                  <from>
                    <xdr:col>34</xdr:col>
                    <xdr:colOff>123825</xdr:colOff>
                    <xdr:row>0</xdr:row>
                    <xdr:rowOff>38100</xdr:rowOff>
                  </from>
                  <to>
                    <xdr:col>36</xdr:col>
                    <xdr:colOff>447675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NewForm">
                <anchor moveWithCells="1" sizeWithCells="1">
                  <from>
                    <xdr:col>34</xdr:col>
                    <xdr:colOff>123825</xdr:colOff>
                    <xdr:row>3</xdr:row>
                    <xdr:rowOff>219075</xdr:rowOff>
                  </from>
                  <to>
                    <xdr:col>36</xdr:col>
                    <xdr:colOff>447675</xdr:colOff>
                    <xdr:row>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1"/>
  <sheetViews>
    <sheetView view="pageBreakPreview" zoomScale="130" zoomScaleSheetLayoutView="130" workbookViewId="0">
      <selection activeCell="B16" sqref="B16:B17"/>
    </sheetView>
  </sheetViews>
  <sheetFormatPr defaultColWidth="9" defaultRowHeight="16.5"/>
  <cols>
    <col min="1" max="1" width="9" style="4"/>
    <col min="2" max="2" width="31.28515625" style="1" customWidth="1"/>
    <col min="3" max="3" width="38.140625" style="1" customWidth="1"/>
    <col min="4" max="6" width="12.28515625" style="1" customWidth="1"/>
    <col min="7" max="7" width="17" style="1" customWidth="1"/>
    <col min="8" max="16384" width="9" style="1"/>
  </cols>
  <sheetData>
    <row r="1" spans="1:3" ht="32.25" thickBot="1">
      <c r="A1" s="8" t="s">
        <v>36</v>
      </c>
      <c r="B1" s="3"/>
      <c r="C1" s="3"/>
    </row>
    <row r="2" spans="1:3">
      <c r="A2" s="11" t="s">
        <v>28</v>
      </c>
      <c r="B2" s="12" t="s">
        <v>38</v>
      </c>
      <c r="C2" s="13" t="s">
        <v>37</v>
      </c>
    </row>
    <row r="3" spans="1:3">
      <c r="A3" s="14" t="s">
        <v>43</v>
      </c>
      <c r="B3" s="9" t="s">
        <v>45</v>
      </c>
      <c r="C3" s="15" t="s">
        <v>46</v>
      </c>
    </row>
    <row r="4" spans="1:3">
      <c r="A4" s="14" t="s">
        <v>44</v>
      </c>
      <c r="B4" s="9" t="s">
        <v>45</v>
      </c>
      <c r="C4" s="15" t="s">
        <v>47</v>
      </c>
    </row>
    <row r="5" spans="1:3">
      <c r="A5" s="14" t="s">
        <v>42</v>
      </c>
      <c r="B5" s="9" t="s">
        <v>40</v>
      </c>
      <c r="C5" s="15" t="s">
        <v>119</v>
      </c>
    </row>
    <row r="6" spans="1:3">
      <c r="A6" s="14" t="s">
        <v>41</v>
      </c>
      <c r="B6" s="9" t="s">
        <v>39</v>
      </c>
      <c r="C6" s="15" t="s">
        <v>120</v>
      </c>
    </row>
    <row r="7" spans="1:3" ht="17.25" thickBot="1">
      <c r="A7" s="16"/>
      <c r="B7" s="17"/>
      <c r="C7" s="18"/>
    </row>
    <row r="9" spans="1:3" ht="31.5">
      <c r="A9" s="7" t="s">
        <v>1</v>
      </c>
      <c r="B9" s="2"/>
      <c r="C9" s="2"/>
    </row>
    <row r="10" spans="1:3" ht="27" thickBot="1">
      <c r="A10" s="6" t="s">
        <v>11</v>
      </c>
      <c r="B10" s="2"/>
      <c r="C10" s="2"/>
    </row>
    <row r="11" spans="1:3">
      <c r="A11" s="11" t="s">
        <v>49</v>
      </c>
      <c r="B11" s="12" t="s">
        <v>30</v>
      </c>
      <c r="C11" s="13" t="s">
        <v>29</v>
      </c>
    </row>
    <row r="12" spans="1:3">
      <c r="A12" s="118" t="s">
        <v>2</v>
      </c>
      <c r="B12" s="119" t="s">
        <v>149</v>
      </c>
      <c r="C12" s="120" t="s">
        <v>110</v>
      </c>
    </row>
    <row r="13" spans="1:3">
      <c r="A13" s="118"/>
      <c r="B13" s="119"/>
      <c r="C13" s="120"/>
    </row>
    <row r="14" spans="1:3">
      <c r="A14" s="118" t="s">
        <v>3</v>
      </c>
      <c r="B14" s="119" t="s">
        <v>150</v>
      </c>
      <c r="C14" s="124" t="s">
        <v>110</v>
      </c>
    </row>
    <row r="15" spans="1:3">
      <c r="A15" s="118"/>
      <c r="B15" s="119"/>
      <c r="C15" s="124"/>
    </row>
    <row r="16" spans="1:3">
      <c r="A16" s="118" t="s">
        <v>4</v>
      </c>
      <c r="B16" s="119" t="s">
        <v>151</v>
      </c>
      <c r="C16" s="120" t="s">
        <v>110</v>
      </c>
    </row>
    <row r="17" spans="1:3">
      <c r="A17" s="118"/>
      <c r="B17" s="119"/>
      <c r="C17" s="120"/>
    </row>
    <row r="18" spans="1:3">
      <c r="A18" s="118" t="s">
        <v>5</v>
      </c>
      <c r="B18" s="119" t="s">
        <v>152</v>
      </c>
      <c r="C18" s="120" t="s">
        <v>110</v>
      </c>
    </row>
    <row r="19" spans="1:3">
      <c r="A19" s="118"/>
      <c r="B19" s="119"/>
      <c r="C19" s="120"/>
    </row>
    <row r="20" spans="1:3">
      <c r="A20" s="118" t="s">
        <v>6</v>
      </c>
      <c r="B20" s="119" t="s">
        <v>153</v>
      </c>
      <c r="C20" s="120" t="s">
        <v>110</v>
      </c>
    </row>
    <row r="21" spans="1:3">
      <c r="A21" s="118"/>
      <c r="B21" s="119"/>
      <c r="C21" s="120"/>
    </row>
    <row r="22" spans="1:3">
      <c r="A22" s="118" t="s">
        <v>7</v>
      </c>
      <c r="B22" s="119" t="s">
        <v>154</v>
      </c>
      <c r="C22" s="120" t="s">
        <v>110</v>
      </c>
    </row>
    <row r="23" spans="1:3">
      <c r="A23" s="118"/>
      <c r="B23" s="119"/>
      <c r="C23" s="120"/>
    </row>
    <row r="24" spans="1:3">
      <c r="A24" s="118" t="s">
        <v>8</v>
      </c>
      <c r="B24" s="119" t="s">
        <v>155</v>
      </c>
      <c r="C24" s="120" t="s">
        <v>110</v>
      </c>
    </row>
    <row r="25" spans="1:3">
      <c r="A25" s="118"/>
      <c r="B25" s="119"/>
      <c r="C25" s="120"/>
    </row>
    <row r="26" spans="1:3">
      <c r="A26" s="118" t="s">
        <v>9</v>
      </c>
      <c r="B26" s="119" t="s">
        <v>156</v>
      </c>
      <c r="C26" s="120" t="s">
        <v>110</v>
      </c>
    </row>
    <row r="27" spans="1:3">
      <c r="A27" s="118"/>
      <c r="B27" s="119"/>
      <c r="C27" s="120"/>
    </row>
    <row r="28" spans="1:3">
      <c r="A28" s="118" t="s">
        <v>10</v>
      </c>
      <c r="B28" s="119" t="s">
        <v>157</v>
      </c>
      <c r="C28" s="120" t="s">
        <v>110</v>
      </c>
    </row>
    <row r="29" spans="1:3">
      <c r="A29" s="118"/>
      <c r="B29" s="119"/>
      <c r="C29" s="120"/>
    </row>
    <row r="30" spans="1:3">
      <c r="A30" s="118" t="s">
        <v>12</v>
      </c>
      <c r="B30" s="119" t="s">
        <v>158</v>
      </c>
      <c r="C30" s="120" t="s">
        <v>110</v>
      </c>
    </row>
    <row r="31" spans="1:3">
      <c r="A31" s="118"/>
      <c r="B31" s="119"/>
      <c r="C31" s="120"/>
    </row>
    <row r="32" spans="1:3">
      <c r="A32" s="118" t="s">
        <v>13</v>
      </c>
      <c r="B32" s="119" t="s">
        <v>159</v>
      </c>
      <c r="C32" s="120" t="s">
        <v>110</v>
      </c>
    </row>
    <row r="33" spans="1:3">
      <c r="A33" s="118"/>
      <c r="B33" s="119"/>
      <c r="C33" s="120"/>
    </row>
    <row r="34" spans="1:3">
      <c r="A34" s="118" t="s">
        <v>14</v>
      </c>
      <c r="B34" s="119" t="s">
        <v>160</v>
      </c>
      <c r="C34" s="120" t="s">
        <v>110</v>
      </c>
    </row>
    <row r="35" spans="1:3">
      <c r="A35" s="118"/>
      <c r="B35" s="119"/>
      <c r="C35" s="120"/>
    </row>
    <row r="36" spans="1:3">
      <c r="A36" s="118" t="s">
        <v>15</v>
      </c>
      <c r="B36" s="119" t="s">
        <v>161</v>
      </c>
      <c r="C36" s="120" t="s">
        <v>110</v>
      </c>
    </row>
    <row r="37" spans="1:3">
      <c r="A37" s="118"/>
      <c r="B37" s="119"/>
      <c r="C37" s="120"/>
    </row>
    <row r="38" spans="1:3">
      <c r="A38" s="118" t="s">
        <v>16</v>
      </c>
      <c r="B38" s="119" t="s">
        <v>162</v>
      </c>
      <c r="C38" s="120" t="s">
        <v>110</v>
      </c>
    </row>
    <row r="39" spans="1:3">
      <c r="A39" s="118"/>
      <c r="B39" s="119"/>
      <c r="C39" s="120"/>
    </row>
    <row r="40" spans="1:3">
      <c r="A40" s="118" t="s">
        <v>17</v>
      </c>
      <c r="B40" s="119" t="s">
        <v>163</v>
      </c>
      <c r="C40" s="120" t="s">
        <v>110</v>
      </c>
    </row>
    <row r="41" spans="1:3">
      <c r="A41" s="118"/>
      <c r="B41" s="119"/>
      <c r="C41" s="120"/>
    </row>
    <row r="42" spans="1:3">
      <c r="A42" s="118" t="s">
        <v>18</v>
      </c>
      <c r="B42" s="119"/>
      <c r="C42" s="120"/>
    </row>
    <row r="43" spans="1:3">
      <c r="A43" s="118"/>
      <c r="B43" s="119"/>
      <c r="C43" s="120"/>
    </row>
    <row r="44" spans="1:3">
      <c r="A44" s="118" t="s">
        <v>19</v>
      </c>
      <c r="B44" s="119" t="s">
        <v>110</v>
      </c>
      <c r="C44" s="120" t="s">
        <v>110</v>
      </c>
    </row>
    <row r="45" spans="1:3">
      <c r="A45" s="118"/>
      <c r="B45" s="119"/>
      <c r="C45" s="120"/>
    </row>
    <row r="46" spans="1:3">
      <c r="A46" s="118" t="s">
        <v>20</v>
      </c>
      <c r="B46" s="119" t="s">
        <v>110</v>
      </c>
      <c r="C46" s="120" t="s">
        <v>110</v>
      </c>
    </row>
    <row r="47" spans="1:3">
      <c r="A47" s="118"/>
      <c r="B47" s="119"/>
      <c r="C47" s="120"/>
    </row>
    <row r="48" spans="1:3">
      <c r="A48" s="118" t="s">
        <v>21</v>
      </c>
      <c r="B48" s="119" t="s">
        <v>110</v>
      </c>
      <c r="C48" s="120" t="s">
        <v>110</v>
      </c>
    </row>
    <row r="49" spans="1:3">
      <c r="A49" s="118"/>
      <c r="B49" s="119"/>
      <c r="C49" s="120"/>
    </row>
    <row r="50" spans="1:3">
      <c r="A50" s="118" t="s">
        <v>22</v>
      </c>
      <c r="B50" s="119" t="s">
        <v>110</v>
      </c>
      <c r="C50" s="120" t="s">
        <v>110</v>
      </c>
    </row>
    <row r="51" spans="1:3">
      <c r="A51" s="118"/>
      <c r="B51" s="119"/>
      <c r="C51" s="120"/>
    </row>
    <row r="52" spans="1:3">
      <c r="A52" s="118" t="s">
        <v>23</v>
      </c>
      <c r="B52" s="119" t="s">
        <v>110</v>
      </c>
      <c r="C52" s="120" t="s">
        <v>110</v>
      </c>
    </row>
    <row r="53" spans="1:3">
      <c r="A53" s="118"/>
      <c r="B53" s="119"/>
      <c r="C53" s="120"/>
    </row>
    <row r="54" spans="1:3">
      <c r="A54" s="118" t="s">
        <v>24</v>
      </c>
      <c r="B54" s="119" t="s">
        <v>110</v>
      </c>
      <c r="C54" s="120" t="s">
        <v>110</v>
      </c>
    </row>
    <row r="55" spans="1:3">
      <c r="A55" s="118"/>
      <c r="B55" s="119"/>
      <c r="C55" s="120"/>
    </row>
    <row r="56" spans="1:3">
      <c r="A56" s="118" t="s">
        <v>25</v>
      </c>
      <c r="B56" s="119" t="s">
        <v>110</v>
      </c>
      <c r="C56" s="120" t="s">
        <v>110</v>
      </c>
    </row>
    <row r="57" spans="1:3">
      <c r="A57" s="118"/>
      <c r="B57" s="119"/>
      <c r="C57" s="120"/>
    </row>
    <row r="58" spans="1:3">
      <c r="A58" s="118" t="s">
        <v>26</v>
      </c>
      <c r="B58" s="119" t="s">
        <v>110</v>
      </c>
      <c r="C58" s="120" t="s">
        <v>110</v>
      </c>
    </row>
    <row r="59" spans="1:3">
      <c r="A59" s="118"/>
      <c r="B59" s="119"/>
      <c r="C59" s="120"/>
    </row>
    <row r="60" spans="1:3">
      <c r="A60" s="118" t="s">
        <v>27</v>
      </c>
      <c r="B60" s="119" t="s">
        <v>110</v>
      </c>
      <c r="C60" s="120" t="s">
        <v>110</v>
      </c>
    </row>
    <row r="61" spans="1:3">
      <c r="A61" s="118"/>
      <c r="B61" s="119"/>
      <c r="C61" s="120"/>
    </row>
    <row r="62" spans="1:3">
      <c r="A62" s="118" t="s">
        <v>31</v>
      </c>
      <c r="B62" s="119" t="s">
        <v>110</v>
      </c>
      <c r="C62" s="120" t="s">
        <v>110</v>
      </c>
    </row>
    <row r="63" spans="1:3">
      <c r="A63" s="118"/>
      <c r="B63" s="119"/>
      <c r="C63" s="120"/>
    </row>
    <row r="64" spans="1:3">
      <c r="A64" s="118" t="s">
        <v>32</v>
      </c>
      <c r="B64" s="119" t="s">
        <v>110</v>
      </c>
      <c r="C64" s="120" t="s">
        <v>110</v>
      </c>
    </row>
    <row r="65" spans="1:3">
      <c r="A65" s="118"/>
      <c r="B65" s="119"/>
      <c r="C65" s="120"/>
    </row>
    <row r="66" spans="1:3">
      <c r="A66" s="118" t="s">
        <v>33</v>
      </c>
      <c r="B66" s="119" t="s">
        <v>110</v>
      </c>
      <c r="C66" s="120" t="s">
        <v>110</v>
      </c>
    </row>
    <row r="67" spans="1:3">
      <c r="A67" s="118"/>
      <c r="B67" s="119"/>
      <c r="C67" s="120"/>
    </row>
    <row r="68" spans="1:3">
      <c r="A68" s="118" t="s">
        <v>34</v>
      </c>
      <c r="B68" s="119" t="s">
        <v>110</v>
      </c>
      <c r="C68" s="120" t="s">
        <v>110</v>
      </c>
    </row>
    <row r="69" spans="1:3">
      <c r="A69" s="118"/>
      <c r="B69" s="119"/>
      <c r="C69" s="120"/>
    </row>
    <row r="70" spans="1:3">
      <c r="A70" s="118" t="s">
        <v>35</v>
      </c>
      <c r="B70" s="119" t="s">
        <v>110</v>
      </c>
      <c r="C70" s="120" t="s">
        <v>110</v>
      </c>
    </row>
    <row r="71" spans="1:3" ht="17.25" thickBot="1">
      <c r="A71" s="121"/>
      <c r="B71" s="122"/>
      <c r="C71" s="123"/>
    </row>
    <row r="72" spans="1:3">
      <c r="B72" s="5"/>
      <c r="C72" s="5"/>
    </row>
    <row r="73" spans="1:3" ht="32.25" thickBot="1">
      <c r="A73" s="7" t="s">
        <v>51</v>
      </c>
      <c r="B73" s="5"/>
      <c r="C73" s="5"/>
    </row>
    <row r="74" spans="1:3">
      <c r="A74" s="20" t="s">
        <v>11</v>
      </c>
      <c r="B74" s="25" t="s">
        <v>98</v>
      </c>
      <c r="C74" s="24" t="s">
        <v>99</v>
      </c>
    </row>
    <row r="75" spans="1:3">
      <c r="A75" s="14" t="s">
        <v>52</v>
      </c>
      <c r="B75" s="19" t="s">
        <v>112</v>
      </c>
      <c r="C75" s="21" t="s">
        <v>111</v>
      </c>
    </row>
    <row r="76" spans="1:3">
      <c r="A76" s="27" t="s">
        <v>53</v>
      </c>
      <c r="B76" s="26" t="s">
        <v>98</v>
      </c>
      <c r="C76" s="28" t="s">
        <v>99</v>
      </c>
    </row>
    <row r="77" spans="1:3">
      <c r="A77" s="14" t="s">
        <v>76</v>
      </c>
      <c r="B77" s="19" t="s">
        <v>54</v>
      </c>
      <c r="C77" s="21" t="s">
        <v>55</v>
      </c>
    </row>
    <row r="78" spans="1:3">
      <c r="A78" s="14" t="s">
        <v>77</v>
      </c>
      <c r="B78" s="19" t="s">
        <v>56</v>
      </c>
      <c r="C78" s="21" t="s">
        <v>117</v>
      </c>
    </row>
    <row r="79" spans="1:3">
      <c r="A79" s="14" t="s">
        <v>78</v>
      </c>
      <c r="B79" s="19" t="s">
        <v>57</v>
      </c>
      <c r="C79" s="21" t="s">
        <v>118</v>
      </c>
    </row>
    <row r="80" spans="1:3">
      <c r="A80" s="14" t="s">
        <v>79</v>
      </c>
      <c r="B80" s="19" t="s">
        <v>58</v>
      </c>
      <c r="C80" s="21" t="s">
        <v>59</v>
      </c>
    </row>
    <row r="81" spans="1:3">
      <c r="A81" s="14" t="s">
        <v>80</v>
      </c>
      <c r="B81" s="19" t="s">
        <v>60</v>
      </c>
      <c r="C81" s="21" t="s">
        <v>63</v>
      </c>
    </row>
    <row r="82" spans="1:3">
      <c r="A82" s="14" t="s">
        <v>81</v>
      </c>
      <c r="B82" s="9" t="s">
        <v>61</v>
      </c>
      <c r="C82" s="21" t="s">
        <v>116</v>
      </c>
    </row>
    <row r="83" spans="1:3">
      <c r="A83" s="14" t="s">
        <v>82</v>
      </c>
      <c r="B83" s="9" t="s">
        <v>62</v>
      </c>
      <c r="C83" s="21" t="s">
        <v>116</v>
      </c>
    </row>
    <row r="84" spans="1:3">
      <c r="A84" s="14" t="s">
        <v>83</v>
      </c>
      <c r="B84" s="19" t="s">
        <v>64</v>
      </c>
      <c r="C84" s="21" t="s">
        <v>113</v>
      </c>
    </row>
    <row r="85" spans="1:3">
      <c r="A85" s="14" t="s">
        <v>84</v>
      </c>
      <c r="B85" s="19" t="s">
        <v>65</v>
      </c>
      <c r="C85" s="21" t="s">
        <v>113</v>
      </c>
    </row>
    <row r="86" spans="1:3">
      <c r="A86" s="14" t="s">
        <v>85</v>
      </c>
      <c r="B86" s="19" t="s">
        <v>66</v>
      </c>
      <c r="C86" s="21" t="s">
        <v>113</v>
      </c>
    </row>
    <row r="87" spans="1:3">
      <c r="A87" s="14" t="s">
        <v>86</v>
      </c>
      <c r="B87" s="19" t="s">
        <v>67</v>
      </c>
      <c r="C87" s="21" t="s">
        <v>113</v>
      </c>
    </row>
    <row r="88" spans="1:3">
      <c r="A88" s="14" t="s">
        <v>87</v>
      </c>
      <c r="B88" s="19" t="s">
        <v>69</v>
      </c>
      <c r="C88" s="21" t="s">
        <v>113</v>
      </c>
    </row>
    <row r="89" spans="1:3">
      <c r="A89" s="14" t="s">
        <v>88</v>
      </c>
      <c r="B89" s="19" t="s">
        <v>71</v>
      </c>
      <c r="C89" s="21" t="s">
        <v>113</v>
      </c>
    </row>
    <row r="90" spans="1:3">
      <c r="A90" s="14" t="s">
        <v>89</v>
      </c>
      <c r="B90" s="19" t="s">
        <v>70</v>
      </c>
      <c r="C90" s="21" t="s">
        <v>113</v>
      </c>
    </row>
    <row r="91" spans="1:3">
      <c r="A91" s="14" t="s">
        <v>90</v>
      </c>
      <c r="B91" s="19" t="s">
        <v>68</v>
      </c>
      <c r="C91" s="21" t="s">
        <v>113</v>
      </c>
    </row>
    <row r="92" spans="1:3">
      <c r="A92" s="14" t="s">
        <v>91</v>
      </c>
      <c r="B92" s="19" t="s">
        <v>72</v>
      </c>
      <c r="C92" s="21" t="s">
        <v>113</v>
      </c>
    </row>
    <row r="93" spans="1:3">
      <c r="A93" s="14" t="s">
        <v>92</v>
      </c>
      <c r="B93" s="19" t="s">
        <v>73</v>
      </c>
      <c r="C93" s="21" t="s">
        <v>113</v>
      </c>
    </row>
    <row r="94" spans="1:3">
      <c r="A94" s="14" t="s">
        <v>93</v>
      </c>
      <c r="B94" s="19" t="s">
        <v>74</v>
      </c>
      <c r="C94" s="21" t="s">
        <v>113</v>
      </c>
    </row>
    <row r="95" spans="1:3">
      <c r="A95" s="14" t="s">
        <v>94</v>
      </c>
      <c r="B95" s="19" t="s">
        <v>75</v>
      </c>
      <c r="C95" s="21" t="s">
        <v>113</v>
      </c>
    </row>
    <row r="96" spans="1:3">
      <c r="A96" s="14" t="s">
        <v>95</v>
      </c>
      <c r="B96" s="19" t="s">
        <v>96</v>
      </c>
      <c r="C96" s="21" t="s">
        <v>113</v>
      </c>
    </row>
    <row r="97" spans="1:3">
      <c r="A97" s="14" t="s">
        <v>100</v>
      </c>
      <c r="B97" s="19" t="s">
        <v>103</v>
      </c>
      <c r="C97" s="21" t="s">
        <v>114</v>
      </c>
    </row>
    <row r="98" spans="1:3">
      <c r="A98" s="14" t="s">
        <v>101</v>
      </c>
      <c r="B98" s="19" t="s">
        <v>104</v>
      </c>
      <c r="C98" s="21" t="s">
        <v>114</v>
      </c>
    </row>
    <row r="99" spans="1:3">
      <c r="A99" s="14" t="s">
        <v>102</v>
      </c>
      <c r="B99" s="19" t="s">
        <v>105</v>
      </c>
      <c r="C99" s="21" t="s">
        <v>114</v>
      </c>
    </row>
    <row r="100" spans="1:3">
      <c r="A100" s="14" t="s">
        <v>106</v>
      </c>
      <c r="B100" s="19" t="s">
        <v>107</v>
      </c>
      <c r="C100" s="21" t="s">
        <v>115</v>
      </c>
    </row>
    <row r="101" spans="1:3" ht="17.25" thickBot="1">
      <c r="A101" s="16" t="s">
        <v>108</v>
      </c>
      <c r="B101" s="22" t="s">
        <v>97</v>
      </c>
      <c r="C101" s="23" t="s">
        <v>109</v>
      </c>
    </row>
    <row r="102" spans="1:3">
      <c r="C102" s="10"/>
    </row>
    <row r="103" spans="1:3">
      <c r="A103" s="4" t="s">
        <v>121</v>
      </c>
    </row>
    <row r="104" spans="1:3">
      <c r="A104" s="4" t="s">
        <v>124</v>
      </c>
      <c r="C104" s="5"/>
    </row>
    <row r="105" spans="1:3">
      <c r="A105" s="4" t="s">
        <v>122</v>
      </c>
      <c r="B105" s="5" t="s">
        <v>53</v>
      </c>
      <c r="C105" s="5"/>
    </row>
    <row r="106" spans="1:3">
      <c r="A106" s="4" t="s">
        <v>123</v>
      </c>
      <c r="B106" s="5" t="s">
        <v>125</v>
      </c>
      <c r="C106" s="5"/>
    </row>
    <row r="107" spans="1:3">
      <c r="A107" s="4" t="s">
        <v>126</v>
      </c>
      <c r="B107" s="5" t="s">
        <v>127</v>
      </c>
      <c r="C107" s="5"/>
    </row>
    <row r="108" spans="1:3">
      <c r="C108" s="5"/>
    </row>
    <row r="109" spans="1:3">
      <c r="C109" s="5"/>
    </row>
    <row r="110" spans="1:3">
      <c r="B110" s="5"/>
      <c r="C110" s="5"/>
    </row>
    <row r="111" spans="1:3">
      <c r="B111" s="5"/>
      <c r="C111" s="5"/>
    </row>
  </sheetData>
  <sheetProtection formatCells="0" formatColumns="0" formatRows="0" insertColumns="0" insertRows="0" insertHyperlinks="0" deleteColumns="0" deleteRows="0" sort="0" autoFilter="0" pivotTables="0"/>
  <mergeCells count="90">
    <mergeCell ref="B12:B13"/>
    <mergeCell ref="C12:C13"/>
    <mergeCell ref="A12:A13"/>
    <mergeCell ref="A14:A15"/>
    <mergeCell ref="B14:B15"/>
    <mergeCell ref="C14:C15"/>
    <mergeCell ref="A16:A17"/>
    <mergeCell ref="B16:B17"/>
    <mergeCell ref="C16:C17"/>
    <mergeCell ref="A18:A19"/>
    <mergeCell ref="B18:B19"/>
    <mergeCell ref="C18:C19"/>
    <mergeCell ref="A20:A21"/>
    <mergeCell ref="B20:B21"/>
    <mergeCell ref="C20:C21"/>
    <mergeCell ref="A22:A23"/>
    <mergeCell ref="B22:B23"/>
    <mergeCell ref="C22:C23"/>
    <mergeCell ref="A24:A25"/>
    <mergeCell ref="B24:B25"/>
    <mergeCell ref="C24:C25"/>
    <mergeCell ref="A26:A27"/>
    <mergeCell ref="B26:B27"/>
    <mergeCell ref="C26:C27"/>
    <mergeCell ref="A28:A29"/>
    <mergeCell ref="B28:B29"/>
    <mergeCell ref="C28:C29"/>
    <mergeCell ref="A30:A31"/>
    <mergeCell ref="B30:B31"/>
    <mergeCell ref="C30:C31"/>
    <mergeCell ref="A32:A33"/>
    <mergeCell ref="B32:B33"/>
    <mergeCell ref="C32:C33"/>
    <mergeCell ref="A34:A35"/>
    <mergeCell ref="B34:B35"/>
    <mergeCell ref="C34:C35"/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  <mergeCell ref="A44:A45"/>
    <mergeCell ref="B44:B45"/>
    <mergeCell ref="C44:C45"/>
    <mergeCell ref="A46:A47"/>
    <mergeCell ref="B46:B47"/>
    <mergeCell ref="C46:C47"/>
    <mergeCell ref="A48:A49"/>
    <mergeCell ref="B48:B49"/>
    <mergeCell ref="C48:C49"/>
    <mergeCell ref="A50:A51"/>
    <mergeCell ref="B50:B51"/>
    <mergeCell ref="C50:C51"/>
    <mergeCell ref="A52:A53"/>
    <mergeCell ref="B52:B53"/>
    <mergeCell ref="C52:C53"/>
    <mergeCell ref="A54:A55"/>
    <mergeCell ref="B54:B55"/>
    <mergeCell ref="C54:C55"/>
    <mergeCell ref="A56:A57"/>
    <mergeCell ref="B56:B57"/>
    <mergeCell ref="C56:C57"/>
    <mergeCell ref="A58:A59"/>
    <mergeCell ref="B58:B59"/>
    <mergeCell ref="C58:C59"/>
    <mergeCell ref="A60:A61"/>
    <mergeCell ref="B60:B61"/>
    <mergeCell ref="C60:C61"/>
    <mergeCell ref="A62:A63"/>
    <mergeCell ref="B62:B63"/>
    <mergeCell ref="C62:C63"/>
    <mergeCell ref="A64:A65"/>
    <mergeCell ref="B64:B65"/>
    <mergeCell ref="C64:C65"/>
    <mergeCell ref="A66:A67"/>
    <mergeCell ref="B66:B67"/>
    <mergeCell ref="C66:C67"/>
    <mergeCell ref="A68:A69"/>
    <mergeCell ref="B68:B69"/>
    <mergeCell ref="C68:C69"/>
    <mergeCell ref="A70:A71"/>
    <mergeCell ref="B70:B71"/>
    <mergeCell ref="C70:C71"/>
  </mergeCells>
  <pageMargins left="0.7" right="0.7" top="0.75" bottom="0.75" header="0.3" footer="0.3"/>
  <pageSetup paperSize="5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ออกใบกำกับภาษี</vt:lpstr>
      <vt:lpstr>รหัสแสกน</vt:lpstr>
      <vt:lpstr>รหัสแสกน!Print_Area</vt:lpstr>
      <vt:lpstr>ออกใบกำกับภาษี!Print_Area</vt:lpstr>
      <vt:lpstr>ออกใบกำกับภาษี!Print_Titles</vt:lpstr>
    </vt:vector>
  </TitlesOfParts>
  <Company>DarkOS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DarkUser</dc:creator>
  <cp:lastModifiedBy>miniboss</cp:lastModifiedBy>
  <cp:lastPrinted>2018-08-02T08:56:56Z</cp:lastPrinted>
  <dcterms:created xsi:type="dcterms:W3CDTF">2014-03-19T08:55:41Z</dcterms:created>
  <dcterms:modified xsi:type="dcterms:W3CDTF">2018-08-30T14:51:24Z</dcterms:modified>
</cp:coreProperties>
</file>