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COM3\Desktop\"/>
    </mc:Choice>
  </mc:AlternateContent>
  <bookViews>
    <workbookView xWindow="0" yWindow="0" windowWidth="19200" windowHeight="11370" xr2:uid="{00000000-000D-0000-FFFF-FFFF00000000}"/>
  </bookViews>
  <sheets>
    <sheet name="SHOW" sheetId="1" r:id="rId1"/>
    <sheet name="QUEUE" sheetId="3" r:id="rId2"/>
  </sheets>
  <definedNames>
    <definedName name="_xlnm._FilterDatabase" localSheetId="1" hidden="1">QUEUE!$F$4:$L$1000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1" l="1"/>
  <c r="I9" i="1"/>
  <c r="I10" i="1"/>
  <c r="I13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M13" i="3"/>
  <c r="M14" i="3"/>
  <c r="N14" i="3"/>
  <c r="M15" i="3"/>
  <c r="N15" i="3"/>
  <c r="M16" i="3"/>
  <c r="N16" i="3"/>
  <c r="M17" i="3"/>
  <c r="M18" i="3"/>
  <c r="M19" i="3"/>
  <c r="N19" i="3"/>
  <c r="M20" i="3"/>
  <c r="M21" i="3"/>
  <c r="M22" i="3"/>
  <c r="M23" i="3"/>
  <c r="N23" i="3"/>
  <c r="M24" i="3"/>
  <c r="N24" i="3"/>
  <c r="M25" i="3"/>
  <c r="N25" i="3"/>
  <c r="M26" i="3"/>
  <c r="N26" i="3"/>
  <c r="M27" i="3"/>
  <c r="N27" i="3"/>
  <c r="M28" i="3"/>
  <c r="N28" i="3"/>
  <c r="M29" i="3"/>
  <c r="N29" i="3"/>
  <c r="M30" i="3"/>
  <c r="N30" i="3"/>
  <c r="M31" i="3"/>
  <c r="N31" i="3"/>
  <c r="M32" i="3"/>
  <c r="N32" i="3"/>
  <c r="M33" i="3"/>
  <c r="N33" i="3"/>
  <c r="M34" i="3"/>
  <c r="N34" i="3"/>
  <c r="M35" i="3"/>
  <c r="N35" i="3"/>
  <c r="M36" i="3"/>
  <c r="N36" i="3"/>
  <c r="M37" i="3"/>
  <c r="N37" i="3"/>
  <c r="M38" i="3"/>
  <c r="N38" i="3"/>
  <c r="M39" i="3"/>
  <c r="N39" i="3"/>
  <c r="M40" i="3"/>
  <c r="N40" i="3"/>
  <c r="M41" i="3"/>
  <c r="N41" i="3"/>
  <c r="M42" i="3"/>
  <c r="N42" i="3"/>
  <c r="M43" i="3"/>
  <c r="N43" i="3"/>
  <c r="M44" i="3"/>
  <c r="N44" i="3"/>
  <c r="M45" i="3"/>
  <c r="N45" i="3"/>
  <c r="M46" i="3"/>
  <c r="N46" i="3"/>
  <c r="M47" i="3"/>
  <c r="N47" i="3"/>
  <c r="M48" i="3"/>
  <c r="N48" i="3"/>
  <c r="M49" i="3"/>
  <c r="N49" i="3"/>
  <c r="M50" i="3"/>
  <c r="N50" i="3"/>
  <c r="M12" i="3"/>
  <c r="M11" i="3"/>
  <c r="G2" i="1" l="1"/>
  <c r="H32" i="1" l="1"/>
  <c r="F3" i="3" l="1"/>
  <c r="H49" i="1" l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7" i="1"/>
  <c r="H10" i="1"/>
  <c r="H12" i="1"/>
  <c r="H15" i="1"/>
  <c r="H16" i="1"/>
  <c r="H17" i="1"/>
  <c r="N2" i="3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6" i="1"/>
  <c r="G5" i="1"/>
  <c r="N20" i="3" l="1"/>
  <c r="I14" i="1" s="1"/>
  <c r="N21" i="3"/>
  <c r="I15" i="1" s="1"/>
  <c r="N22" i="3"/>
  <c r="I16" i="1" s="1"/>
  <c r="N17" i="3"/>
  <c r="I11" i="1" s="1"/>
  <c r="N13" i="3"/>
  <c r="I7" i="1" s="1"/>
  <c r="N18" i="3"/>
  <c r="I12" i="1" s="1"/>
  <c r="N12" i="3"/>
  <c r="I6" i="1" s="1"/>
  <c r="N11" i="3"/>
  <c r="I5" i="1" s="1"/>
  <c r="H14" i="1"/>
  <c r="H13" i="1"/>
  <c r="H11" i="1"/>
  <c r="H9" i="1"/>
  <c r="H5" i="1"/>
  <c r="H8" i="1"/>
  <c r="A6" i="1" l="1"/>
  <c r="C7" i="1" l="1"/>
  <c r="D7" i="1"/>
  <c r="E7" i="1"/>
  <c r="F7" i="1"/>
  <c r="C8" i="1"/>
  <c r="D8" i="1"/>
  <c r="E8" i="1"/>
  <c r="F8" i="1"/>
  <c r="C9" i="1"/>
  <c r="D9" i="1"/>
  <c r="E9" i="1"/>
  <c r="F9" i="1"/>
  <c r="C10" i="1"/>
  <c r="D10" i="1"/>
  <c r="E10" i="1"/>
  <c r="F10" i="1"/>
  <c r="C11" i="1"/>
  <c r="D11" i="1"/>
  <c r="E11" i="1"/>
  <c r="F11" i="1"/>
  <c r="C12" i="1"/>
  <c r="D12" i="1"/>
  <c r="E12" i="1"/>
  <c r="F12" i="1"/>
  <c r="C13" i="1"/>
  <c r="D13" i="1"/>
  <c r="E13" i="1"/>
  <c r="F13" i="1"/>
  <c r="C14" i="1"/>
  <c r="D14" i="1"/>
  <c r="E14" i="1"/>
  <c r="F14" i="1"/>
  <c r="C15" i="1"/>
  <c r="D15" i="1"/>
  <c r="E15" i="1"/>
  <c r="F15" i="1"/>
  <c r="C16" i="1"/>
  <c r="D16" i="1"/>
  <c r="E16" i="1"/>
  <c r="F16" i="1"/>
  <c r="C17" i="1"/>
  <c r="D17" i="1"/>
  <c r="E17" i="1"/>
  <c r="F17" i="1"/>
  <c r="C18" i="1"/>
  <c r="D18" i="1"/>
  <c r="E18" i="1"/>
  <c r="F18" i="1"/>
  <c r="C19" i="1"/>
  <c r="D19" i="1"/>
  <c r="E19" i="1"/>
  <c r="F19" i="1"/>
  <c r="C20" i="1"/>
  <c r="D20" i="1"/>
  <c r="E20" i="1"/>
  <c r="F20" i="1"/>
  <c r="C21" i="1"/>
  <c r="D21" i="1"/>
  <c r="E21" i="1"/>
  <c r="F21" i="1"/>
  <c r="C22" i="1"/>
  <c r="D22" i="1"/>
  <c r="E22" i="1"/>
  <c r="F22" i="1"/>
  <c r="C23" i="1"/>
  <c r="D23" i="1"/>
  <c r="E23" i="1"/>
  <c r="F23" i="1"/>
  <c r="C24" i="1"/>
  <c r="D24" i="1"/>
  <c r="E24" i="1"/>
  <c r="F24" i="1"/>
  <c r="C25" i="1"/>
  <c r="D25" i="1"/>
  <c r="E25" i="1"/>
  <c r="F25" i="1"/>
  <c r="C26" i="1"/>
  <c r="D26" i="1"/>
  <c r="E26" i="1"/>
  <c r="F26" i="1"/>
  <c r="C27" i="1"/>
  <c r="D27" i="1"/>
  <c r="E27" i="1"/>
  <c r="F27" i="1"/>
  <c r="C28" i="1"/>
  <c r="D28" i="1"/>
  <c r="E28" i="1"/>
  <c r="F28" i="1"/>
  <c r="C29" i="1"/>
  <c r="D29" i="1"/>
  <c r="E29" i="1"/>
  <c r="F29" i="1"/>
  <c r="C30" i="1"/>
  <c r="D30" i="1"/>
  <c r="E30" i="1"/>
  <c r="F30" i="1"/>
  <c r="C31" i="1"/>
  <c r="D31" i="1"/>
  <c r="E31" i="1"/>
  <c r="F31" i="1"/>
  <c r="C32" i="1"/>
  <c r="D32" i="1"/>
  <c r="E32" i="1"/>
  <c r="F32" i="1"/>
  <c r="C33" i="1"/>
  <c r="D33" i="1"/>
  <c r="E33" i="1"/>
  <c r="F33" i="1"/>
  <c r="C34" i="1"/>
  <c r="D34" i="1"/>
  <c r="E34" i="1"/>
  <c r="F34" i="1"/>
  <c r="C35" i="1"/>
  <c r="D35" i="1"/>
  <c r="E35" i="1"/>
  <c r="F35" i="1"/>
  <c r="C36" i="1"/>
  <c r="D36" i="1"/>
  <c r="E36" i="1"/>
  <c r="F36" i="1"/>
  <c r="C37" i="1"/>
  <c r="D37" i="1"/>
  <c r="E37" i="1"/>
  <c r="F37" i="1"/>
  <c r="C38" i="1"/>
  <c r="D38" i="1"/>
  <c r="E38" i="1"/>
  <c r="F38" i="1"/>
  <c r="C39" i="1"/>
  <c r="D39" i="1"/>
  <c r="E39" i="1"/>
  <c r="F39" i="1"/>
  <c r="C40" i="1"/>
  <c r="D40" i="1"/>
  <c r="E40" i="1"/>
  <c r="F40" i="1"/>
  <c r="C41" i="1"/>
  <c r="D41" i="1"/>
  <c r="E41" i="1"/>
  <c r="F41" i="1"/>
  <c r="C42" i="1"/>
  <c r="D42" i="1"/>
  <c r="E42" i="1"/>
  <c r="F42" i="1"/>
  <c r="C43" i="1"/>
  <c r="D43" i="1"/>
  <c r="E43" i="1"/>
  <c r="F43" i="1"/>
  <c r="C44" i="1"/>
  <c r="D44" i="1"/>
  <c r="E44" i="1"/>
  <c r="F44" i="1"/>
  <c r="C45" i="1"/>
  <c r="D45" i="1"/>
  <c r="E45" i="1"/>
  <c r="F45" i="1"/>
  <c r="C46" i="1"/>
  <c r="D46" i="1"/>
  <c r="E46" i="1"/>
  <c r="F46" i="1"/>
  <c r="C47" i="1"/>
  <c r="D47" i="1"/>
  <c r="E47" i="1"/>
  <c r="F47" i="1"/>
  <c r="C48" i="1"/>
  <c r="D48" i="1"/>
  <c r="E48" i="1"/>
  <c r="F48" i="1"/>
  <c r="C49" i="1"/>
  <c r="D49" i="1"/>
  <c r="E49" i="1"/>
  <c r="F49" i="1"/>
  <c r="C50" i="1"/>
  <c r="D50" i="1"/>
  <c r="E50" i="1"/>
  <c r="F50" i="1"/>
  <c r="C51" i="1"/>
  <c r="D51" i="1"/>
  <c r="E51" i="1"/>
  <c r="F51" i="1"/>
  <c r="C52" i="1"/>
  <c r="D52" i="1"/>
  <c r="E52" i="1"/>
  <c r="F52" i="1"/>
  <c r="C53" i="1"/>
  <c r="D53" i="1"/>
  <c r="E53" i="1"/>
  <c r="F53" i="1"/>
  <c r="C54" i="1"/>
  <c r="D54" i="1"/>
  <c r="E54" i="1"/>
  <c r="F54" i="1"/>
  <c r="C55" i="1"/>
  <c r="D55" i="1"/>
  <c r="E55" i="1"/>
  <c r="F55" i="1"/>
  <c r="C56" i="1"/>
  <c r="D56" i="1"/>
  <c r="E56" i="1"/>
  <c r="F56" i="1"/>
  <c r="C57" i="1"/>
  <c r="D57" i="1"/>
  <c r="E57" i="1"/>
  <c r="F57" i="1"/>
  <c r="C58" i="1"/>
  <c r="D58" i="1"/>
  <c r="E58" i="1"/>
  <c r="F58" i="1"/>
  <c r="C59" i="1"/>
  <c r="D59" i="1"/>
  <c r="E59" i="1"/>
  <c r="F59" i="1"/>
  <c r="C60" i="1"/>
  <c r="D60" i="1"/>
  <c r="E60" i="1"/>
  <c r="F60" i="1"/>
  <c r="C61" i="1"/>
  <c r="D61" i="1"/>
  <c r="E61" i="1"/>
  <c r="F61" i="1"/>
  <c r="C62" i="1"/>
  <c r="D62" i="1"/>
  <c r="E62" i="1"/>
  <c r="F62" i="1"/>
  <c r="C63" i="1"/>
  <c r="D63" i="1"/>
  <c r="E63" i="1"/>
  <c r="F63" i="1"/>
  <c r="C64" i="1"/>
  <c r="D64" i="1"/>
  <c r="E64" i="1"/>
  <c r="F64" i="1"/>
  <c r="C65" i="1"/>
  <c r="D65" i="1"/>
  <c r="E65" i="1"/>
  <c r="F65" i="1"/>
  <c r="C66" i="1"/>
  <c r="D66" i="1"/>
  <c r="E66" i="1"/>
  <c r="F66" i="1"/>
  <c r="C67" i="1"/>
  <c r="D67" i="1"/>
  <c r="E67" i="1"/>
  <c r="F67" i="1"/>
  <c r="C68" i="1"/>
  <c r="D68" i="1"/>
  <c r="E68" i="1"/>
  <c r="F68" i="1"/>
  <c r="C69" i="1"/>
  <c r="D69" i="1"/>
  <c r="E69" i="1"/>
  <c r="F69" i="1"/>
  <c r="C70" i="1"/>
  <c r="D70" i="1"/>
  <c r="E70" i="1"/>
  <c r="F70" i="1"/>
  <c r="C71" i="1"/>
  <c r="D71" i="1"/>
  <c r="E71" i="1"/>
  <c r="F71" i="1"/>
  <c r="C72" i="1"/>
  <c r="D72" i="1"/>
  <c r="E72" i="1"/>
  <c r="F72" i="1"/>
  <c r="C73" i="1"/>
  <c r="D73" i="1"/>
  <c r="E73" i="1"/>
  <c r="F73" i="1"/>
  <c r="C74" i="1"/>
  <c r="D74" i="1"/>
  <c r="E74" i="1"/>
  <c r="F74" i="1"/>
  <c r="C75" i="1"/>
  <c r="D75" i="1"/>
  <c r="E75" i="1"/>
  <c r="F75" i="1"/>
  <c r="C76" i="1"/>
  <c r="D76" i="1"/>
  <c r="E76" i="1"/>
  <c r="F76" i="1"/>
  <c r="C77" i="1"/>
  <c r="D77" i="1"/>
  <c r="E77" i="1"/>
  <c r="F77" i="1"/>
  <c r="C78" i="1"/>
  <c r="D78" i="1"/>
  <c r="E78" i="1"/>
  <c r="F78" i="1"/>
  <c r="C79" i="1"/>
  <c r="D79" i="1"/>
  <c r="E79" i="1"/>
  <c r="F79" i="1"/>
  <c r="C80" i="1"/>
  <c r="D80" i="1"/>
  <c r="E80" i="1"/>
  <c r="F80" i="1"/>
  <c r="C81" i="1"/>
  <c r="D81" i="1"/>
  <c r="E81" i="1"/>
  <c r="F81" i="1"/>
  <c r="C82" i="1"/>
  <c r="D82" i="1"/>
  <c r="E82" i="1"/>
  <c r="F82" i="1"/>
  <c r="C83" i="1"/>
  <c r="D83" i="1"/>
  <c r="E83" i="1"/>
  <c r="F83" i="1"/>
  <c r="C84" i="1"/>
  <c r="D84" i="1"/>
  <c r="E84" i="1"/>
  <c r="F84" i="1"/>
  <c r="C85" i="1"/>
  <c r="D85" i="1"/>
  <c r="E85" i="1"/>
  <c r="F85" i="1"/>
  <c r="C86" i="1"/>
  <c r="D86" i="1"/>
  <c r="E86" i="1"/>
  <c r="F86" i="1"/>
  <c r="C87" i="1"/>
  <c r="D87" i="1"/>
  <c r="E87" i="1"/>
  <c r="F87" i="1"/>
  <c r="C88" i="1"/>
  <c r="D88" i="1"/>
  <c r="E88" i="1"/>
  <c r="F88" i="1"/>
  <c r="C89" i="1"/>
  <c r="D89" i="1"/>
  <c r="E89" i="1"/>
  <c r="F89" i="1"/>
  <c r="C90" i="1"/>
  <c r="D90" i="1"/>
  <c r="E90" i="1"/>
  <c r="F90" i="1"/>
  <c r="C91" i="1"/>
  <c r="D91" i="1"/>
  <c r="E91" i="1"/>
  <c r="F91" i="1"/>
  <c r="C92" i="1"/>
  <c r="D92" i="1"/>
  <c r="E92" i="1"/>
  <c r="F92" i="1"/>
  <c r="C93" i="1"/>
  <c r="D93" i="1"/>
  <c r="E93" i="1"/>
  <c r="F93" i="1"/>
  <c r="C94" i="1"/>
  <c r="D94" i="1"/>
  <c r="E94" i="1"/>
  <c r="F94" i="1"/>
  <c r="C95" i="1"/>
  <c r="D95" i="1"/>
  <c r="E95" i="1"/>
  <c r="F95" i="1"/>
  <c r="C96" i="1"/>
  <c r="D96" i="1"/>
  <c r="E96" i="1"/>
  <c r="F96" i="1"/>
  <c r="C97" i="1"/>
  <c r="D97" i="1"/>
  <c r="E97" i="1"/>
  <c r="F97" i="1"/>
  <c r="C98" i="1"/>
  <c r="D98" i="1"/>
  <c r="E98" i="1"/>
  <c r="F98" i="1"/>
  <c r="C99" i="1"/>
  <c r="D99" i="1"/>
  <c r="E99" i="1"/>
  <c r="F99" i="1"/>
  <c r="C100" i="1"/>
  <c r="D100" i="1"/>
  <c r="E100" i="1"/>
  <c r="F100" i="1"/>
  <c r="C101" i="1"/>
  <c r="D101" i="1"/>
  <c r="E101" i="1"/>
  <c r="F101" i="1"/>
  <c r="C102" i="1"/>
  <c r="D102" i="1"/>
  <c r="E102" i="1"/>
  <c r="F102" i="1"/>
  <c r="C103" i="1"/>
  <c r="D103" i="1"/>
  <c r="E103" i="1"/>
  <c r="F103" i="1"/>
  <c r="C104" i="1"/>
  <c r="D104" i="1"/>
  <c r="E104" i="1"/>
  <c r="F104" i="1"/>
  <c r="C105" i="1"/>
  <c r="D105" i="1"/>
  <c r="E105" i="1"/>
  <c r="F105" i="1"/>
  <c r="C106" i="1"/>
  <c r="D106" i="1"/>
  <c r="E106" i="1"/>
  <c r="F106" i="1"/>
  <c r="C107" i="1"/>
  <c r="D107" i="1"/>
  <c r="E107" i="1"/>
  <c r="F107" i="1"/>
  <c r="C108" i="1"/>
  <c r="D108" i="1"/>
  <c r="E108" i="1"/>
  <c r="F108" i="1"/>
  <c r="C109" i="1"/>
  <c r="D109" i="1"/>
  <c r="E109" i="1"/>
  <c r="F109" i="1"/>
  <c r="C110" i="1"/>
  <c r="D110" i="1"/>
  <c r="E110" i="1"/>
  <c r="F110" i="1"/>
  <c r="C111" i="1"/>
  <c r="D111" i="1"/>
  <c r="E111" i="1"/>
  <c r="F111" i="1"/>
  <c r="C112" i="1"/>
  <c r="D112" i="1"/>
  <c r="E112" i="1"/>
  <c r="F112" i="1"/>
  <c r="C113" i="1"/>
  <c r="D113" i="1"/>
  <c r="E113" i="1"/>
  <c r="F113" i="1"/>
  <c r="C114" i="1"/>
  <c r="D114" i="1"/>
  <c r="E114" i="1"/>
  <c r="F114" i="1"/>
  <c r="C115" i="1"/>
  <c r="D115" i="1"/>
  <c r="E115" i="1"/>
  <c r="F115" i="1"/>
  <c r="C116" i="1"/>
  <c r="D116" i="1"/>
  <c r="E116" i="1"/>
  <c r="F116" i="1"/>
  <c r="C117" i="1"/>
  <c r="D117" i="1"/>
  <c r="E117" i="1"/>
  <c r="F117" i="1"/>
  <c r="C118" i="1"/>
  <c r="D118" i="1"/>
  <c r="E118" i="1"/>
  <c r="F118" i="1"/>
  <c r="C119" i="1"/>
  <c r="D119" i="1"/>
  <c r="E119" i="1"/>
  <c r="F119" i="1"/>
  <c r="C120" i="1"/>
  <c r="D120" i="1"/>
  <c r="E120" i="1"/>
  <c r="F120" i="1"/>
  <c r="C121" i="1"/>
  <c r="D121" i="1"/>
  <c r="E121" i="1"/>
  <c r="F121" i="1"/>
  <c r="C122" i="1"/>
  <c r="D122" i="1"/>
  <c r="E122" i="1"/>
  <c r="F122" i="1"/>
  <c r="C123" i="1"/>
  <c r="D123" i="1"/>
  <c r="E123" i="1"/>
  <c r="F123" i="1"/>
  <c r="C124" i="1"/>
  <c r="D124" i="1"/>
  <c r="E124" i="1"/>
  <c r="F124" i="1"/>
  <c r="C125" i="1"/>
  <c r="D125" i="1"/>
  <c r="E125" i="1"/>
  <c r="F125" i="1"/>
  <c r="C126" i="1"/>
  <c r="D126" i="1"/>
  <c r="E126" i="1"/>
  <c r="F126" i="1"/>
  <c r="C127" i="1"/>
  <c r="D127" i="1"/>
  <c r="E127" i="1"/>
  <c r="F127" i="1"/>
  <c r="C128" i="1"/>
  <c r="D128" i="1"/>
  <c r="E128" i="1"/>
  <c r="F128" i="1"/>
  <c r="C129" i="1"/>
  <c r="D129" i="1"/>
  <c r="E129" i="1"/>
  <c r="F129" i="1"/>
  <c r="C130" i="1"/>
  <c r="D130" i="1"/>
  <c r="E130" i="1"/>
  <c r="F130" i="1"/>
  <c r="C131" i="1"/>
  <c r="D131" i="1"/>
  <c r="E131" i="1"/>
  <c r="F131" i="1"/>
  <c r="C132" i="1"/>
  <c r="D132" i="1"/>
  <c r="E132" i="1"/>
  <c r="F132" i="1"/>
  <c r="C133" i="1"/>
  <c r="D133" i="1"/>
  <c r="E133" i="1"/>
  <c r="F133" i="1"/>
  <c r="C134" i="1"/>
  <c r="D134" i="1"/>
  <c r="E134" i="1"/>
  <c r="F134" i="1"/>
  <c r="C135" i="1"/>
  <c r="D135" i="1"/>
  <c r="E135" i="1"/>
  <c r="F135" i="1"/>
  <c r="C136" i="1"/>
  <c r="D136" i="1"/>
  <c r="E136" i="1"/>
  <c r="F136" i="1"/>
  <c r="C137" i="1"/>
  <c r="D137" i="1"/>
  <c r="E137" i="1"/>
  <c r="F137" i="1"/>
  <c r="C138" i="1"/>
  <c r="D138" i="1"/>
  <c r="E138" i="1"/>
  <c r="F138" i="1"/>
  <c r="C139" i="1"/>
  <c r="D139" i="1"/>
  <c r="E139" i="1"/>
  <c r="F139" i="1"/>
  <c r="C140" i="1"/>
  <c r="D140" i="1"/>
  <c r="E140" i="1"/>
  <c r="F140" i="1"/>
  <c r="C141" i="1"/>
  <c r="D141" i="1"/>
  <c r="E141" i="1"/>
  <c r="F141" i="1"/>
  <c r="C142" i="1"/>
  <c r="D142" i="1"/>
  <c r="E142" i="1"/>
  <c r="F142" i="1"/>
  <c r="C143" i="1"/>
  <c r="D143" i="1"/>
  <c r="E143" i="1"/>
  <c r="F143" i="1"/>
  <c r="C144" i="1"/>
  <c r="D144" i="1"/>
  <c r="E144" i="1"/>
  <c r="F144" i="1"/>
  <c r="C145" i="1"/>
  <c r="D145" i="1"/>
  <c r="E145" i="1"/>
  <c r="F145" i="1"/>
  <c r="C146" i="1"/>
  <c r="D146" i="1"/>
  <c r="E146" i="1"/>
  <c r="F146" i="1"/>
  <c r="C147" i="1"/>
  <c r="D147" i="1"/>
  <c r="E147" i="1"/>
  <c r="F147" i="1"/>
  <c r="C148" i="1"/>
  <c r="D148" i="1"/>
  <c r="E148" i="1"/>
  <c r="F148" i="1"/>
  <c r="C149" i="1"/>
  <c r="D149" i="1"/>
  <c r="E149" i="1"/>
  <c r="F149" i="1"/>
  <c r="C150" i="1"/>
  <c r="D150" i="1"/>
  <c r="E150" i="1"/>
  <c r="F150" i="1"/>
  <c r="C151" i="1"/>
  <c r="D151" i="1"/>
  <c r="E151" i="1"/>
  <c r="F151" i="1"/>
  <c r="C152" i="1"/>
  <c r="D152" i="1"/>
  <c r="E152" i="1"/>
  <c r="F152" i="1"/>
  <c r="C153" i="1"/>
  <c r="D153" i="1"/>
  <c r="E153" i="1"/>
  <c r="F153" i="1"/>
  <c r="C154" i="1"/>
  <c r="D154" i="1"/>
  <c r="E154" i="1"/>
  <c r="F154" i="1"/>
  <c r="C155" i="1"/>
  <c r="D155" i="1"/>
  <c r="E155" i="1"/>
  <c r="F155" i="1"/>
  <c r="C156" i="1"/>
  <c r="D156" i="1"/>
  <c r="E156" i="1"/>
  <c r="F156" i="1"/>
  <c r="C157" i="1"/>
  <c r="D157" i="1"/>
  <c r="E157" i="1"/>
  <c r="F157" i="1"/>
  <c r="C158" i="1"/>
  <c r="D158" i="1"/>
  <c r="E158" i="1"/>
  <c r="F158" i="1"/>
  <c r="C159" i="1"/>
  <c r="D159" i="1"/>
  <c r="E159" i="1"/>
  <c r="F159" i="1"/>
  <c r="C160" i="1"/>
  <c r="D160" i="1"/>
  <c r="E160" i="1"/>
  <c r="F160" i="1"/>
  <c r="C161" i="1"/>
  <c r="D161" i="1"/>
  <c r="E161" i="1"/>
  <c r="F161" i="1"/>
  <c r="C162" i="1"/>
  <c r="D162" i="1"/>
  <c r="E162" i="1"/>
  <c r="F162" i="1"/>
  <c r="C163" i="1"/>
  <c r="D163" i="1"/>
  <c r="E163" i="1"/>
  <c r="F163" i="1"/>
  <c r="C164" i="1"/>
  <c r="D164" i="1"/>
  <c r="E164" i="1"/>
  <c r="F164" i="1"/>
  <c r="C165" i="1"/>
  <c r="D165" i="1"/>
  <c r="E165" i="1"/>
  <c r="F165" i="1"/>
  <c r="C166" i="1"/>
  <c r="D166" i="1"/>
  <c r="E166" i="1"/>
  <c r="F166" i="1"/>
  <c r="C167" i="1"/>
  <c r="D167" i="1"/>
  <c r="E167" i="1"/>
  <c r="F167" i="1"/>
  <c r="C168" i="1"/>
  <c r="D168" i="1"/>
  <c r="E168" i="1"/>
  <c r="F168" i="1"/>
  <c r="C169" i="1"/>
  <c r="D169" i="1"/>
  <c r="E169" i="1"/>
  <c r="F169" i="1"/>
  <c r="C170" i="1"/>
  <c r="D170" i="1"/>
  <c r="E170" i="1"/>
  <c r="F170" i="1"/>
  <c r="C171" i="1"/>
  <c r="D171" i="1"/>
  <c r="E171" i="1"/>
  <c r="F171" i="1"/>
  <c r="C172" i="1"/>
  <c r="D172" i="1"/>
  <c r="E172" i="1"/>
  <c r="F172" i="1"/>
  <c r="C173" i="1"/>
  <c r="D173" i="1"/>
  <c r="E173" i="1"/>
  <c r="F173" i="1"/>
  <c r="C174" i="1"/>
  <c r="D174" i="1"/>
  <c r="E174" i="1"/>
  <c r="F174" i="1"/>
  <c r="C175" i="1"/>
  <c r="D175" i="1"/>
  <c r="E175" i="1"/>
  <c r="F175" i="1"/>
  <c r="C176" i="1"/>
  <c r="D176" i="1"/>
  <c r="E176" i="1"/>
  <c r="F176" i="1"/>
  <c r="C177" i="1"/>
  <c r="D177" i="1"/>
  <c r="E177" i="1"/>
  <c r="F177" i="1"/>
  <c r="C178" i="1"/>
  <c r="D178" i="1"/>
  <c r="E178" i="1"/>
  <c r="F178" i="1"/>
  <c r="C179" i="1"/>
  <c r="D179" i="1"/>
  <c r="E179" i="1"/>
  <c r="F179" i="1"/>
  <c r="C180" i="1"/>
  <c r="D180" i="1"/>
  <c r="E180" i="1"/>
  <c r="F180" i="1"/>
  <c r="C181" i="1"/>
  <c r="D181" i="1"/>
  <c r="E181" i="1"/>
  <c r="F181" i="1"/>
  <c r="C182" i="1"/>
  <c r="D182" i="1"/>
  <c r="E182" i="1"/>
  <c r="F182" i="1"/>
  <c r="C183" i="1"/>
  <c r="D183" i="1"/>
  <c r="E183" i="1"/>
  <c r="F183" i="1"/>
  <c r="C184" i="1"/>
  <c r="D184" i="1"/>
  <c r="E184" i="1"/>
  <c r="F184" i="1"/>
  <c r="C185" i="1"/>
  <c r="D185" i="1"/>
  <c r="E185" i="1"/>
  <c r="F185" i="1"/>
  <c r="C186" i="1"/>
  <c r="D186" i="1"/>
  <c r="E186" i="1"/>
  <c r="F186" i="1"/>
  <c r="C187" i="1"/>
  <c r="D187" i="1"/>
  <c r="E187" i="1"/>
  <c r="F187" i="1"/>
  <c r="C188" i="1"/>
  <c r="D188" i="1"/>
  <c r="E188" i="1"/>
  <c r="F188" i="1"/>
  <c r="C189" i="1"/>
  <c r="D189" i="1"/>
  <c r="E189" i="1"/>
  <c r="F189" i="1"/>
  <c r="C190" i="1"/>
  <c r="D190" i="1"/>
  <c r="E190" i="1"/>
  <c r="F190" i="1"/>
  <c r="C191" i="1"/>
  <c r="D191" i="1"/>
  <c r="E191" i="1"/>
  <c r="F191" i="1"/>
  <c r="C192" i="1"/>
  <c r="D192" i="1"/>
  <c r="E192" i="1"/>
  <c r="F192" i="1"/>
  <c r="C193" i="1"/>
  <c r="D193" i="1"/>
  <c r="E193" i="1"/>
  <c r="F193" i="1"/>
  <c r="C194" i="1"/>
  <c r="D194" i="1"/>
  <c r="E194" i="1"/>
  <c r="F194" i="1"/>
  <c r="C195" i="1"/>
  <c r="D195" i="1"/>
  <c r="E195" i="1"/>
  <c r="F195" i="1"/>
  <c r="C196" i="1"/>
  <c r="D196" i="1"/>
  <c r="E196" i="1"/>
  <c r="F196" i="1"/>
  <c r="C197" i="1"/>
  <c r="D197" i="1"/>
  <c r="E197" i="1"/>
  <c r="F197" i="1"/>
  <c r="C198" i="1"/>
  <c r="D198" i="1"/>
  <c r="E198" i="1"/>
  <c r="F198" i="1"/>
  <c r="C199" i="1"/>
  <c r="D199" i="1"/>
  <c r="E199" i="1"/>
  <c r="F199" i="1"/>
  <c r="C200" i="1"/>
  <c r="D200" i="1"/>
  <c r="E200" i="1"/>
  <c r="F200" i="1"/>
  <c r="C201" i="1"/>
  <c r="D201" i="1"/>
  <c r="E201" i="1"/>
  <c r="F201" i="1"/>
  <c r="C202" i="1"/>
  <c r="D202" i="1"/>
  <c r="E202" i="1"/>
  <c r="F202" i="1"/>
  <c r="C203" i="1"/>
  <c r="D203" i="1"/>
  <c r="E203" i="1"/>
  <c r="F203" i="1"/>
  <c r="C204" i="1"/>
  <c r="D204" i="1"/>
  <c r="E204" i="1"/>
  <c r="F204" i="1"/>
  <c r="C205" i="1"/>
  <c r="D205" i="1"/>
  <c r="E205" i="1"/>
  <c r="F205" i="1"/>
  <c r="C206" i="1"/>
  <c r="D206" i="1"/>
  <c r="E206" i="1"/>
  <c r="F206" i="1"/>
  <c r="C207" i="1"/>
  <c r="D207" i="1"/>
  <c r="E207" i="1"/>
  <c r="F207" i="1"/>
  <c r="C208" i="1"/>
  <c r="D208" i="1"/>
  <c r="E208" i="1"/>
  <c r="F208" i="1"/>
  <c r="C209" i="1"/>
  <c r="D209" i="1"/>
  <c r="E209" i="1"/>
  <c r="F209" i="1"/>
  <c r="C210" i="1"/>
  <c r="D210" i="1"/>
  <c r="E210" i="1"/>
  <c r="F210" i="1"/>
  <c r="C211" i="1"/>
  <c r="D211" i="1"/>
  <c r="E211" i="1"/>
  <c r="F211" i="1"/>
  <c r="C212" i="1"/>
  <c r="D212" i="1"/>
  <c r="E212" i="1"/>
  <c r="F212" i="1"/>
  <c r="C213" i="1"/>
  <c r="D213" i="1"/>
  <c r="E213" i="1"/>
  <c r="F213" i="1"/>
  <c r="C214" i="1"/>
  <c r="D214" i="1"/>
  <c r="E214" i="1"/>
  <c r="F214" i="1"/>
  <c r="C215" i="1"/>
  <c r="D215" i="1"/>
  <c r="E215" i="1"/>
  <c r="F215" i="1"/>
  <c r="C216" i="1"/>
  <c r="D216" i="1"/>
  <c r="E216" i="1"/>
  <c r="F216" i="1"/>
  <c r="C217" i="1"/>
  <c r="D217" i="1"/>
  <c r="E217" i="1"/>
  <c r="F217" i="1"/>
  <c r="C218" i="1"/>
  <c r="D218" i="1"/>
  <c r="E218" i="1"/>
  <c r="F218" i="1"/>
  <c r="C219" i="1"/>
  <c r="D219" i="1"/>
  <c r="E219" i="1"/>
  <c r="F219" i="1"/>
  <c r="C220" i="1"/>
  <c r="D220" i="1"/>
  <c r="E220" i="1"/>
  <c r="F220" i="1"/>
  <c r="C221" i="1"/>
  <c r="D221" i="1"/>
  <c r="E221" i="1"/>
  <c r="F221" i="1"/>
  <c r="C222" i="1"/>
  <c r="D222" i="1"/>
  <c r="E222" i="1"/>
  <c r="F222" i="1"/>
  <c r="C223" i="1"/>
  <c r="D223" i="1"/>
  <c r="E223" i="1"/>
  <c r="F223" i="1"/>
  <c r="C224" i="1"/>
  <c r="D224" i="1"/>
  <c r="E224" i="1"/>
  <c r="F224" i="1"/>
  <c r="C225" i="1"/>
  <c r="D225" i="1"/>
  <c r="E225" i="1"/>
  <c r="F225" i="1"/>
  <c r="C226" i="1"/>
  <c r="D226" i="1"/>
  <c r="E226" i="1"/>
  <c r="F226" i="1"/>
  <c r="C227" i="1"/>
  <c r="D227" i="1"/>
  <c r="E227" i="1"/>
  <c r="F227" i="1"/>
  <c r="C228" i="1"/>
  <c r="D228" i="1"/>
  <c r="E228" i="1"/>
  <c r="F228" i="1"/>
  <c r="C229" i="1"/>
  <c r="D229" i="1"/>
  <c r="E229" i="1"/>
  <c r="F229" i="1"/>
  <c r="C230" i="1"/>
  <c r="D230" i="1"/>
  <c r="E230" i="1"/>
  <c r="F230" i="1"/>
  <c r="C231" i="1"/>
  <c r="D231" i="1"/>
  <c r="E231" i="1"/>
  <c r="F231" i="1"/>
  <c r="C232" i="1"/>
  <c r="D232" i="1"/>
  <c r="E232" i="1"/>
  <c r="F232" i="1"/>
  <c r="C233" i="1"/>
  <c r="D233" i="1"/>
  <c r="E233" i="1"/>
  <c r="F233" i="1"/>
  <c r="C234" i="1"/>
  <c r="D234" i="1"/>
  <c r="E234" i="1"/>
  <c r="F234" i="1"/>
  <c r="C235" i="1"/>
  <c r="D235" i="1"/>
  <c r="E235" i="1"/>
  <c r="F235" i="1"/>
  <c r="C236" i="1"/>
  <c r="D236" i="1"/>
  <c r="E236" i="1"/>
  <c r="F236" i="1"/>
  <c r="C237" i="1"/>
  <c r="D237" i="1"/>
  <c r="E237" i="1"/>
  <c r="F237" i="1"/>
  <c r="C238" i="1"/>
  <c r="D238" i="1"/>
  <c r="E238" i="1"/>
  <c r="F238" i="1"/>
  <c r="C239" i="1"/>
  <c r="D239" i="1"/>
  <c r="E239" i="1"/>
  <c r="F239" i="1"/>
  <c r="C240" i="1"/>
  <c r="D240" i="1"/>
  <c r="E240" i="1"/>
  <c r="F240" i="1"/>
  <c r="C241" i="1"/>
  <c r="D241" i="1"/>
  <c r="E241" i="1"/>
  <c r="F241" i="1"/>
  <c r="C242" i="1"/>
  <c r="D242" i="1"/>
  <c r="E242" i="1"/>
  <c r="F242" i="1"/>
  <c r="C243" i="1"/>
  <c r="D243" i="1"/>
  <c r="E243" i="1"/>
  <c r="F243" i="1"/>
  <c r="C244" i="1"/>
  <c r="D244" i="1"/>
  <c r="E244" i="1"/>
  <c r="F244" i="1"/>
  <c r="C245" i="1"/>
  <c r="D245" i="1"/>
  <c r="E245" i="1"/>
  <c r="F245" i="1"/>
  <c r="C246" i="1"/>
  <c r="D246" i="1"/>
  <c r="E246" i="1"/>
  <c r="F246" i="1"/>
  <c r="C247" i="1"/>
  <c r="D247" i="1"/>
  <c r="E247" i="1"/>
  <c r="F247" i="1"/>
  <c r="C248" i="1"/>
  <c r="D248" i="1"/>
  <c r="E248" i="1"/>
  <c r="F248" i="1"/>
  <c r="C249" i="1"/>
  <c r="D249" i="1"/>
  <c r="E249" i="1"/>
  <c r="F249" i="1"/>
  <c r="C250" i="1"/>
  <c r="D250" i="1"/>
  <c r="E250" i="1"/>
  <c r="F250" i="1"/>
  <c r="C251" i="1"/>
  <c r="D251" i="1"/>
  <c r="E251" i="1"/>
  <c r="F251" i="1"/>
  <c r="C252" i="1"/>
  <c r="D252" i="1"/>
  <c r="E252" i="1"/>
  <c r="F252" i="1"/>
  <c r="C253" i="1"/>
  <c r="D253" i="1"/>
  <c r="E253" i="1"/>
  <c r="F253" i="1"/>
  <c r="C254" i="1"/>
  <c r="D254" i="1"/>
  <c r="E254" i="1"/>
  <c r="F254" i="1"/>
  <c r="C255" i="1"/>
  <c r="D255" i="1"/>
  <c r="E255" i="1"/>
  <c r="F255" i="1"/>
  <c r="C256" i="1"/>
  <c r="D256" i="1"/>
  <c r="E256" i="1"/>
  <c r="F256" i="1"/>
  <c r="C257" i="1"/>
  <c r="D257" i="1"/>
  <c r="E257" i="1"/>
  <c r="F257" i="1"/>
  <c r="C258" i="1"/>
  <c r="D258" i="1"/>
  <c r="E258" i="1"/>
  <c r="F258" i="1"/>
  <c r="C259" i="1"/>
  <c r="D259" i="1"/>
  <c r="E259" i="1"/>
  <c r="F259" i="1"/>
  <c r="C260" i="1"/>
  <c r="D260" i="1"/>
  <c r="E260" i="1"/>
  <c r="F260" i="1"/>
  <c r="C261" i="1"/>
  <c r="D261" i="1"/>
  <c r="E261" i="1"/>
  <c r="F261" i="1"/>
  <c r="C262" i="1"/>
  <c r="D262" i="1"/>
  <c r="E262" i="1"/>
  <c r="F262" i="1"/>
  <c r="C263" i="1"/>
  <c r="D263" i="1"/>
  <c r="E263" i="1"/>
  <c r="F263" i="1"/>
  <c r="C264" i="1"/>
  <c r="D264" i="1"/>
  <c r="E264" i="1"/>
  <c r="F264" i="1"/>
  <c r="C265" i="1"/>
  <c r="D265" i="1"/>
  <c r="E265" i="1"/>
  <c r="F265" i="1"/>
  <c r="C266" i="1"/>
  <c r="D266" i="1"/>
  <c r="E266" i="1"/>
  <c r="F266" i="1"/>
  <c r="C267" i="1"/>
  <c r="D267" i="1"/>
  <c r="E267" i="1"/>
  <c r="F267" i="1"/>
  <c r="C268" i="1"/>
  <c r="D268" i="1"/>
  <c r="E268" i="1"/>
  <c r="F268" i="1"/>
  <c r="C269" i="1"/>
  <c r="D269" i="1"/>
  <c r="E269" i="1"/>
  <c r="F269" i="1"/>
  <c r="C270" i="1"/>
  <c r="D270" i="1"/>
  <c r="E270" i="1"/>
  <c r="F270" i="1"/>
  <c r="C271" i="1"/>
  <c r="D271" i="1"/>
  <c r="E271" i="1"/>
  <c r="F271" i="1"/>
  <c r="C272" i="1"/>
  <c r="D272" i="1"/>
  <c r="E272" i="1"/>
  <c r="F272" i="1"/>
  <c r="C273" i="1"/>
  <c r="D273" i="1"/>
  <c r="E273" i="1"/>
  <c r="F273" i="1"/>
  <c r="C274" i="1"/>
  <c r="D274" i="1"/>
  <c r="E274" i="1"/>
  <c r="F274" i="1"/>
  <c r="C275" i="1"/>
  <c r="D275" i="1"/>
  <c r="E275" i="1"/>
  <c r="F275" i="1"/>
  <c r="C276" i="1"/>
  <c r="D276" i="1"/>
  <c r="E276" i="1"/>
  <c r="F276" i="1"/>
  <c r="C277" i="1"/>
  <c r="D277" i="1"/>
  <c r="E277" i="1"/>
  <c r="F277" i="1"/>
  <c r="C278" i="1"/>
  <c r="D278" i="1"/>
  <c r="E278" i="1"/>
  <c r="F278" i="1"/>
  <c r="C279" i="1"/>
  <c r="D279" i="1"/>
  <c r="E279" i="1"/>
  <c r="F279" i="1"/>
  <c r="C280" i="1"/>
  <c r="D280" i="1"/>
  <c r="E280" i="1"/>
  <c r="F280" i="1"/>
  <c r="C281" i="1"/>
  <c r="D281" i="1"/>
  <c r="E281" i="1"/>
  <c r="F281" i="1"/>
  <c r="C282" i="1"/>
  <c r="D282" i="1"/>
  <c r="E282" i="1"/>
  <c r="F282" i="1"/>
  <c r="C283" i="1"/>
  <c r="D283" i="1"/>
  <c r="E283" i="1"/>
  <c r="F283" i="1"/>
  <c r="C284" i="1"/>
  <c r="D284" i="1"/>
  <c r="E284" i="1"/>
  <c r="F284" i="1"/>
  <c r="C285" i="1"/>
  <c r="D285" i="1"/>
  <c r="E285" i="1"/>
  <c r="F285" i="1"/>
  <c r="C286" i="1"/>
  <c r="D286" i="1"/>
  <c r="E286" i="1"/>
  <c r="F286" i="1"/>
  <c r="C287" i="1"/>
  <c r="D287" i="1"/>
  <c r="E287" i="1"/>
  <c r="F287" i="1"/>
  <c r="C288" i="1"/>
  <c r="D288" i="1"/>
  <c r="E288" i="1"/>
  <c r="F288" i="1"/>
  <c r="C289" i="1"/>
  <c r="D289" i="1"/>
  <c r="E289" i="1"/>
  <c r="F289" i="1"/>
  <c r="C290" i="1"/>
  <c r="D290" i="1"/>
  <c r="E290" i="1"/>
  <c r="F290" i="1"/>
  <c r="C291" i="1"/>
  <c r="D291" i="1"/>
  <c r="E291" i="1"/>
  <c r="F291" i="1"/>
  <c r="C292" i="1"/>
  <c r="D292" i="1"/>
  <c r="E292" i="1"/>
  <c r="F292" i="1"/>
  <c r="C293" i="1"/>
  <c r="D293" i="1"/>
  <c r="E293" i="1"/>
  <c r="F293" i="1"/>
  <c r="C294" i="1"/>
  <c r="D294" i="1"/>
  <c r="E294" i="1"/>
  <c r="F294" i="1"/>
  <c r="C295" i="1"/>
  <c r="D295" i="1"/>
  <c r="E295" i="1"/>
  <c r="F295" i="1"/>
  <c r="C296" i="1"/>
  <c r="D296" i="1"/>
  <c r="E296" i="1"/>
  <c r="F296" i="1"/>
  <c r="C297" i="1"/>
  <c r="D297" i="1"/>
  <c r="E297" i="1"/>
  <c r="F297" i="1"/>
  <c r="C298" i="1"/>
  <c r="D298" i="1"/>
  <c r="E298" i="1"/>
  <c r="F298" i="1"/>
  <c r="C299" i="1"/>
  <c r="D299" i="1"/>
  <c r="E299" i="1"/>
  <c r="F299" i="1"/>
  <c r="C300" i="1"/>
  <c r="D300" i="1"/>
  <c r="E300" i="1"/>
  <c r="F300" i="1"/>
  <c r="C6" i="1"/>
  <c r="D6" i="1"/>
  <c r="E6" i="1"/>
  <c r="F6" i="1"/>
  <c r="E2" i="1" l="1"/>
  <c r="B2" i="1"/>
  <c r="A4" i="1" s="1"/>
  <c r="F5" i="1"/>
  <c r="E5" i="1"/>
  <c r="D5" i="1"/>
  <c r="C5" i="1"/>
</calcChain>
</file>

<file path=xl/sharedStrings.xml><?xml version="1.0" encoding="utf-8"?>
<sst xmlns="http://schemas.openxmlformats.org/spreadsheetml/2006/main" count="409" uniqueCount="66">
  <si>
    <t>ระบบจัดคิวงานอัตโนมัติ</t>
  </si>
  <si>
    <t>REF.NO</t>
  </si>
  <si>
    <t>ยี่ห้อ</t>
  </si>
  <si>
    <t>รุ่น</t>
  </si>
  <si>
    <t>ทะเบียน</t>
  </si>
  <si>
    <t>ระดับ</t>
  </si>
  <si>
    <t>งานปัจจุบัน</t>
  </si>
  <si>
    <t>จะเสร็จ</t>
  </si>
  <si>
    <t>xxxxxxx</t>
  </si>
  <si>
    <t>TOYOTA</t>
  </si>
  <si>
    <t>เบา</t>
  </si>
  <si>
    <t>ISUZU</t>
  </si>
  <si>
    <t>กลาง</t>
  </si>
  <si>
    <t>VIGO</t>
  </si>
  <si>
    <t>รอบคัน</t>
  </si>
  <si>
    <t>HONDA</t>
  </si>
  <si>
    <t>MITSUBISHI</t>
  </si>
  <si>
    <t>โคม่า</t>
  </si>
  <si>
    <t/>
  </si>
  <si>
    <t>D-MAX</t>
  </si>
  <si>
    <t>ชิ้นส่วน</t>
  </si>
  <si>
    <t>รอส่ง</t>
  </si>
  <si>
    <t>ประกอบ+ขัด</t>
  </si>
  <si>
    <t>คาดการณ์</t>
  </si>
  <si>
    <t>กำหนดส่งรถ</t>
  </si>
  <si>
    <t>สถานะ</t>
  </si>
  <si>
    <t>ทัดต่อไป</t>
  </si>
  <si>
    <t>ชื่อไฟล์เครื่องที่ใช้งาน</t>
  </si>
  <si>
    <t>ชื่อไฟล์เครื่องแม่</t>
  </si>
  <si>
    <t>Host path</t>
  </si>
  <si>
    <t>TCOMStatus V4.0</t>
  </si>
  <si>
    <t>ST1</t>
  </si>
  <si>
    <t>ST2</t>
  </si>
  <si>
    <t>ระดับงาน</t>
  </si>
  <si>
    <t>สิ้นสุดการแสดงผล</t>
  </si>
  <si>
    <t>จำนวนข้อมูลแสดง</t>
  </si>
  <si>
    <t>เวลาที่คาดว่า</t>
  </si>
  <si>
    <t>ตอนนี้เวลา</t>
  </si>
  <si>
    <t>ระบบแจ้งสถานะงานซ่อม</t>
  </si>
  <si>
    <t>VIOS</t>
  </si>
  <si>
    <t>TCOM_MCStatus V4.0.xlsm</t>
  </si>
  <si>
    <t>\\Tcom1\d</t>
  </si>
  <si>
    <t>PROTON</t>
  </si>
  <si>
    <t>EXORA</t>
  </si>
  <si>
    <t>ฎฟ276</t>
  </si>
  <si>
    <t>SPACECAB</t>
  </si>
  <si>
    <t>ถส9187</t>
  </si>
  <si>
    <t>บท4262</t>
  </si>
  <si>
    <t>FORD</t>
  </si>
  <si>
    <t>CITY</t>
  </si>
  <si>
    <t>2กค569</t>
  </si>
  <si>
    <t>ฒว4359</t>
  </si>
  <si>
    <t>ถพ1368</t>
  </si>
  <si>
    <t>ฎธ8372</t>
  </si>
  <si>
    <t>RANGER</t>
  </si>
  <si>
    <t>3กฆ6064</t>
  </si>
  <si>
    <t>กต1187</t>
  </si>
  <si>
    <t>AVANZA</t>
  </si>
  <si>
    <t>ณย4873</t>
  </si>
  <si>
    <t>FORTUNER</t>
  </si>
  <si>
    <t>ชช169</t>
  </si>
  <si>
    <t>ถข5100</t>
  </si>
  <si>
    <t>ญถ7223</t>
  </si>
  <si>
    <t>MIRAGE</t>
  </si>
  <si>
    <t>1กส4156</t>
  </si>
  <si>
    <t>ฒต7725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</si>
</sst>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7" formatCode="[$-F800]dddd\,\ mmmm\ dd\,\ yyyy"/>
    <numFmt numFmtId="188" formatCode="[$-F400]h:mm:ss\ AM/PM"/>
    <numFmt numFmtId="189" formatCode="[$-1000000]h:mm\ &quot;น.&quot;;@"/>
  </numFmts>
  <fonts count="22" x14ac:knownFonts="1">
    <font>
      <sz val="11"/>
      <color theme="1"/>
      <name val="Tahoma"/>
      <family val="2"/>
      <charset val="222"/>
      <scheme val="minor"/>
    </font>
    <font>
      <sz val="18"/>
      <name val="Tahoma"/>
      <family val="2"/>
      <scheme val="minor"/>
    </font>
    <font>
      <sz val="11"/>
      <color theme="1"/>
      <name val="Tahoma"/>
      <family val="2"/>
      <charset val="222"/>
      <scheme val="minor"/>
    </font>
    <font>
      <b/>
      <sz val="28"/>
      <color theme="1"/>
      <name val="Tahoma"/>
      <family val="2"/>
      <scheme val="minor"/>
    </font>
    <font>
      <sz val="18"/>
      <color theme="1"/>
      <name val="Tahoma"/>
      <family val="2"/>
      <scheme val="minor"/>
    </font>
    <font>
      <sz val="18"/>
      <name val="Tahoma"/>
      <family val="2"/>
      <scheme val="minor"/>
    </font>
    <font>
      <sz val="18"/>
      <color theme="1"/>
      <name val="Tahoma"/>
      <family val="2"/>
      <charset val="222"/>
      <scheme val="minor"/>
    </font>
    <font>
      <b/>
      <sz val="16"/>
      <color rgb="FF000000"/>
      <name val="Tahoma"/>
      <family val="2"/>
    </font>
    <font>
      <sz val="18"/>
      <color theme="0"/>
      <name val="Tahoma"/>
      <family val="2"/>
      <scheme val="minor"/>
    </font>
    <font>
      <sz val="18"/>
      <color theme="1"/>
      <name val="Tahoma"/>
      <family val="2"/>
      <scheme val="minor"/>
    </font>
    <font>
      <b/>
      <sz val="36"/>
      <color theme="0"/>
      <name val="Tahoma"/>
      <family val="2"/>
      <scheme val="minor"/>
    </font>
    <font>
      <b/>
      <sz val="36"/>
      <color rgb="FFFF0000"/>
      <name val="Tahoma"/>
      <family val="2"/>
      <scheme val="minor"/>
    </font>
    <font>
      <sz val="20"/>
      <color theme="0"/>
      <name val="Tahoma"/>
      <family val="2"/>
      <scheme val="minor"/>
    </font>
    <font>
      <i/>
      <u/>
      <sz val="18"/>
      <color rgb="FFFF0000"/>
      <name val="Tahoma"/>
      <family val="2"/>
      <scheme val="minor"/>
    </font>
    <font>
      <u/>
      <sz val="11"/>
      <color theme="10"/>
      <name val="Tahoma"/>
      <family val="2"/>
      <charset val="222"/>
      <scheme val="minor"/>
    </font>
    <font>
      <b/>
      <sz val="18"/>
      <color theme="1"/>
      <name val="Tahoma"/>
      <family val="2"/>
      <scheme val="minor"/>
    </font>
    <font>
      <sz val="18"/>
      <color rgb="FFFF0000"/>
      <name val="Tahoma"/>
      <family val="2"/>
      <scheme val="minor"/>
    </font>
    <font>
      <b/>
      <sz val="40"/>
      <color rgb="FF002060"/>
      <name val="Tahoma"/>
      <family val="2"/>
      <scheme val="minor"/>
    </font>
    <font>
      <sz val="24"/>
      <color theme="0"/>
      <name val="Tahoma"/>
      <family val="2"/>
      <scheme val="minor"/>
    </font>
    <font>
      <sz val="24"/>
      <color theme="1"/>
      <name val="Tahoma"/>
      <family val="2"/>
      <scheme val="minor"/>
    </font>
    <font>
      <sz val="24"/>
      <color rgb="FFFF0000"/>
      <name val="Tahoma"/>
      <family val="2"/>
      <scheme val="minor"/>
    </font>
    <font>
      <b/>
      <sz val="18"/>
      <color theme="0"/>
      <name val="Tahom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87">
    <xf numFmtId="0" fontId="0" fillId="0" borderId="0" xfId="0"/>
    <xf numFmtId="0" fontId="2" fillId="0" borderId="0" xfId="0" applyFont="1"/>
    <xf numFmtId="0" fontId="3" fillId="0" borderId="0" xfId="0" applyFont="1" applyBorder="1" applyProtection="1"/>
    <xf numFmtId="0" fontId="4" fillId="0" borderId="0" xfId="0" applyFont="1" applyBorder="1" applyProtection="1"/>
    <xf numFmtId="0" fontId="5" fillId="0" borderId="0" xfId="0" applyFont="1" applyBorder="1" applyProtection="1"/>
    <xf numFmtId="0" fontId="4" fillId="0" borderId="1" xfId="0" applyFont="1" applyBorder="1" applyAlignment="1" applyProtection="1">
      <alignment vertical="center" wrapText="1"/>
    </xf>
    <xf numFmtId="0" fontId="4" fillId="0" borderId="2" xfId="0" applyFont="1" applyBorder="1" applyAlignment="1" applyProtection="1">
      <alignment vertical="center" wrapText="1"/>
    </xf>
    <xf numFmtId="0" fontId="4" fillId="0" borderId="3" xfId="0" applyFont="1" applyBorder="1" applyAlignment="1" applyProtection="1">
      <alignment vertical="center" wrapText="1"/>
    </xf>
    <xf numFmtId="0" fontId="4" fillId="0" borderId="4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vertical="center" wrapText="1"/>
    </xf>
    <xf numFmtId="0" fontId="4" fillId="0" borderId="7" xfId="0" applyFont="1" applyBorder="1" applyAlignment="1" applyProtection="1">
      <alignment vertical="center" wrapText="1"/>
    </xf>
    <xf numFmtId="0" fontId="4" fillId="0" borderId="8" xfId="0" applyFont="1" applyBorder="1" applyAlignment="1" applyProtection="1">
      <alignment vertical="center" wrapText="1"/>
    </xf>
    <xf numFmtId="0" fontId="4" fillId="0" borderId="9" xfId="0" applyFont="1" applyBorder="1" applyAlignment="1" applyProtection="1">
      <alignment vertical="center" wrapText="1"/>
    </xf>
    <xf numFmtId="0" fontId="4" fillId="0" borderId="10" xfId="0" applyFont="1" applyBorder="1" applyAlignment="1" applyProtection="1">
      <alignment horizontal="center" vertical="center" wrapText="1"/>
    </xf>
    <xf numFmtId="0" fontId="5" fillId="0" borderId="10" xfId="0" applyFont="1" applyBorder="1" applyAlignment="1" applyProtection="1">
      <alignment vertical="center" wrapText="1"/>
    </xf>
    <xf numFmtId="0" fontId="4" fillId="0" borderId="12" xfId="0" applyFont="1" applyBorder="1" applyProtection="1">
      <protection locked="0"/>
    </xf>
    <xf numFmtId="0" fontId="4" fillId="0" borderId="13" xfId="0" applyFont="1" applyBorder="1" applyProtection="1"/>
    <xf numFmtId="0" fontId="4" fillId="0" borderId="14" xfId="0" applyFont="1" applyBorder="1" applyProtection="1"/>
    <xf numFmtId="0" fontId="5" fillId="0" borderId="15" xfId="0" applyFont="1" applyBorder="1" applyProtection="1">
      <protection locked="0"/>
    </xf>
    <xf numFmtId="0" fontId="2" fillId="0" borderId="0" xfId="0" applyFont="1" applyAlignment="1">
      <alignment horizontal="left"/>
    </xf>
    <xf numFmtId="0" fontId="4" fillId="0" borderId="12" xfId="0" applyFont="1" applyFill="1" applyBorder="1" applyProtection="1">
      <protection locked="0"/>
    </xf>
    <xf numFmtId="0" fontId="4" fillId="0" borderId="13" xfId="0" applyFont="1" applyFill="1" applyBorder="1" applyProtection="1"/>
    <xf numFmtId="0" fontId="4" fillId="0" borderId="14" xfId="0" applyFont="1" applyFill="1" applyBorder="1" applyProtection="1"/>
    <xf numFmtId="0" fontId="5" fillId="0" borderId="15" xfId="0" applyFont="1" applyFill="1" applyBorder="1" applyProtection="1">
      <protection locked="0"/>
    </xf>
    <xf numFmtId="0" fontId="4" fillId="0" borderId="13" xfId="0" applyFont="1" applyBorder="1" applyAlignment="1" applyProtection="1">
      <alignment horizontal="right"/>
    </xf>
    <xf numFmtId="0" fontId="1" fillId="0" borderId="15" xfId="0" applyFont="1" applyFill="1" applyBorder="1" applyProtection="1">
      <protection locked="0"/>
    </xf>
    <xf numFmtId="0" fontId="0" fillId="0" borderId="0" xfId="0" applyFont="1" applyFill="1" applyBorder="1"/>
    <xf numFmtId="0" fontId="2" fillId="0" borderId="5" xfId="0" applyFont="1" applyBorder="1"/>
    <xf numFmtId="0" fontId="2" fillId="0" borderId="19" xfId="0" applyFont="1" applyBorder="1"/>
    <xf numFmtId="0" fontId="4" fillId="0" borderId="19" xfId="0" applyFont="1" applyBorder="1" applyProtection="1"/>
    <xf numFmtId="0" fontId="2" fillId="0" borderId="14" xfId="0" applyFont="1" applyBorder="1"/>
    <xf numFmtId="0" fontId="2" fillId="0" borderId="22" xfId="0" applyFont="1" applyBorder="1"/>
    <xf numFmtId="0" fontId="6" fillId="0" borderId="20" xfId="0" applyFont="1" applyBorder="1"/>
    <xf numFmtId="0" fontId="8" fillId="2" borderId="0" xfId="0" applyFont="1" applyFill="1"/>
    <xf numFmtId="0" fontId="9" fillId="0" borderId="0" xfId="0" applyFont="1"/>
    <xf numFmtId="0" fontId="9" fillId="0" borderId="0" xfId="0" applyFont="1" applyFill="1" applyBorder="1"/>
    <xf numFmtId="0" fontId="9" fillId="3" borderId="0" xfId="0" applyFont="1" applyFill="1" applyBorder="1"/>
    <xf numFmtId="0" fontId="13" fillId="0" borderId="0" xfId="0" applyFont="1" applyFill="1" applyBorder="1"/>
    <xf numFmtId="0" fontId="9" fillId="2" borderId="0" xfId="0" applyFont="1" applyFill="1" applyBorder="1"/>
    <xf numFmtId="0" fontId="9" fillId="0" borderId="0" xfId="0" applyFont="1" applyFill="1" applyBorder="1" applyAlignment="1">
      <alignment horizontal="left"/>
    </xf>
    <xf numFmtId="0" fontId="9" fillId="3" borderId="0" xfId="0" applyFont="1" applyFill="1" applyBorder="1" applyAlignment="1">
      <alignment horizontal="left"/>
    </xf>
    <xf numFmtId="0" fontId="14" fillId="0" borderId="13" xfId="1" applyBorder="1" applyProtection="1"/>
    <xf numFmtId="189" fontId="2" fillId="0" borderId="0" xfId="0" applyNumberFormat="1" applyFont="1"/>
    <xf numFmtId="189" fontId="4" fillId="0" borderId="0" xfId="0" applyNumberFormat="1" applyFont="1" applyBorder="1" applyProtection="1"/>
    <xf numFmtId="189" fontId="4" fillId="0" borderId="6" xfId="0" applyNumberFormat="1" applyFont="1" applyBorder="1" applyAlignment="1" applyProtection="1">
      <alignment horizontal="center" vertical="center" wrapText="1"/>
    </xf>
    <xf numFmtId="189" fontId="4" fillId="0" borderId="11" xfId="0" applyNumberFormat="1" applyFont="1" applyBorder="1" applyAlignment="1" applyProtection="1">
      <alignment horizontal="center" vertical="center" wrapText="1"/>
    </xf>
    <xf numFmtId="189" fontId="4" fillId="0" borderId="15" xfId="0" applyNumberFormat="1" applyFont="1" applyBorder="1" applyProtection="1">
      <protection locked="0"/>
    </xf>
    <xf numFmtId="189" fontId="4" fillId="0" borderId="15" xfId="0" applyNumberFormat="1" applyFont="1" applyFill="1" applyBorder="1" applyProtection="1">
      <protection locked="0"/>
    </xf>
    <xf numFmtId="189" fontId="4" fillId="0" borderId="17" xfId="0" applyNumberFormat="1" applyFont="1" applyFill="1" applyBorder="1" applyProtection="1">
      <protection locked="0"/>
    </xf>
    <xf numFmtId="189" fontId="4" fillId="0" borderId="0" xfId="0" applyNumberFormat="1" applyFont="1"/>
    <xf numFmtId="189" fontId="4" fillId="0" borderId="21" xfId="0" applyNumberFormat="1" applyFont="1" applyBorder="1"/>
    <xf numFmtId="189" fontId="4" fillId="0" borderId="2" xfId="0" applyNumberFormat="1" applyFont="1" applyBorder="1"/>
    <xf numFmtId="189" fontId="4" fillId="0" borderId="8" xfId="0" applyNumberFormat="1" applyFont="1" applyBorder="1"/>
    <xf numFmtId="189" fontId="4" fillId="0" borderId="13" xfId="0" applyNumberFormat="1" applyFont="1" applyBorder="1"/>
    <xf numFmtId="189" fontId="4" fillId="0" borderId="18" xfId="0" applyNumberFormat="1" applyFont="1" applyBorder="1"/>
    <xf numFmtId="0" fontId="2" fillId="0" borderId="0" xfId="0" applyNumberFormat="1" applyFont="1"/>
    <xf numFmtId="0" fontId="0" fillId="0" borderId="0" xfId="0" applyFont="1"/>
    <xf numFmtId="0" fontId="4" fillId="0" borderId="16" xfId="0" applyNumberFormat="1" applyFont="1" applyBorder="1" applyProtection="1"/>
    <xf numFmtId="0" fontId="4" fillId="0" borderId="18" xfId="0" applyNumberFormat="1" applyFont="1" applyBorder="1" applyProtection="1"/>
    <xf numFmtId="189" fontId="4" fillId="0" borderId="0" xfId="0" applyNumberFormat="1" applyFont="1" applyBorder="1" applyAlignment="1">
      <alignment horizontal="center"/>
    </xf>
    <xf numFmtId="189" fontId="15" fillId="0" borderId="0" xfId="0" applyNumberFormat="1" applyFont="1" applyBorder="1"/>
    <xf numFmtId="189" fontId="0" fillId="0" borderId="0" xfId="0" applyNumberFormat="1" applyFont="1"/>
    <xf numFmtId="0" fontId="6" fillId="0" borderId="19" xfId="0" applyFont="1" applyBorder="1"/>
    <xf numFmtId="0" fontId="16" fillId="0" borderId="0" xfId="0" applyFont="1" applyFill="1" applyBorder="1"/>
    <xf numFmtId="0" fontId="18" fillId="2" borderId="0" xfId="0" applyFont="1" applyFill="1"/>
    <xf numFmtId="0" fontId="19" fillId="0" borderId="0" xfId="0" applyFont="1" applyFill="1" applyBorder="1"/>
    <xf numFmtId="0" fontId="19" fillId="0" borderId="0" xfId="0" applyFont="1" applyFill="1" applyBorder="1" applyAlignment="1">
      <alignment horizontal="left"/>
    </xf>
    <xf numFmtId="0" fontId="20" fillId="0" borderId="0" xfId="0" applyFont="1" applyFill="1" applyBorder="1"/>
    <xf numFmtId="0" fontId="19" fillId="2" borderId="0" xfId="0" applyFont="1" applyFill="1" applyBorder="1"/>
    <xf numFmtId="0" fontId="19" fillId="0" borderId="0" xfId="0" applyFont="1"/>
    <xf numFmtId="0" fontId="19" fillId="3" borderId="0" xfId="0" applyFont="1" applyFill="1" applyBorder="1"/>
    <xf numFmtId="0" fontId="19" fillId="3" borderId="0" xfId="0" applyFont="1" applyFill="1" applyBorder="1" applyAlignment="1">
      <alignment horizontal="left"/>
    </xf>
    <xf numFmtId="0" fontId="20" fillId="3" borderId="0" xfId="0" applyFont="1" applyFill="1" applyBorder="1"/>
    <xf numFmtId="189" fontId="19" fillId="0" borderId="0" xfId="0" applyNumberFormat="1" applyFont="1" applyFill="1" applyBorder="1" applyAlignment="1">
      <alignment horizontal="right"/>
    </xf>
    <xf numFmtId="189" fontId="19" fillId="3" borderId="0" xfId="0" applyNumberFormat="1" applyFont="1" applyFill="1" applyBorder="1" applyAlignment="1">
      <alignment horizontal="right"/>
    </xf>
    <xf numFmtId="189" fontId="9" fillId="0" borderId="0" xfId="0" applyNumberFormat="1" applyFont="1" applyFill="1" applyBorder="1" applyAlignment="1">
      <alignment horizontal="right"/>
    </xf>
    <xf numFmtId="189" fontId="9" fillId="3" borderId="0" xfId="0" applyNumberFormat="1" applyFont="1" applyFill="1" applyBorder="1" applyAlignment="1">
      <alignment horizontal="right"/>
    </xf>
    <xf numFmtId="189" fontId="21" fillId="4" borderId="0" xfId="0" applyNumberFormat="1" applyFont="1" applyFill="1" applyBorder="1" applyAlignment="1">
      <alignment horizontal="center"/>
    </xf>
    <xf numFmtId="189" fontId="21" fillId="4" borderId="0" xfId="0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>
      <alignment horizontal="right"/>
    </xf>
    <xf numFmtId="187" fontId="10" fillId="5" borderId="0" xfId="0" applyNumberFormat="1" applyFont="1" applyFill="1" applyBorder="1" applyAlignment="1">
      <alignment horizontal="center" vertical="center"/>
    </xf>
    <xf numFmtId="188" fontId="11" fillId="5" borderId="0" xfId="0" applyNumberFormat="1" applyFont="1" applyFill="1" applyBorder="1" applyAlignment="1">
      <alignment horizontal="center" vertical="center"/>
    </xf>
    <xf numFmtId="0" fontId="21" fillId="4" borderId="0" xfId="0" applyFont="1" applyFill="1" applyBorder="1" applyAlignment="1">
      <alignment horizontal="center" vertical="center"/>
    </xf>
    <xf numFmtId="0" fontId="21" fillId="4" borderId="0" xfId="0" applyFont="1" applyFill="1" applyBorder="1" applyAlignment="1" applyProtection="1">
      <alignment horizontal="center" vertical="center" wrapText="1"/>
    </xf>
    <xf numFmtId="0" fontId="12" fillId="5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auto="1"/>
      </font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1485900</xdr:rowOff>
        </xdr:from>
        <xdr:to>
          <xdr:col>10</xdr:col>
          <xdr:colOff>180975</xdr:colOff>
          <xdr:row>1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th-TH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314325</xdr:rowOff>
        </xdr:from>
        <xdr:to>
          <xdr:col>10</xdr:col>
          <xdr:colOff>180975</xdr:colOff>
          <xdr:row>1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th-TH" sz="16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77703</xdr:colOff>
      <xdr:row>0</xdr:row>
      <xdr:rowOff>432635</xdr:rowOff>
    </xdr:from>
    <xdr:to>
      <xdr:col>11</xdr:col>
      <xdr:colOff>58653</xdr:colOff>
      <xdr:row>0</xdr:row>
      <xdr:rowOff>727910</xdr:rowOff>
    </xdr:to>
    <xdr:sp macro="" textlink="">
      <xdr:nvSpPr>
        <xdr:cNvPr id="6" name="Text Box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565229" y="432635"/>
          <a:ext cx="3800977" cy="295275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en-US" sz="1100">
              <a:effectLst/>
              <a:latin typeface="Calibri" panose="020F0502020204030204" pitchFamily="34" charset="0"/>
              <a:ea typeface="Calibri" panose="020F0502020204030204" pitchFamily="34" charset="0"/>
              <a:cs typeface="Cordia New" panose="020B0304020202020204" pitchFamily="34" charset="-34"/>
            </a:rPr>
            <a:t>Real-time working status</a:t>
          </a:r>
        </a:p>
      </xdr:txBody>
    </xdr:sp>
    <xdr:clientData/>
  </xdr:twoCellAnchor>
  <xdr:twoCellAnchor>
    <xdr:from>
      <xdr:col>8</xdr:col>
      <xdr:colOff>211054</xdr:colOff>
      <xdr:row>0</xdr:row>
      <xdr:rowOff>270710</xdr:rowOff>
    </xdr:from>
    <xdr:to>
      <xdr:col>9</xdr:col>
      <xdr:colOff>334879</xdr:colOff>
      <xdr:row>0</xdr:row>
      <xdr:rowOff>546935</xdr:rowOff>
    </xdr:to>
    <xdr:sp macro="" textlink="">
      <xdr:nvSpPr>
        <xdr:cNvPr id="7" name="Text Box 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698580" y="270710"/>
          <a:ext cx="1868404" cy="276225"/>
        </a:xfrm>
        <a:prstGeom prst="rect">
          <a:avLst/>
        </a:prstGeom>
        <a:noFill/>
        <a:ln w="6350">
          <a:noFill/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en-US" sz="1100">
              <a:solidFill>
                <a:srgbClr val="FF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ordia New" panose="020B0304020202020204" pitchFamily="34" charset="-34"/>
            </a:rPr>
            <a:t>**Update every 5 min.</a:t>
          </a:r>
        </a:p>
      </xdr:txBody>
    </xdr:sp>
    <xdr:clientData/>
  </xdr:twoCellAnchor>
  <xdr:twoCellAnchor editAs="oneCell">
    <xdr:from>
      <xdr:col>0</xdr:col>
      <xdr:colOff>100262</xdr:colOff>
      <xdr:row>0</xdr:row>
      <xdr:rowOff>28575</xdr:rowOff>
    </xdr:from>
    <xdr:to>
      <xdr:col>4</xdr:col>
      <xdr:colOff>301631</xdr:colOff>
      <xdr:row>1</xdr:row>
      <xdr:rowOff>110289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62" y="28575"/>
          <a:ext cx="4653053" cy="14753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file:///\\Tcom1\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1"/>
  <sheetViews>
    <sheetView tabSelected="1" zoomScale="95" zoomScaleNormal="95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B17" sqref="A17:XFD17"/>
    </sheetView>
  </sheetViews>
  <sheetFormatPr defaultColWidth="9" defaultRowHeight="22.5" x14ac:dyDescent="0.3"/>
  <cols>
    <col min="1" max="1" width="1.25" style="33" customWidth="1"/>
    <col min="2" max="2" width="16.75" style="35" customWidth="1"/>
    <col min="3" max="3" width="20" style="35" customWidth="1"/>
    <col min="4" max="4" width="20.375" style="39" customWidth="1"/>
    <col min="5" max="6" width="16.75" style="35" customWidth="1"/>
    <col min="7" max="7" width="22.875" style="35" customWidth="1"/>
    <col min="8" max="8" width="22.875" style="75" customWidth="1"/>
    <col min="9" max="9" width="22.875" style="63" customWidth="1"/>
    <col min="10" max="10" width="18.25" style="38" customWidth="1"/>
    <col min="11" max="16384" width="9" style="34"/>
  </cols>
  <sheetData>
    <row r="1" spans="1:10" ht="109.5" customHeight="1" x14ac:dyDescent="0.6">
      <c r="B1" s="79" t="s">
        <v>38</v>
      </c>
      <c r="C1" s="79"/>
      <c r="D1" s="79"/>
      <c r="E1" s="79"/>
      <c r="F1" s="79"/>
      <c r="G1" s="79"/>
      <c r="H1" s="79"/>
      <c r="I1" s="79"/>
    </row>
    <row r="2" spans="1:10" ht="86.25" customHeight="1" x14ac:dyDescent="0.3">
      <c r="B2" s="80">
        <f ca="1">TODAY()</f>
        <v>43146</v>
      </c>
      <c r="C2" s="80"/>
      <c r="D2" s="80"/>
      <c r="E2" s="81">
        <f ca="1">NOW()</f>
        <v>43146.704823263892</v>
      </c>
      <c r="F2" s="81"/>
      <c r="G2" s="84" t="str">
        <f>"งานส่งมอบในระบบวันนี้ "&amp;COUNTA(B5:B300)&amp;" คัน"</f>
        <v>งานส่งมอบในระบบวันนี้ 15 คัน</v>
      </c>
      <c r="H2" s="84"/>
      <c r="I2" s="84"/>
    </row>
    <row r="3" spans="1:10" x14ac:dyDescent="0.3">
      <c r="A3" s="33" t="s">
        <v>26</v>
      </c>
      <c r="B3" s="83" t="s">
        <v>1</v>
      </c>
      <c r="C3" s="83" t="s">
        <v>2</v>
      </c>
      <c r="D3" s="83" t="s">
        <v>3</v>
      </c>
      <c r="E3" s="83" t="s">
        <v>4</v>
      </c>
      <c r="F3" s="83" t="s">
        <v>33</v>
      </c>
      <c r="G3" s="83" t="s">
        <v>6</v>
      </c>
      <c r="H3" s="77" t="s">
        <v>23</v>
      </c>
      <c r="I3" s="82" t="s">
        <v>25</v>
      </c>
    </row>
    <row r="4" spans="1:10" ht="30" customHeight="1" x14ac:dyDescent="0.3">
      <c r="A4" s="33">
        <f ca="1">COUNTA(B:B)+2</f>
        <v>20</v>
      </c>
      <c r="B4" s="83"/>
      <c r="C4" s="83"/>
      <c r="D4" s="83"/>
      <c r="E4" s="83"/>
      <c r="F4" s="83"/>
      <c r="G4" s="83"/>
      <c r="H4" s="78" t="s">
        <v>24</v>
      </c>
      <c r="I4" s="82"/>
    </row>
    <row r="5" spans="1:10" s="69" customFormat="1" ht="39" customHeight="1" x14ac:dyDescent="0.4">
      <c r="A5" s="64" t="s">
        <v>35</v>
      </c>
      <c r="B5" s="65">
        <v>1711040</v>
      </c>
      <c r="C5" s="65" t="str">
        <f>IF($B5="","",VLOOKUP($B5,QUEUE!$F$11:$N$1999,2,FALSE))</f>
        <v>PROTON</v>
      </c>
      <c r="D5" s="66" t="str">
        <f>IF($B5="","",VLOOKUP($B5,QUEUE!$F$11:$N$1999,3,FALSE))</f>
        <v>EXORA</v>
      </c>
      <c r="E5" s="65" t="str">
        <f>IF($B5="","",VLOOKUP($B5,QUEUE!$F$11:$N$1999,4,FALSE))</f>
        <v>ฎฟ276</v>
      </c>
      <c r="F5" s="65" t="str">
        <f>IF($B5="","",VLOOKUP($B5,QUEUE!$F$11:$N$1999,5,FALSE))</f>
        <v>รอบคัน</v>
      </c>
      <c r="G5" s="65" t="str">
        <f>IF($B5="","",VLOOKUP($B5,QUEUE!$F$11:$N$1999,6,FALSE))</f>
        <v>รอส่ง</v>
      </c>
      <c r="H5" s="73" t="str">
        <f>IF($B5="","",IF(VLOOKUP($B5,QUEUE!$F$11:$N$1999,8,FALSE)=0,"",VLOOKUP($B5,QUEUE!$F$11:$N$1999,8,FALSE)))</f>
        <v/>
      </c>
      <c r="I5" s="67" t="str">
        <f>IFERROR(IF($B5="","",VLOOKUP($B5,QUEUE!$F$11:$N$1999,9,FALSE)),"")</f>
        <v>รอยืนยัน</v>
      </c>
      <c r="J5" s="68"/>
    </row>
    <row r="6" spans="1:10" s="69" customFormat="1" ht="39" customHeight="1" x14ac:dyDescent="0.4">
      <c r="A6" s="64">
        <f>COUNTA(B5:B300)</f>
        <v>15</v>
      </c>
      <c r="B6" s="70">
        <v>1711025</v>
      </c>
      <c r="C6" s="70" t="str">
        <f>IF($B6="","",VLOOKUP($B6,QUEUE!$F$11:$N$1999,2,FALSE))</f>
        <v>ISUZU</v>
      </c>
      <c r="D6" s="71" t="str">
        <f>IF($B6="","",VLOOKUP($B6,QUEUE!$F$11:$N$1999,3,FALSE))</f>
        <v>SPACECAB</v>
      </c>
      <c r="E6" s="70" t="str">
        <f>IF($B6="","",VLOOKUP($B6,QUEUE!$F$11:$N$1999,4,FALSE))</f>
        <v>ถส9187</v>
      </c>
      <c r="F6" s="70" t="str">
        <f>IF($B6="","",VLOOKUP($B6,QUEUE!$F$11:$N$1999,5,FALSE))</f>
        <v>รอบคัน</v>
      </c>
      <c r="G6" s="70" t="str">
        <f>IF($B6="","",VLOOKUP($B6,QUEUE!$F$11:$N$1999,6,FALSE))</f>
        <v>รอส่ง</v>
      </c>
      <c r="H6" s="74" t="str">
        <f>IF($B6="","",IF(VLOOKUP($B6,QUEUE!$F$11:$N$1999,8,FALSE)=0,"",VLOOKUP($B6,QUEUE!$F$11:$N$1999,8,FALSE)))</f>
        <v/>
      </c>
      <c r="I6" s="72" t="str">
        <f>IFERROR(IF($B6="","",VLOOKUP($B6,QUEUE!$F$11:$N$1999,9,FALSE)),"")</f>
        <v>รอยืนยัน</v>
      </c>
      <c r="J6" s="68"/>
    </row>
    <row r="7" spans="1:10" s="69" customFormat="1" ht="39" customHeight="1" x14ac:dyDescent="0.4">
      <c r="A7" s="64"/>
      <c r="B7" s="65">
        <v>1801035</v>
      </c>
      <c r="C7" s="65" t="str">
        <f>IF($B7="","",VLOOKUP($B7,QUEUE!$F$11:$N$1999,2,FALSE))</f>
        <v>ISUZU</v>
      </c>
      <c r="D7" s="66" t="str">
        <f>IF($B7="","",VLOOKUP($B7,QUEUE!$F$11:$N$1999,3,FALSE))</f>
        <v>D-MAX</v>
      </c>
      <c r="E7" s="65" t="str">
        <f>IF($B7="","",VLOOKUP($B7,QUEUE!$F$11:$N$1999,4,FALSE))</f>
        <v>ถพ1368</v>
      </c>
      <c r="F7" s="65" t="str">
        <f>IF($B7="","",VLOOKUP($B7,QUEUE!$F$11:$N$1999,5,FALSE))</f>
        <v>รอบคัน</v>
      </c>
      <c r="G7" s="65" t="str">
        <f>IF($B7="","",VLOOKUP($B7,QUEUE!$F$11:$N$1999,6,FALSE))</f>
        <v>รอส่ง</v>
      </c>
      <c r="H7" s="73" t="str">
        <f>IF($B7="","",IF(VLOOKUP($B7,QUEUE!$F$11:$N$1999,8,FALSE)=0,"",VLOOKUP($B7,QUEUE!$F$11:$N$1999,8,FALSE)))</f>
        <v/>
      </c>
      <c r="I7" s="67" t="str">
        <f>IFERROR(IF($B7="","",VLOOKUP($B7,QUEUE!$F$11:$N$1999,9,FALSE)),"")</f>
        <v>รอยืนยัน</v>
      </c>
      <c r="J7" s="68"/>
    </row>
    <row r="8" spans="1:10" s="69" customFormat="1" ht="39" customHeight="1" x14ac:dyDescent="0.4">
      <c r="A8" s="64"/>
      <c r="B8" s="70">
        <v>1711029</v>
      </c>
      <c r="C8" s="70" t="str">
        <f>IF($B8="","",VLOOKUP($B8,QUEUE!$F$11:$N$1999,2,FALSE))</f>
        <v>ISUZU</v>
      </c>
      <c r="D8" s="71" t="str">
        <f>IF($B8="","",VLOOKUP($B8,QUEUE!$F$11:$N$1999,3,FALSE))</f>
        <v>D-MAX</v>
      </c>
      <c r="E8" s="70" t="str">
        <f>IF($B8="","",VLOOKUP($B8,QUEUE!$F$11:$N$1999,4,FALSE))</f>
        <v>ฎธ8372</v>
      </c>
      <c r="F8" s="70" t="str">
        <f>IF($B8="","",VLOOKUP($B8,QUEUE!$F$11:$N$1999,5,FALSE))</f>
        <v>กลาง</v>
      </c>
      <c r="G8" s="70" t="str">
        <f>IF($B8="","",VLOOKUP($B8,QUEUE!$F$11:$N$1999,6,FALSE))</f>
        <v>รอส่ง</v>
      </c>
      <c r="H8" s="74" t="str">
        <f>IF($B8="","",IF(VLOOKUP($B8,QUEUE!$F$11:$N$1999,8,FALSE)=0,"",VLOOKUP($B8,QUEUE!$F$11:$N$1999,8,FALSE)))</f>
        <v/>
      </c>
      <c r="I8" s="72" t="str">
        <f>IFERROR(IF($B8="","",VLOOKUP($B8,QUEUE!$F$11:$N$1999,9,FALSE)),"")</f>
        <v>รอยืนยัน</v>
      </c>
      <c r="J8" s="68"/>
    </row>
    <row r="9" spans="1:10" s="69" customFormat="1" ht="39" customHeight="1" x14ac:dyDescent="0.4">
      <c r="A9" s="64"/>
      <c r="B9" s="65">
        <v>1801072</v>
      </c>
      <c r="C9" s="65" t="str">
        <f>IF($B9="","",VLOOKUP($B9,QUEUE!$F$11:$N$1999,2,FALSE))</f>
        <v>TOYOTA</v>
      </c>
      <c r="D9" s="66" t="str">
        <f>IF($B9="","",VLOOKUP($B9,QUEUE!$F$11:$N$1999,3,FALSE))</f>
        <v>VIGO</v>
      </c>
      <c r="E9" s="65" t="str">
        <f>IF($B9="","",VLOOKUP($B9,QUEUE!$F$11:$N$1999,4,FALSE))</f>
        <v>บท4262</v>
      </c>
      <c r="F9" s="65" t="str">
        <f>IF($B9="","",VLOOKUP($B9,QUEUE!$F$11:$N$1999,5,FALSE))</f>
        <v>ชิ้นส่วน</v>
      </c>
      <c r="G9" s="65" t="str">
        <f>IF($B9="","",VLOOKUP($B9,QUEUE!$F$11:$N$1999,6,FALSE))</f>
        <v>รอส่ง</v>
      </c>
      <c r="H9" s="73" t="str">
        <f>IF($B9="","",IF(VLOOKUP($B9,QUEUE!$F$11:$N$1999,8,FALSE)=0,"",VLOOKUP($B9,QUEUE!$F$11:$N$1999,8,FALSE)))</f>
        <v/>
      </c>
      <c r="I9" s="67" t="str">
        <f>IFERROR(IF($B9="","",VLOOKUP($B9,QUEUE!$F$11:$N$1999,9,FALSE)),"")</f>
        <v>รอยืนยัน</v>
      </c>
      <c r="J9" s="68"/>
    </row>
    <row r="10" spans="1:10" s="69" customFormat="1" ht="39" customHeight="1" x14ac:dyDescent="0.4">
      <c r="A10" s="64"/>
      <c r="B10" s="70">
        <v>1801006</v>
      </c>
      <c r="C10" s="70" t="str">
        <f>IF($B10="","",VLOOKUP($B10,QUEUE!$F$11:$N$1999,2,FALSE))</f>
        <v>TOYOTA</v>
      </c>
      <c r="D10" s="71" t="str">
        <f>IF($B10="","",VLOOKUP($B10,QUEUE!$F$11:$N$1999,3,FALSE))</f>
        <v>AVANZA</v>
      </c>
      <c r="E10" s="70" t="str">
        <f>IF($B10="","",VLOOKUP($B10,QUEUE!$F$11:$N$1999,4,FALSE))</f>
        <v>ณย4873</v>
      </c>
      <c r="F10" s="70" t="str">
        <f>IF($B10="","",VLOOKUP($B10,QUEUE!$F$11:$N$1999,5,FALSE))</f>
        <v>ชิ้นส่วน</v>
      </c>
      <c r="G10" s="70" t="str">
        <f>IF($B10="","",VLOOKUP($B10,QUEUE!$F$11:$N$1999,6,FALSE))</f>
        <v>รอส่ง</v>
      </c>
      <c r="H10" s="74" t="str">
        <f>IF($B10="","",IF(VLOOKUP($B10,QUEUE!$F$11:$N$1999,8,FALSE)=0,"",VLOOKUP($B10,QUEUE!$F$11:$N$1999,8,FALSE)))</f>
        <v/>
      </c>
      <c r="I10" s="72" t="str">
        <f>IFERROR(IF($B10="","",VLOOKUP($B10,QUEUE!$F$11:$N$1999,9,FALSE)),"")</f>
        <v>รอยืนยัน</v>
      </c>
      <c r="J10" s="68"/>
    </row>
    <row r="11" spans="1:10" s="69" customFormat="1" ht="39" customHeight="1" x14ac:dyDescent="0.4">
      <c r="A11" s="64"/>
      <c r="B11" s="65">
        <v>1711021</v>
      </c>
      <c r="C11" s="65" t="str">
        <f>IF($B11="","",VLOOKUP($B11,QUEUE!$F$11:$N$1999,2,FALSE))</f>
        <v>HONDA</v>
      </c>
      <c r="D11" s="66" t="str">
        <f>IF($B11="","",VLOOKUP($B11,QUEUE!$F$11:$N$1999,3,FALSE))</f>
        <v>CITY</v>
      </c>
      <c r="E11" s="65" t="str">
        <f>IF($B11="","",VLOOKUP($B11,QUEUE!$F$11:$N$1999,4,FALSE))</f>
        <v>2กค569</v>
      </c>
      <c r="F11" s="65" t="str">
        <f>IF($B11="","",VLOOKUP($B11,QUEUE!$F$11:$N$1999,5,FALSE))</f>
        <v>โคม่า</v>
      </c>
      <c r="G11" s="65" t="str">
        <f>IF($B11="","",VLOOKUP($B11,QUEUE!$F$11:$N$1999,6,FALSE))</f>
        <v>ประกอบ+ขัด</v>
      </c>
      <c r="H11" s="73">
        <f>IF($B11="","",IF(VLOOKUP($B11,QUEUE!$F$11:$N$1999,8,FALSE)=0,"",VLOOKUP($B11,QUEUE!$F$11:$N$1999,8,FALSE)))</f>
        <v>0.6875</v>
      </c>
      <c r="I11" s="67" t="str">
        <f ca="1">IFERROR(IF($B11="","",VLOOKUP($B11,QUEUE!$F$11:$N$1999,9,FALSE)),"")</f>
        <v>ล่าช้า 0 ชม.24 นาที</v>
      </c>
      <c r="J11" s="68"/>
    </row>
    <row r="12" spans="1:10" s="69" customFormat="1" ht="39" customHeight="1" x14ac:dyDescent="0.4">
      <c r="A12" s="64"/>
      <c r="B12" s="70">
        <v>1712010</v>
      </c>
      <c r="C12" s="70" t="str">
        <f>IF($B12="","",VLOOKUP($B12,QUEUE!$F$11:$N$1999,2,FALSE))</f>
        <v>TOYOTA</v>
      </c>
      <c r="D12" s="71" t="str">
        <f>IF($B12="","",VLOOKUP($B12,QUEUE!$F$11:$N$1999,3,FALSE))</f>
        <v>VIGO</v>
      </c>
      <c r="E12" s="70" t="str">
        <f>IF($B12="","",VLOOKUP($B12,QUEUE!$F$11:$N$1999,4,FALSE))</f>
        <v>ฒว4359</v>
      </c>
      <c r="F12" s="70" t="str">
        <f>IF($B12="","",VLOOKUP($B12,QUEUE!$F$11:$N$1999,5,FALSE))</f>
        <v>โคม่า</v>
      </c>
      <c r="G12" s="70" t="str">
        <f>IF($B12="","",VLOOKUP($B12,QUEUE!$F$11:$N$1999,6,FALSE))</f>
        <v>ประกอบ+ขัด</v>
      </c>
      <c r="H12" s="74" t="str">
        <f>IF($B12="","",IF(VLOOKUP($B12,QUEUE!$F$11:$N$1999,8,FALSE)=0,"",VLOOKUP($B12,QUEUE!$F$11:$N$1999,8,FALSE)))</f>
        <v>แจ้งภายหลัง</v>
      </c>
      <c r="I12" s="72" t="str">
        <f>IFERROR(IF($B12="","",VLOOKUP($B12,QUEUE!$F$11:$N$1999,9,FALSE)),"")</f>
        <v>รอยืนยัน</v>
      </c>
      <c r="J12" s="68"/>
    </row>
    <row r="13" spans="1:10" s="69" customFormat="1" ht="39" customHeight="1" x14ac:dyDescent="0.4">
      <c r="A13" s="64"/>
      <c r="B13" s="65">
        <v>1709082</v>
      </c>
      <c r="C13" s="65" t="str">
        <f>IF($B13="","",VLOOKUP($B13,QUEUE!$F$11:$N$1999,2,FALSE))</f>
        <v>TOYOTA</v>
      </c>
      <c r="D13" s="66" t="str">
        <f>IF($B13="","",VLOOKUP($B13,QUEUE!$F$11:$N$1999,3,FALSE))</f>
        <v>FORTUNER</v>
      </c>
      <c r="E13" s="65" t="str">
        <f>IF($B13="","",VLOOKUP($B13,QUEUE!$F$11:$N$1999,4,FALSE))</f>
        <v>ชช169</v>
      </c>
      <c r="F13" s="65" t="str">
        <f>IF($B13="","",VLOOKUP($B13,QUEUE!$F$11:$N$1999,5,FALSE))</f>
        <v>รอบคัน</v>
      </c>
      <c r="G13" s="65" t="str">
        <f>IF($B13="","",VLOOKUP($B13,QUEUE!$F$11:$N$1999,6,FALSE))</f>
        <v>ประกอบ+ขัด</v>
      </c>
      <c r="H13" s="73" t="str">
        <f>IF($B13="","",IF(VLOOKUP($B13,QUEUE!$F$11:$N$1999,8,FALSE)=0,"",VLOOKUP($B13,QUEUE!$F$11:$N$1999,8,FALSE)))</f>
        <v>แจ้งภายหลัง</v>
      </c>
      <c r="I13" s="67" t="str">
        <f>IFERROR(IF($B13="","",VLOOKUP($B13,QUEUE!$F$11:$N$1999,9,FALSE)),"")</f>
        <v>รอยืนยัน</v>
      </c>
      <c r="J13" s="68"/>
    </row>
    <row r="14" spans="1:10" s="69" customFormat="1" ht="51" customHeight="1" x14ac:dyDescent="0.4">
      <c r="A14" s="64"/>
      <c r="B14" s="70">
        <v>1801080</v>
      </c>
      <c r="C14" s="70" t="str">
        <f>IF($B14="","",VLOOKUP($B14,QUEUE!$F$11:$N$1999,2,FALSE))</f>
        <v>FORD</v>
      </c>
      <c r="D14" s="71" t="str">
        <f>IF($B14="","",VLOOKUP($B14,QUEUE!$F$11:$N$1999,3,FALSE))</f>
        <v>RANGER</v>
      </c>
      <c r="E14" s="70" t="str">
        <f>IF($B14="","",VLOOKUP($B14,QUEUE!$F$11:$N$1999,4,FALSE))</f>
        <v>3กฆ6064</v>
      </c>
      <c r="F14" s="70" t="str">
        <f>IF($B14="","",VLOOKUP($B14,QUEUE!$F$11:$N$1999,5,FALSE))</f>
        <v>เบา</v>
      </c>
      <c r="G14" s="70" t="str">
        <f>IF($B14="","",VLOOKUP($B14,QUEUE!$F$11:$N$1999,6,FALSE))</f>
        <v>ประกอบ+ขัด</v>
      </c>
      <c r="H14" s="74">
        <f>IF($B14="","",IF(VLOOKUP($B14,QUEUE!$F$11:$N$1999,8,FALSE)=0,"",VLOOKUP($B14,QUEUE!$F$11:$N$1999,8,FALSE)))</f>
        <v>0.6875</v>
      </c>
      <c r="I14" s="72" t="str">
        <f ca="1">IFERROR(IF($B14="","",VLOOKUP($B14,QUEUE!$F$11:$N$1999,9,FALSE)),"")</f>
        <v>ล่าช้า 0 ชม.24 นาที</v>
      </c>
      <c r="J14" s="68"/>
    </row>
    <row r="15" spans="1:10" s="69" customFormat="1" ht="51" customHeight="1" x14ac:dyDescent="0.4">
      <c r="A15" s="64"/>
      <c r="B15" s="65">
        <v>1802009</v>
      </c>
      <c r="C15" s="65" t="str">
        <f>IF($B15="","",VLOOKUP($B15,QUEUE!$F$11:$N$1999,2,FALSE))</f>
        <v>TOYOTA</v>
      </c>
      <c r="D15" s="66" t="str">
        <f>IF($B15="","",VLOOKUP($B15,QUEUE!$F$11:$N$1999,3,FALSE))</f>
        <v>VIOS</v>
      </c>
      <c r="E15" s="65" t="str">
        <f>IF($B15="","",VLOOKUP($B15,QUEUE!$F$11:$N$1999,4,FALSE))</f>
        <v>กต1187</v>
      </c>
      <c r="F15" s="65" t="str">
        <f>IF($B15="","",VLOOKUP($B15,QUEUE!$F$11:$N$1999,5,FALSE))</f>
        <v>กลาง</v>
      </c>
      <c r="G15" s="65" t="str">
        <f>IF($B15="","",VLOOKUP($B15,QUEUE!$F$11:$N$1999,6,FALSE))</f>
        <v>ประกอบ+ขัด</v>
      </c>
      <c r="H15" s="73">
        <f>IF($B15="","",IF(VLOOKUP($B15,QUEUE!$F$11:$N$1999,8,FALSE)=0,"",VLOOKUP($B15,QUEUE!$F$11:$N$1999,8,FALSE)))</f>
        <v>0.66666666666666663</v>
      </c>
      <c r="I15" s="67" t="str">
        <f ca="1">IFERROR(IF($B15="","",VLOOKUP($B15,QUEUE!$F$11:$N$1999,9,FALSE)),"")</f>
        <v>ล่าช้า 0 ชม.54 นาที</v>
      </c>
      <c r="J15" s="68"/>
    </row>
    <row r="16" spans="1:10" s="69" customFormat="1" ht="51" customHeight="1" x14ac:dyDescent="0.4">
      <c r="A16" s="64"/>
      <c r="B16" s="70">
        <v>1712045</v>
      </c>
      <c r="C16" s="70" t="str">
        <f>IF($B16="","",VLOOKUP($B16,QUEUE!$F$11:$N$1999,2,FALSE))</f>
        <v>TOYOTA</v>
      </c>
      <c r="D16" s="71" t="str">
        <f>IF($B16="","",VLOOKUP($B16,QUEUE!$F$11:$N$1999,3,FALSE))</f>
        <v>VIGO</v>
      </c>
      <c r="E16" s="70" t="str">
        <f>IF($B16="","",VLOOKUP($B16,QUEUE!$F$11:$N$1999,4,FALSE))</f>
        <v>ถข5100</v>
      </c>
      <c r="F16" s="70" t="str">
        <f>IF($B16="","",VLOOKUP($B16,QUEUE!$F$11:$N$1999,5,FALSE))</f>
        <v>กลาง</v>
      </c>
      <c r="G16" s="70" t="str">
        <f>IF($B16="","",VLOOKUP($B16,QUEUE!$F$11:$N$1999,6,FALSE))</f>
        <v>ประกอบ+ขัด</v>
      </c>
      <c r="H16" s="74">
        <f>IF($B16="","",IF(VLOOKUP($B16,QUEUE!$F$11:$N$1999,8,FALSE)=0,"",VLOOKUP($B16,QUEUE!$F$11:$N$1999,8,FALSE)))</f>
        <v>0.625</v>
      </c>
      <c r="I16" s="72" t="str">
        <f ca="1">IFERROR(IF($B16="","",VLOOKUP($B16,QUEUE!$F$11:$N$1999,9,FALSE)),"")</f>
        <v>ล่าช้า 1 ชม.54 นาที</v>
      </c>
      <c r="J16" s="68"/>
    </row>
    <row r="17" spans="1:10" s="69" customFormat="1" ht="51" customHeight="1" x14ac:dyDescent="0.4">
      <c r="A17" s="64"/>
      <c r="B17" s="65">
        <v>1801060</v>
      </c>
      <c r="C17" s="65" t="str">
        <f>IF($B17="","",VLOOKUP($B17,QUEUE!$F$11:$N$1999,2,FALSE))</f>
        <v>TOYOTA</v>
      </c>
      <c r="D17" s="66" t="str">
        <f>IF($B17="","",VLOOKUP($B17,QUEUE!$F$11:$N$1999,3,FALSE))</f>
        <v>VIGO</v>
      </c>
      <c r="E17" s="65" t="str">
        <f>IF($B17="","",VLOOKUP($B17,QUEUE!$F$11:$N$1999,4,FALSE))</f>
        <v>ญถ7223</v>
      </c>
      <c r="F17" s="65" t="str">
        <f>IF($B17="","",VLOOKUP($B17,QUEUE!$F$11:$N$1999,5,FALSE))</f>
        <v>เบา</v>
      </c>
      <c r="G17" s="65" t="str">
        <f>IF($B17="","",VLOOKUP($B17,QUEUE!$F$11:$N$1999,6,FALSE))</f>
        <v>ประกอบ+ขัด</v>
      </c>
      <c r="H17" s="73" t="str">
        <f>IF($B17="","",IF(VLOOKUP($B17,QUEUE!$F$11:$N$1999,8,FALSE)=0,"",VLOOKUP($B17,QUEUE!$F$11:$N$1999,8,FALSE)))</f>
        <v>แจ้งภายหลัง</v>
      </c>
      <c r="I17" s="67" t="str">
        <f>IFERROR(IF($B17="","",VLOOKUP($B17,QUEUE!$F$11:$N$1999,9,FALSE)),"")</f>
        <v>รอยืนยัน</v>
      </c>
      <c r="J17" s="68"/>
    </row>
    <row r="18" spans="1:10" s="69" customFormat="1" ht="51" customHeight="1" x14ac:dyDescent="0.4">
      <c r="A18" s="64"/>
      <c r="B18" s="70">
        <v>1801082</v>
      </c>
      <c r="C18" s="70" t="str">
        <f>IF($B18="","",VLOOKUP($B18,QUEUE!$F$11:$N$1999,2,FALSE))</f>
        <v>MITSUBISHI</v>
      </c>
      <c r="D18" s="71" t="str">
        <f>IF($B18="","",VLOOKUP($B18,QUEUE!$F$11:$N$1999,3,FALSE))</f>
        <v>MIRAGE</v>
      </c>
      <c r="E18" s="70" t="str">
        <f>IF($B18="","",VLOOKUP($B18,QUEUE!$F$11:$N$1999,4,FALSE))</f>
        <v>1กส4156</v>
      </c>
      <c r="F18" s="70" t="str">
        <f>IF($B18="","",VLOOKUP($B18,QUEUE!$F$11:$N$1999,5,FALSE))</f>
        <v>กลาง</v>
      </c>
      <c r="G18" s="70" t="str">
        <f>IF($B18="","",VLOOKUP($B18,QUEUE!$F$11:$N$1999,6,FALSE))</f>
        <v>ประกอบ+ขัด</v>
      </c>
      <c r="H18" s="74" t="str">
        <f>IF($B18="","",IF(VLOOKUP($B18,QUEUE!$F$11:$N$1999,8,FALSE)=0,"",VLOOKUP($B18,QUEUE!$F$11:$N$1999,8,FALSE)))</f>
        <v>แจ้งภายหลัง</v>
      </c>
      <c r="I18" s="72" t="str">
        <f>IFERROR(IF($B18="","",VLOOKUP($B18,QUEUE!$F$11:$N$1999,9,FALSE)),"")</f>
        <v>รอยืนยัน</v>
      </c>
      <c r="J18" s="68"/>
    </row>
    <row r="19" spans="1:10" s="69" customFormat="1" ht="51" customHeight="1" x14ac:dyDescent="0.4">
      <c r="A19" s="64"/>
      <c r="B19" s="65">
        <v>1801047</v>
      </c>
      <c r="C19" s="65" t="str">
        <f>IF($B19="","",VLOOKUP($B19,QUEUE!$F$11:$N$1999,2,FALSE))</f>
        <v>ISUZU</v>
      </c>
      <c r="D19" s="66" t="str">
        <f>IF($B19="","",VLOOKUP($B19,QUEUE!$F$11:$N$1999,3,FALSE))</f>
        <v>SPACECAB</v>
      </c>
      <c r="E19" s="65" t="str">
        <f>IF($B19="","",VLOOKUP($B19,QUEUE!$F$11:$N$1999,4,FALSE))</f>
        <v>ฒต7725</v>
      </c>
      <c r="F19" s="65" t="str">
        <f>IF($B19="","",VLOOKUP($B19,QUEUE!$F$11:$N$1999,5,FALSE))</f>
        <v>เบา</v>
      </c>
      <c r="G19" s="65" t="str">
        <f>IF($B19="","",VLOOKUP($B19,QUEUE!$F$11:$N$1999,6,FALSE))</f>
        <v>ประกอบ+ขัด</v>
      </c>
      <c r="H19" s="73" t="str">
        <f>IF($B19="","",IF(VLOOKUP($B19,QUEUE!$F$11:$N$1999,8,FALSE)=0,"",VLOOKUP($B19,QUEUE!$F$11:$N$1999,8,FALSE)))</f>
        <v>แจ้งภายหลัง</v>
      </c>
      <c r="I19" s="67" t="str">
        <f>IFERROR(IF($B19="","",VLOOKUP($B19,QUEUE!$F$11:$N$1999,9,FALSE)),"")</f>
        <v>รอยืนยัน</v>
      </c>
      <c r="J19" s="68"/>
    </row>
    <row r="20" spans="1:10" s="69" customFormat="1" ht="51" customHeight="1" x14ac:dyDescent="0.4">
      <c r="A20" s="64"/>
      <c r="B20" s="70"/>
      <c r="C20" s="70" t="str">
        <f>IF($B20="","",VLOOKUP($B20,QUEUE!$F$11:$N$1999,2,FALSE))</f>
        <v/>
      </c>
      <c r="D20" s="71" t="str">
        <f>IF($B20="","",VLOOKUP($B20,QUEUE!$F$11:$N$1999,3,FALSE))</f>
        <v/>
      </c>
      <c r="E20" s="70" t="str">
        <f>IF($B20="","",VLOOKUP($B20,QUEUE!$F$11:$N$1999,4,FALSE))</f>
        <v/>
      </c>
      <c r="F20" s="70" t="str">
        <f>IF($B20="","",VLOOKUP($B20,QUEUE!$F$11:$N$1999,5,FALSE))</f>
        <v/>
      </c>
      <c r="G20" s="70" t="str">
        <f>IF($B20="","",VLOOKUP($B20,QUEUE!$F$11:$N$1999,6,FALSE))</f>
        <v/>
      </c>
      <c r="H20" s="74" t="str">
        <f>IF($B20="","",IF(VLOOKUP($B20,QUEUE!$F$11:$N$1999,8,FALSE)=0,"",VLOOKUP($B20,QUEUE!$F$11:$N$1999,8,FALSE)))</f>
        <v/>
      </c>
      <c r="I20" s="72" t="str">
        <f>IFERROR(IF($B20="","",VLOOKUP($B20,QUEUE!$F$11:$N$1999,9,FALSE)),"")</f>
        <v/>
      </c>
      <c r="J20" s="68"/>
    </row>
    <row r="21" spans="1:10" s="69" customFormat="1" ht="51" customHeight="1" x14ac:dyDescent="0.4">
      <c r="A21" s="64"/>
      <c r="B21" s="65"/>
      <c r="C21" s="65" t="str">
        <f>IF($B21="","",VLOOKUP($B21,QUEUE!$F$11:$N$1999,2,FALSE))</f>
        <v/>
      </c>
      <c r="D21" s="66" t="str">
        <f>IF($B21="","",VLOOKUP($B21,QUEUE!$F$11:$N$1999,3,FALSE))</f>
        <v/>
      </c>
      <c r="E21" s="65" t="str">
        <f>IF($B21="","",VLOOKUP($B21,QUEUE!$F$11:$N$1999,4,FALSE))</f>
        <v/>
      </c>
      <c r="F21" s="65" t="str">
        <f>IF($B21="","",VLOOKUP($B21,QUEUE!$F$11:$N$1999,5,FALSE))</f>
        <v/>
      </c>
      <c r="G21" s="65" t="str">
        <f>IF($B21="","",VLOOKUP($B21,QUEUE!$F$11:$N$1999,6,FALSE))</f>
        <v/>
      </c>
      <c r="H21" s="73" t="str">
        <f>IF($B21="","",IF(VLOOKUP($B21,QUEUE!$F$11:$N$1999,8,FALSE)=0,"",VLOOKUP($B21,QUEUE!$F$11:$N$1999,8,FALSE)))</f>
        <v/>
      </c>
      <c r="I21" s="67" t="str">
        <f>IFERROR(IF($B21="","",VLOOKUP($B21,QUEUE!$F$11:$N$1999,9,FALSE)),"")</f>
        <v/>
      </c>
      <c r="J21" s="68"/>
    </row>
    <row r="22" spans="1:10" s="69" customFormat="1" ht="51" customHeight="1" x14ac:dyDescent="0.4">
      <c r="A22" s="64"/>
      <c r="B22" s="70"/>
      <c r="C22" s="70" t="str">
        <f>IF($B22="","",VLOOKUP($B22,QUEUE!$F$11:$N$1999,2,FALSE))</f>
        <v/>
      </c>
      <c r="D22" s="71" t="str">
        <f>IF($B22="","",VLOOKUP($B22,QUEUE!$F$11:$N$1999,3,FALSE))</f>
        <v/>
      </c>
      <c r="E22" s="70" t="str">
        <f>IF($B22="","",VLOOKUP($B22,QUEUE!$F$11:$N$1999,4,FALSE))</f>
        <v/>
      </c>
      <c r="F22" s="70" t="str">
        <f>IF($B22="","",VLOOKUP($B22,QUEUE!$F$11:$N$1999,5,FALSE))</f>
        <v/>
      </c>
      <c r="G22" s="70" t="str">
        <f>IF($B22="","",VLOOKUP($B22,QUEUE!$F$11:$N$1999,6,FALSE))</f>
        <v/>
      </c>
      <c r="H22" s="74" t="str">
        <f>IF($B22="","",IF(VLOOKUP($B22,QUEUE!$F$11:$N$1999,8,FALSE)=0,"",VLOOKUP($B22,QUEUE!$F$11:$N$1999,8,FALSE)))</f>
        <v/>
      </c>
      <c r="I22" s="72" t="str">
        <f>IFERROR(IF($B22="","",VLOOKUP($B22,QUEUE!$F$11:$N$1999,9,FALSE)),"")</f>
        <v/>
      </c>
      <c r="J22" s="68"/>
    </row>
    <row r="23" spans="1:10" s="69" customFormat="1" ht="51" customHeight="1" x14ac:dyDescent="0.4">
      <c r="A23" s="64"/>
      <c r="B23" s="65"/>
      <c r="C23" s="65" t="str">
        <f>IF($B23="","",VLOOKUP($B23,QUEUE!$F$11:$N$1999,2,FALSE))</f>
        <v/>
      </c>
      <c r="D23" s="66" t="str">
        <f>IF($B23="","",VLOOKUP($B23,QUEUE!$F$11:$N$1999,3,FALSE))</f>
        <v/>
      </c>
      <c r="E23" s="65" t="str">
        <f>IF($B23="","",VLOOKUP($B23,QUEUE!$F$11:$N$1999,4,FALSE))</f>
        <v/>
      </c>
      <c r="F23" s="65" t="str">
        <f>IF($B23="","",VLOOKUP($B23,QUEUE!$F$11:$N$1999,5,FALSE))</f>
        <v/>
      </c>
      <c r="G23" s="65" t="str">
        <f>IF($B23="","",VLOOKUP($B23,QUEUE!$F$11:$N$1999,6,FALSE))</f>
        <v/>
      </c>
      <c r="H23" s="73" t="str">
        <f>IF($B23="","",IF(VLOOKUP($B23,QUEUE!$F$11:$N$1999,8,FALSE)=0,"",VLOOKUP($B23,QUEUE!$F$11:$N$1999,8,FALSE)))</f>
        <v/>
      </c>
      <c r="I23" s="67" t="str">
        <f>IFERROR(IF($B23="","",VLOOKUP($B23,QUEUE!$F$11:$N$1999,9,FALSE)),"")</f>
        <v/>
      </c>
      <c r="J23" s="68"/>
    </row>
    <row r="24" spans="1:10" s="69" customFormat="1" ht="51" customHeight="1" x14ac:dyDescent="0.4">
      <c r="A24" s="64"/>
      <c r="B24" s="70"/>
      <c r="C24" s="70" t="str">
        <f>IF($B24="","",VLOOKUP($B24,QUEUE!$F$11:$N$1999,2,FALSE))</f>
        <v/>
      </c>
      <c r="D24" s="71" t="str">
        <f>IF($B24="","",VLOOKUP($B24,QUEUE!$F$11:$N$1999,3,FALSE))</f>
        <v/>
      </c>
      <c r="E24" s="70" t="str">
        <f>IF($B24="","",VLOOKUP($B24,QUEUE!$F$11:$N$1999,4,FALSE))</f>
        <v/>
      </c>
      <c r="F24" s="70" t="str">
        <f>IF($B24="","",VLOOKUP($B24,QUEUE!$F$11:$N$1999,5,FALSE))</f>
        <v/>
      </c>
      <c r="G24" s="70" t="str">
        <f>IF($B24="","",VLOOKUP($B24,QUEUE!$F$11:$N$1999,6,FALSE))</f>
        <v/>
      </c>
      <c r="H24" s="74" t="str">
        <f>IF($B24="","",IF(VLOOKUP($B24,QUEUE!$F$11:$N$1999,8,FALSE)=0,"",VLOOKUP($B24,QUEUE!$F$11:$N$1999,8,FALSE)))</f>
        <v/>
      </c>
      <c r="I24" s="72" t="str">
        <f>IFERROR(IF($B24="","",VLOOKUP($B24,QUEUE!$F$11:$N$1999,9,FALSE)),"")</f>
        <v/>
      </c>
      <c r="J24" s="68"/>
    </row>
    <row r="25" spans="1:10" s="69" customFormat="1" ht="51" customHeight="1" x14ac:dyDescent="0.4">
      <c r="A25" s="64"/>
      <c r="B25" s="65"/>
      <c r="C25" s="65" t="str">
        <f>IF($B25="","",VLOOKUP($B25,QUEUE!$F$11:$N$1999,2,FALSE))</f>
        <v/>
      </c>
      <c r="D25" s="66" t="str">
        <f>IF($B25="","",VLOOKUP($B25,QUEUE!$F$11:$N$1999,3,FALSE))</f>
        <v/>
      </c>
      <c r="E25" s="65" t="str">
        <f>IF($B25="","",VLOOKUP($B25,QUEUE!$F$11:$N$1999,4,FALSE))</f>
        <v/>
      </c>
      <c r="F25" s="65" t="str">
        <f>IF($B25="","",VLOOKUP($B25,QUEUE!$F$11:$N$1999,5,FALSE))</f>
        <v/>
      </c>
      <c r="G25" s="65" t="str">
        <f>IF($B25="","",VLOOKUP($B25,QUEUE!$F$11:$N$1999,6,FALSE))</f>
        <v/>
      </c>
      <c r="H25" s="73" t="str">
        <f>IF($B25="","",IF(VLOOKUP($B25,QUEUE!$F$11:$N$1999,8,FALSE)=0,"",VLOOKUP($B25,QUEUE!$F$11:$N$1999,8,FALSE)))</f>
        <v/>
      </c>
      <c r="I25" s="67" t="str">
        <f>IFERROR(IF($B25="","",VLOOKUP($B25,QUEUE!$F$11:$N$1999,9,FALSE)),"")</f>
        <v/>
      </c>
      <c r="J25" s="68"/>
    </row>
    <row r="26" spans="1:10" s="69" customFormat="1" ht="51" customHeight="1" x14ac:dyDescent="0.4">
      <c r="A26" s="64"/>
      <c r="B26" s="70"/>
      <c r="C26" s="70" t="str">
        <f>IF($B26="","",VLOOKUP($B26,QUEUE!$F$11:$N$1999,2,FALSE))</f>
        <v/>
      </c>
      <c r="D26" s="71" t="str">
        <f>IF($B26="","",VLOOKUP($B26,QUEUE!$F$11:$N$1999,3,FALSE))</f>
        <v/>
      </c>
      <c r="E26" s="70" t="str">
        <f>IF($B26="","",VLOOKUP($B26,QUEUE!$F$11:$N$1999,4,FALSE))</f>
        <v/>
      </c>
      <c r="F26" s="70" t="str">
        <f>IF($B26="","",VLOOKUP($B26,QUEUE!$F$11:$N$1999,5,FALSE))</f>
        <v/>
      </c>
      <c r="G26" s="70" t="str">
        <f>IF($B26="","",VLOOKUP($B26,QUEUE!$F$11:$N$1999,6,FALSE))</f>
        <v/>
      </c>
      <c r="H26" s="74" t="str">
        <f>IF($B26="","",IF(VLOOKUP($B26,QUEUE!$F$11:$N$1999,8,FALSE)=0,"",VLOOKUP($B26,QUEUE!$F$11:$N$1999,8,FALSE)))</f>
        <v/>
      </c>
      <c r="I26" s="72" t="str">
        <f>IFERROR(IF($B26="","",VLOOKUP($B26,QUEUE!$F$11:$N$1999,9,FALSE)),"")</f>
        <v/>
      </c>
      <c r="J26" s="68"/>
    </row>
    <row r="27" spans="1:10" s="69" customFormat="1" ht="51" customHeight="1" x14ac:dyDescent="0.4">
      <c r="A27" s="64"/>
      <c r="B27" s="65"/>
      <c r="C27" s="65" t="str">
        <f>IF($B27="","",VLOOKUP($B27,QUEUE!$F$11:$N$1999,2,FALSE))</f>
        <v/>
      </c>
      <c r="D27" s="66" t="str">
        <f>IF($B27="","",VLOOKUP($B27,QUEUE!$F$11:$N$1999,3,FALSE))</f>
        <v/>
      </c>
      <c r="E27" s="65" t="str">
        <f>IF($B27="","",VLOOKUP($B27,QUEUE!$F$11:$N$1999,4,FALSE))</f>
        <v/>
      </c>
      <c r="F27" s="65" t="str">
        <f>IF($B27="","",VLOOKUP($B27,QUEUE!$F$11:$N$1999,5,FALSE))</f>
        <v/>
      </c>
      <c r="G27" s="65" t="str">
        <f>IF($B27="","",VLOOKUP($B27,QUEUE!$F$11:$N$1999,6,FALSE))</f>
        <v/>
      </c>
      <c r="H27" s="73" t="str">
        <f>IF($B27="","",IF(VLOOKUP($B27,QUEUE!$F$11:$N$1999,8,FALSE)=0,"",VLOOKUP($B27,QUEUE!$F$11:$N$1999,8,FALSE)))</f>
        <v/>
      </c>
      <c r="I27" s="67" t="str">
        <f>IFERROR(IF($B27="","",VLOOKUP($B27,QUEUE!$F$11:$N$1999,9,FALSE)),"")</f>
        <v/>
      </c>
      <c r="J27" s="68"/>
    </row>
    <row r="28" spans="1:10" s="69" customFormat="1" ht="51" customHeight="1" x14ac:dyDescent="0.4">
      <c r="A28" s="64"/>
      <c r="B28" s="70"/>
      <c r="C28" s="70" t="str">
        <f>IF($B28="","",VLOOKUP($B28,QUEUE!$F$11:$N$1999,2,FALSE))</f>
        <v/>
      </c>
      <c r="D28" s="71" t="str">
        <f>IF($B28="","",VLOOKUP($B28,QUEUE!$F$11:$N$1999,3,FALSE))</f>
        <v/>
      </c>
      <c r="E28" s="70" t="str">
        <f>IF($B28="","",VLOOKUP($B28,QUEUE!$F$11:$N$1999,4,FALSE))</f>
        <v/>
      </c>
      <c r="F28" s="70" t="str">
        <f>IF($B28="","",VLOOKUP($B28,QUEUE!$F$11:$N$1999,5,FALSE))</f>
        <v/>
      </c>
      <c r="G28" s="70" t="str">
        <f>IF($B28="","",VLOOKUP($B28,QUEUE!$F$11:$N$1999,6,FALSE))</f>
        <v/>
      </c>
      <c r="H28" s="74" t="str">
        <f>IF($B28="","",IF(VLOOKUP($B28,QUEUE!$F$11:$N$1999,8,FALSE)=0,"",VLOOKUP($B28,QUEUE!$F$11:$N$1999,8,FALSE)))</f>
        <v/>
      </c>
      <c r="I28" s="72" t="str">
        <f>IFERROR(IF($B28="","",VLOOKUP($B28,QUEUE!$F$11:$N$1999,9,FALSE)),"")</f>
        <v/>
      </c>
      <c r="J28" s="68"/>
    </row>
    <row r="29" spans="1:10" s="69" customFormat="1" ht="51" customHeight="1" x14ac:dyDescent="0.4">
      <c r="A29" s="64"/>
      <c r="B29" s="65"/>
      <c r="C29" s="65" t="str">
        <f>IF($B29="","",VLOOKUP($B29,QUEUE!$F$11:$N$1999,2,FALSE))</f>
        <v/>
      </c>
      <c r="D29" s="66" t="str">
        <f>IF($B29="","",VLOOKUP($B29,QUEUE!$F$11:$N$1999,3,FALSE))</f>
        <v/>
      </c>
      <c r="E29" s="65" t="str">
        <f>IF($B29="","",VLOOKUP($B29,QUEUE!$F$11:$N$1999,4,FALSE))</f>
        <v/>
      </c>
      <c r="F29" s="65" t="str">
        <f>IF($B29="","",VLOOKUP($B29,QUEUE!$F$11:$N$1999,5,FALSE))</f>
        <v/>
      </c>
      <c r="G29" s="65" t="str">
        <f>IF($B29="","",VLOOKUP($B29,QUEUE!$F$11:$N$1999,6,FALSE))</f>
        <v/>
      </c>
      <c r="H29" s="73" t="str">
        <f>IF($B29="","",IF(VLOOKUP($B29,QUEUE!$F$11:$N$1999,8,FALSE)=0,"",VLOOKUP($B29,QUEUE!$F$11:$N$1999,8,FALSE)))</f>
        <v/>
      </c>
      <c r="I29" s="67" t="str">
        <f>IFERROR(IF($B29="","",VLOOKUP($B29,QUEUE!$F$11:$N$1999,9,FALSE)),"")</f>
        <v/>
      </c>
      <c r="J29" s="68"/>
    </row>
    <row r="30" spans="1:10" s="69" customFormat="1" ht="51" customHeight="1" x14ac:dyDescent="0.4">
      <c r="A30" s="64"/>
      <c r="B30" s="70"/>
      <c r="C30" s="70" t="str">
        <f>IF($B30="","",VLOOKUP($B30,QUEUE!$F$11:$N$1999,2,FALSE))</f>
        <v/>
      </c>
      <c r="D30" s="71" t="str">
        <f>IF($B30="","",VLOOKUP($B30,QUEUE!$F$11:$N$1999,3,FALSE))</f>
        <v/>
      </c>
      <c r="E30" s="70" t="str">
        <f>IF($B30="","",VLOOKUP($B30,QUEUE!$F$11:$N$1999,4,FALSE))</f>
        <v/>
      </c>
      <c r="F30" s="70" t="str">
        <f>IF($B30="","",VLOOKUP($B30,QUEUE!$F$11:$N$1999,5,FALSE))</f>
        <v/>
      </c>
      <c r="G30" s="70" t="str">
        <f>IF($B30="","",VLOOKUP($B30,QUEUE!$F$11:$N$1999,6,FALSE))</f>
        <v/>
      </c>
      <c r="H30" s="74" t="str">
        <f>IF($B30="","",IF(VLOOKUP($B30,QUEUE!$F$11:$N$1999,8,FALSE)=0,"",VLOOKUP($B30,QUEUE!$F$11:$N$1999,8,FALSE)))</f>
        <v/>
      </c>
      <c r="I30" s="72" t="str">
        <f>IFERROR(IF($B30="","",VLOOKUP($B30,QUEUE!$F$11:$N$1999,9,FALSE)),"")</f>
        <v/>
      </c>
      <c r="J30" s="68"/>
    </row>
    <row r="31" spans="1:10" s="69" customFormat="1" ht="51" customHeight="1" x14ac:dyDescent="0.4">
      <c r="A31" s="64"/>
      <c r="B31" s="65"/>
      <c r="C31" s="65" t="str">
        <f>IF($B31="","",VLOOKUP($B31,QUEUE!$F$11:$N$1999,2,FALSE))</f>
        <v/>
      </c>
      <c r="D31" s="66" t="str">
        <f>IF($B31="","",VLOOKUP($B31,QUEUE!$F$11:$N$1999,3,FALSE))</f>
        <v/>
      </c>
      <c r="E31" s="65" t="str">
        <f>IF($B31="","",VLOOKUP($B31,QUEUE!$F$11:$N$1999,4,FALSE))</f>
        <v/>
      </c>
      <c r="F31" s="65" t="str">
        <f>IF($B31="","",VLOOKUP($B31,QUEUE!$F$11:$N$1999,5,FALSE))</f>
        <v/>
      </c>
      <c r="G31" s="65" t="str">
        <f>IF($B31="","",VLOOKUP($B31,QUEUE!$F$11:$N$1999,6,FALSE))</f>
        <v/>
      </c>
      <c r="H31" s="73" t="str">
        <f>IF($B31="","",IF(VLOOKUP($B31,QUEUE!$F$11:$N$1999,8,FALSE)=0,"",VLOOKUP($B31,QUEUE!$F$11:$N$1999,8,FALSE)))</f>
        <v/>
      </c>
      <c r="I31" s="67" t="str">
        <f>IFERROR(IF($B31="","",VLOOKUP($B31,QUEUE!$F$11:$N$1999,9,FALSE)),"")</f>
        <v/>
      </c>
      <c r="J31" s="68"/>
    </row>
    <row r="32" spans="1:10" s="69" customFormat="1" ht="51" customHeight="1" x14ac:dyDescent="0.4">
      <c r="A32" s="64"/>
      <c r="B32" s="70"/>
      <c r="C32" s="70" t="str">
        <f>IF($B32="","",VLOOKUP($B32,QUEUE!$F$11:$N$1999,2,FALSE))</f>
        <v/>
      </c>
      <c r="D32" s="71" t="str">
        <f>IF($B32="","",VLOOKUP($B32,QUEUE!$F$11:$N$1999,3,FALSE))</f>
        <v/>
      </c>
      <c r="E32" s="70" t="str">
        <f>IF($B32="","",VLOOKUP($B32,QUEUE!$F$11:$N$1999,4,FALSE))</f>
        <v/>
      </c>
      <c r="F32" s="70" t="str">
        <f>IF($B32="","",VLOOKUP($B32,QUEUE!$F$11:$N$1999,5,FALSE))</f>
        <v/>
      </c>
      <c r="G32" s="70" t="str">
        <f>IF($B32="","",VLOOKUP($B32,QUEUE!$F$11:$N$1999,6,FALSE))</f>
        <v/>
      </c>
      <c r="H32" s="74" t="str">
        <f>IF($B32="","",IF(VLOOKUP($B32,QUEUE!$F$11:$N$1999,8,FALSE)=0,"",VLOOKUP($B32,QUEUE!$F$11:$N$1999,8,FALSE)))</f>
        <v/>
      </c>
      <c r="I32" s="72" t="str">
        <f>IFERROR(IF($B32="","",VLOOKUP($B32,QUEUE!$F$11:$N$1999,9,FALSE)),"")</f>
        <v/>
      </c>
      <c r="J32" s="68"/>
    </row>
    <row r="33" spans="1:10" s="69" customFormat="1" ht="51" customHeight="1" x14ac:dyDescent="0.4">
      <c r="A33" s="64"/>
      <c r="B33" s="65"/>
      <c r="C33" s="65" t="str">
        <f>IF($B33="","",VLOOKUP($B33,QUEUE!$F$11:$N$1999,2,FALSE))</f>
        <v/>
      </c>
      <c r="D33" s="66" t="str">
        <f>IF($B33="","",VLOOKUP($B33,QUEUE!$F$11:$N$1999,3,FALSE))</f>
        <v/>
      </c>
      <c r="E33" s="65" t="str">
        <f>IF($B33="","",VLOOKUP($B33,QUEUE!$F$11:$N$1999,4,FALSE))</f>
        <v/>
      </c>
      <c r="F33" s="65" t="str">
        <f>IF($B33="","",VLOOKUP($B33,QUEUE!$F$11:$N$1999,5,FALSE))</f>
        <v/>
      </c>
      <c r="G33" s="65" t="str">
        <f>IF($B33="","",VLOOKUP($B33,QUEUE!$F$11:$N$1999,6,FALSE))</f>
        <v/>
      </c>
      <c r="H33" s="73" t="str">
        <f>IF($B33="","",IF(VLOOKUP($B33,QUEUE!$F$11:$N$1999,8,FALSE)=0,"",VLOOKUP($B33,QUEUE!$F$11:$N$1999,8,FALSE)))</f>
        <v/>
      </c>
      <c r="I33" s="67" t="str">
        <f>IFERROR(IF($B33="","",VLOOKUP($B33,QUEUE!$F$11:$N$1999,9,FALSE)),"")</f>
        <v/>
      </c>
      <c r="J33" s="68"/>
    </row>
    <row r="34" spans="1:10" s="69" customFormat="1" ht="51" customHeight="1" x14ac:dyDescent="0.4">
      <c r="A34" s="64"/>
      <c r="B34" s="70"/>
      <c r="C34" s="70" t="str">
        <f>IF($B34="","",VLOOKUP($B34,QUEUE!$F$11:$N$1999,2,FALSE))</f>
        <v/>
      </c>
      <c r="D34" s="71" t="str">
        <f>IF($B34="","",VLOOKUP($B34,QUEUE!$F$11:$N$1999,3,FALSE))</f>
        <v/>
      </c>
      <c r="E34" s="70" t="str">
        <f>IF($B34="","",VLOOKUP($B34,QUEUE!$F$11:$N$1999,4,FALSE))</f>
        <v/>
      </c>
      <c r="F34" s="70" t="str">
        <f>IF($B34="","",VLOOKUP($B34,QUEUE!$F$11:$N$1999,5,FALSE))</f>
        <v/>
      </c>
      <c r="G34" s="70" t="str">
        <f>IF($B34="","",VLOOKUP($B34,QUEUE!$F$11:$N$1999,6,FALSE))</f>
        <v/>
      </c>
      <c r="H34" s="74" t="str">
        <f>IF($B34="","",IF(VLOOKUP($B34,QUEUE!$F$11:$N$1999,8,FALSE)=0,"",VLOOKUP($B34,QUEUE!$F$11:$N$1999,8,FALSE)))</f>
        <v/>
      </c>
      <c r="I34" s="72" t="str">
        <f>IFERROR(IF($B34="","",VLOOKUP($B34,QUEUE!$F$11:$N$1999,9,FALSE)),"")</f>
        <v/>
      </c>
      <c r="J34" s="68"/>
    </row>
    <row r="35" spans="1:10" s="69" customFormat="1" ht="51" customHeight="1" x14ac:dyDescent="0.4">
      <c r="A35" s="64"/>
      <c r="B35" s="65"/>
      <c r="C35" s="65" t="str">
        <f>IF($B35="","",VLOOKUP($B35,QUEUE!$F$11:$N$1999,2,FALSE))</f>
        <v/>
      </c>
      <c r="D35" s="66" t="str">
        <f>IF($B35="","",VLOOKUP($B35,QUEUE!$F$11:$N$1999,3,FALSE))</f>
        <v/>
      </c>
      <c r="E35" s="65" t="str">
        <f>IF($B35="","",VLOOKUP($B35,QUEUE!$F$11:$N$1999,4,FALSE))</f>
        <v/>
      </c>
      <c r="F35" s="65" t="str">
        <f>IF($B35="","",VLOOKUP($B35,QUEUE!$F$11:$N$1999,5,FALSE))</f>
        <v/>
      </c>
      <c r="G35" s="65" t="str">
        <f>IF($B35="","",VLOOKUP($B35,QUEUE!$F$11:$N$1999,6,FALSE))</f>
        <v/>
      </c>
      <c r="H35" s="73" t="str">
        <f>IF($B35="","",IF(VLOOKUP($B35,QUEUE!$F$11:$N$1999,8,FALSE)=0,"",VLOOKUP($B35,QUEUE!$F$11:$N$1999,8,FALSE)))</f>
        <v/>
      </c>
      <c r="I35" s="67" t="str">
        <f>IFERROR(IF($B35="","",VLOOKUP($B35,QUEUE!$F$11:$N$1999,9,FALSE)),"")</f>
        <v/>
      </c>
      <c r="J35" s="68"/>
    </row>
    <row r="36" spans="1:10" s="69" customFormat="1" ht="51" customHeight="1" x14ac:dyDescent="0.4">
      <c r="A36" s="64"/>
      <c r="B36" s="70"/>
      <c r="C36" s="70" t="str">
        <f>IF($B36="","",VLOOKUP($B36,QUEUE!$F$11:$N$1999,2,FALSE))</f>
        <v/>
      </c>
      <c r="D36" s="71" t="str">
        <f>IF($B36="","",VLOOKUP($B36,QUEUE!$F$11:$N$1999,3,FALSE))</f>
        <v/>
      </c>
      <c r="E36" s="70" t="str">
        <f>IF($B36="","",VLOOKUP($B36,QUEUE!$F$11:$N$1999,4,FALSE))</f>
        <v/>
      </c>
      <c r="F36" s="70" t="str">
        <f>IF($B36="","",VLOOKUP($B36,QUEUE!$F$11:$N$1999,5,FALSE))</f>
        <v/>
      </c>
      <c r="G36" s="70" t="str">
        <f>IF($B36="","",VLOOKUP($B36,QUEUE!$F$11:$N$1999,6,FALSE))</f>
        <v/>
      </c>
      <c r="H36" s="74" t="str">
        <f>IF($B36="","",IF(VLOOKUP($B36,QUEUE!$F$11:$N$1999,8,FALSE)=0,"",VLOOKUP($B36,QUEUE!$F$11:$N$1999,8,FALSE)))</f>
        <v/>
      </c>
      <c r="I36" s="72" t="str">
        <f>IFERROR(IF($B36="","",VLOOKUP($B36,QUEUE!$F$11:$N$1999,9,FALSE)),"")</f>
        <v/>
      </c>
      <c r="J36" s="68"/>
    </row>
    <row r="37" spans="1:10" s="69" customFormat="1" ht="51" customHeight="1" x14ac:dyDescent="0.4">
      <c r="A37" s="64"/>
      <c r="B37" s="65"/>
      <c r="C37" s="65" t="str">
        <f>IF($B37="","",VLOOKUP($B37,QUEUE!$F$11:$N$1999,2,FALSE))</f>
        <v/>
      </c>
      <c r="D37" s="66" t="str">
        <f>IF($B37="","",VLOOKUP($B37,QUEUE!$F$11:$N$1999,3,FALSE))</f>
        <v/>
      </c>
      <c r="E37" s="65" t="str">
        <f>IF($B37="","",VLOOKUP($B37,QUEUE!$F$11:$N$1999,4,FALSE))</f>
        <v/>
      </c>
      <c r="F37" s="65" t="str">
        <f>IF($B37="","",VLOOKUP($B37,QUEUE!$F$11:$N$1999,5,FALSE))</f>
        <v/>
      </c>
      <c r="G37" s="65" t="str">
        <f>IF($B37="","",VLOOKUP($B37,QUEUE!$F$11:$N$1999,6,FALSE))</f>
        <v/>
      </c>
      <c r="H37" s="73" t="str">
        <f>IF($B37="","",IF(VLOOKUP($B37,QUEUE!$F$11:$N$1999,8,FALSE)=0,"",VLOOKUP($B37,QUEUE!$F$11:$N$1999,8,FALSE)))</f>
        <v/>
      </c>
      <c r="I37" s="67" t="str">
        <f>IFERROR(IF($B37="","",VLOOKUP($B37,QUEUE!$F$11:$N$1999,9,FALSE)),"")</f>
        <v/>
      </c>
      <c r="J37" s="68"/>
    </row>
    <row r="38" spans="1:10" s="69" customFormat="1" ht="51" customHeight="1" x14ac:dyDescent="0.4">
      <c r="A38" s="64"/>
      <c r="B38" s="70"/>
      <c r="C38" s="70" t="str">
        <f>IF($B38="","",VLOOKUP($B38,QUEUE!$F$11:$N$1999,2,FALSE))</f>
        <v/>
      </c>
      <c r="D38" s="71" t="str">
        <f>IF($B38="","",VLOOKUP($B38,QUEUE!$F$11:$N$1999,3,FALSE))</f>
        <v/>
      </c>
      <c r="E38" s="70" t="str">
        <f>IF($B38="","",VLOOKUP($B38,QUEUE!$F$11:$N$1999,4,FALSE))</f>
        <v/>
      </c>
      <c r="F38" s="70" t="str">
        <f>IF($B38="","",VLOOKUP($B38,QUEUE!$F$11:$N$1999,5,FALSE))</f>
        <v/>
      </c>
      <c r="G38" s="70" t="str">
        <f>IF($B38="","",VLOOKUP($B38,QUEUE!$F$11:$N$1999,6,FALSE))</f>
        <v/>
      </c>
      <c r="H38" s="74" t="str">
        <f>IF($B38="","",IF(VLOOKUP($B38,QUEUE!$F$11:$N$1999,8,FALSE)=0,"",VLOOKUP($B38,QUEUE!$F$11:$N$1999,8,FALSE)))</f>
        <v/>
      </c>
      <c r="I38" s="72" t="str">
        <f>IFERROR(IF($B38="","",VLOOKUP($B38,QUEUE!$F$11:$N$1999,9,FALSE)),"")</f>
        <v/>
      </c>
      <c r="J38" s="68"/>
    </row>
    <row r="39" spans="1:10" s="69" customFormat="1" ht="51" customHeight="1" x14ac:dyDescent="0.4">
      <c r="A39" s="64"/>
      <c r="B39" s="65"/>
      <c r="C39" s="65" t="str">
        <f>IF($B39="","",VLOOKUP($B39,QUEUE!$F$11:$N$1999,2,FALSE))</f>
        <v/>
      </c>
      <c r="D39" s="66" t="str">
        <f>IF($B39="","",VLOOKUP($B39,QUEUE!$F$11:$N$1999,3,FALSE))</f>
        <v/>
      </c>
      <c r="E39" s="65" t="str">
        <f>IF($B39="","",VLOOKUP($B39,QUEUE!$F$11:$N$1999,4,FALSE))</f>
        <v/>
      </c>
      <c r="F39" s="65" t="str">
        <f>IF($B39="","",VLOOKUP($B39,QUEUE!$F$11:$N$1999,5,FALSE))</f>
        <v/>
      </c>
      <c r="G39" s="65" t="str">
        <f>IF($B39="","",VLOOKUP($B39,QUEUE!$F$11:$N$1999,6,FALSE))</f>
        <v/>
      </c>
      <c r="H39" s="73" t="str">
        <f>IF($B39="","",IF(VLOOKUP($B39,QUEUE!$F$11:$N$1999,8,FALSE)=0,"",VLOOKUP($B39,QUEUE!$F$11:$N$1999,8,FALSE)))</f>
        <v/>
      </c>
      <c r="I39" s="67" t="str">
        <f>IFERROR(IF($B39="","",VLOOKUP($B39,QUEUE!$F$11:$N$1999,9,FALSE)),"")</f>
        <v/>
      </c>
      <c r="J39" s="68"/>
    </row>
    <row r="40" spans="1:10" s="69" customFormat="1" ht="51" customHeight="1" x14ac:dyDescent="0.4">
      <c r="A40" s="64"/>
      <c r="B40" s="70"/>
      <c r="C40" s="70" t="str">
        <f>IF($B40="","",VLOOKUP($B40,QUEUE!$F$11:$N$1999,2,FALSE))</f>
        <v/>
      </c>
      <c r="D40" s="71" t="str">
        <f>IF($B40="","",VLOOKUP($B40,QUEUE!$F$11:$N$1999,3,FALSE))</f>
        <v/>
      </c>
      <c r="E40" s="70" t="str">
        <f>IF($B40="","",VLOOKUP($B40,QUEUE!$F$11:$N$1999,4,FALSE))</f>
        <v/>
      </c>
      <c r="F40" s="70" t="str">
        <f>IF($B40="","",VLOOKUP($B40,QUEUE!$F$11:$N$1999,5,FALSE))</f>
        <v/>
      </c>
      <c r="G40" s="70" t="str">
        <f>IF($B40="","",VLOOKUP($B40,QUEUE!$F$11:$N$1999,6,FALSE))</f>
        <v/>
      </c>
      <c r="H40" s="74" t="str">
        <f>IF($B40="","",IF(VLOOKUP($B40,QUEUE!$F$11:$N$1999,8,FALSE)=0,"",VLOOKUP($B40,QUEUE!$F$11:$N$1999,8,FALSE)))</f>
        <v/>
      </c>
      <c r="I40" s="72" t="str">
        <f>IFERROR(IF($B40="","",VLOOKUP($B40,QUEUE!$F$11:$N$1999,9,FALSE)),"")</f>
        <v/>
      </c>
      <c r="J40" s="68"/>
    </row>
    <row r="41" spans="1:10" s="69" customFormat="1" ht="51" customHeight="1" x14ac:dyDescent="0.4">
      <c r="A41" s="64"/>
      <c r="B41" s="65"/>
      <c r="C41" s="65" t="str">
        <f>IF($B41="","",VLOOKUP($B41,QUEUE!$F$11:$N$1999,2,FALSE))</f>
        <v/>
      </c>
      <c r="D41" s="66" t="str">
        <f>IF($B41="","",VLOOKUP($B41,QUEUE!$F$11:$N$1999,3,FALSE))</f>
        <v/>
      </c>
      <c r="E41" s="65" t="str">
        <f>IF($B41="","",VLOOKUP($B41,QUEUE!$F$11:$N$1999,4,FALSE))</f>
        <v/>
      </c>
      <c r="F41" s="65" t="str">
        <f>IF($B41="","",VLOOKUP($B41,QUEUE!$F$11:$N$1999,5,FALSE))</f>
        <v/>
      </c>
      <c r="G41" s="65" t="str">
        <f>IF($B41="","",VLOOKUP($B41,QUEUE!$F$11:$N$1999,6,FALSE))</f>
        <v/>
      </c>
      <c r="H41" s="73" t="str">
        <f>IF($B41="","",IF(VLOOKUP($B41,QUEUE!$F$11:$N$1999,8,FALSE)=0,"",VLOOKUP($B41,QUEUE!$F$11:$N$1999,8,FALSE)))</f>
        <v/>
      </c>
      <c r="I41" s="67" t="str">
        <f>IFERROR(IF($B41="","",VLOOKUP($B41,QUEUE!$F$11:$N$1999,9,FALSE)),"")</f>
        <v/>
      </c>
      <c r="J41" s="68"/>
    </row>
    <row r="42" spans="1:10" s="69" customFormat="1" ht="51" customHeight="1" x14ac:dyDescent="0.4">
      <c r="A42" s="64"/>
      <c r="B42" s="70"/>
      <c r="C42" s="70" t="str">
        <f>IF($B42="","",VLOOKUP($B42,QUEUE!$F$11:$N$1999,2,FALSE))</f>
        <v/>
      </c>
      <c r="D42" s="71" t="str">
        <f>IF($B42="","",VLOOKUP($B42,QUEUE!$F$11:$N$1999,3,FALSE))</f>
        <v/>
      </c>
      <c r="E42" s="70" t="str">
        <f>IF($B42="","",VLOOKUP($B42,QUEUE!$F$11:$N$1999,4,FALSE))</f>
        <v/>
      </c>
      <c r="F42" s="70" t="str">
        <f>IF($B42="","",VLOOKUP($B42,QUEUE!$F$11:$N$1999,5,FALSE))</f>
        <v/>
      </c>
      <c r="G42" s="70" t="str">
        <f>IF($B42="","",VLOOKUP($B42,QUEUE!$F$11:$N$1999,6,FALSE))</f>
        <v/>
      </c>
      <c r="H42" s="74" t="str">
        <f>IF($B42="","",IF(VLOOKUP($B42,QUEUE!$F$11:$N$1999,8,FALSE)=0,"",VLOOKUP($B42,QUEUE!$F$11:$N$1999,8,FALSE)))</f>
        <v/>
      </c>
      <c r="I42" s="72" t="str">
        <f>IFERROR(IF($B42="","",VLOOKUP($B42,QUEUE!$F$11:$N$1999,9,FALSE)),"")</f>
        <v/>
      </c>
      <c r="J42" s="68"/>
    </row>
    <row r="43" spans="1:10" s="69" customFormat="1" ht="51" customHeight="1" x14ac:dyDescent="0.4">
      <c r="A43" s="64"/>
      <c r="B43" s="65"/>
      <c r="C43" s="65" t="str">
        <f>IF($B43="","",VLOOKUP($B43,QUEUE!$F$11:$N$1999,2,FALSE))</f>
        <v/>
      </c>
      <c r="D43" s="66" t="str">
        <f>IF($B43="","",VLOOKUP($B43,QUEUE!$F$11:$N$1999,3,FALSE))</f>
        <v/>
      </c>
      <c r="E43" s="65" t="str">
        <f>IF($B43="","",VLOOKUP($B43,QUEUE!$F$11:$N$1999,4,FALSE))</f>
        <v/>
      </c>
      <c r="F43" s="65" t="str">
        <f>IF($B43="","",VLOOKUP($B43,QUEUE!$F$11:$N$1999,5,FALSE))</f>
        <v/>
      </c>
      <c r="G43" s="65" t="str">
        <f>IF($B43="","",VLOOKUP($B43,QUEUE!$F$11:$N$1999,6,FALSE))</f>
        <v/>
      </c>
      <c r="H43" s="73" t="str">
        <f>IF($B43="","",IF(VLOOKUP($B43,QUEUE!$F$11:$N$1999,8,FALSE)=0,"",VLOOKUP($B43,QUEUE!$F$11:$N$1999,8,FALSE)))</f>
        <v/>
      </c>
      <c r="I43" s="67" t="str">
        <f>IFERROR(IF($B43="","",VLOOKUP($B43,QUEUE!$F$11:$N$1999,9,FALSE)),"")</f>
        <v/>
      </c>
      <c r="J43" s="68"/>
    </row>
    <row r="44" spans="1:10" s="69" customFormat="1" ht="51" customHeight="1" x14ac:dyDescent="0.4">
      <c r="A44" s="64"/>
      <c r="B44" s="70"/>
      <c r="C44" s="70" t="str">
        <f>IF($B44="","",VLOOKUP($B44,QUEUE!$F$11:$N$1999,2,FALSE))</f>
        <v/>
      </c>
      <c r="D44" s="71" t="str">
        <f>IF($B44="","",VLOOKUP($B44,QUEUE!$F$11:$N$1999,3,FALSE))</f>
        <v/>
      </c>
      <c r="E44" s="70" t="str">
        <f>IF($B44="","",VLOOKUP($B44,QUEUE!$F$11:$N$1999,4,FALSE))</f>
        <v/>
      </c>
      <c r="F44" s="70" t="str">
        <f>IF($B44="","",VLOOKUP($B44,QUEUE!$F$11:$N$1999,5,FALSE))</f>
        <v/>
      </c>
      <c r="G44" s="70" t="str">
        <f>IF($B44="","",VLOOKUP($B44,QUEUE!$F$11:$N$1999,6,FALSE))</f>
        <v/>
      </c>
      <c r="H44" s="74" t="str">
        <f>IF($B44="","",IF(VLOOKUP($B44,QUEUE!$F$11:$N$1999,8,FALSE)=0,"",VLOOKUP($B44,QUEUE!$F$11:$N$1999,8,FALSE)))</f>
        <v/>
      </c>
      <c r="I44" s="72" t="str">
        <f>IFERROR(IF($B44="","",VLOOKUP($B44,QUEUE!$F$11:$N$1999,9,FALSE)),"")</f>
        <v/>
      </c>
      <c r="J44" s="68"/>
    </row>
    <row r="45" spans="1:10" s="69" customFormat="1" ht="51" customHeight="1" x14ac:dyDescent="0.4">
      <c r="A45" s="64"/>
      <c r="B45" s="65"/>
      <c r="C45" s="65" t="str">
        <f>IF($B45="","",VLOOKUP($B45,QUEUE!$F$11:$N$1999,2,FALSE))</f>
        <v/>
      </c>
      <c r="D45" s="66" t="str">
        <f>IF($B45="","",VLOOKUP($B45,QUEUE!$F$11:$N$1999,3,FALSE))</f>
        <v/>
      </c>
      <c r="E45" s="65" t="str">
        <f>IF($B45="","",VLOOKUP($B45,QUEUE!$F$11:$N$1999,4,FALSE))</f>
        <v/>
      </c>
      <c r="F45" s="65" t="str">
        <f>IF($B45="","",VLOOKUP($B45,QUEUE!$F$11:$N$1999,5,FALSE))</f>
        <v/>
      </c>
      <c r="G45" s="65" t="str">
        <f>IF($B45="","",VLOOKUP($B45,QUEUE!$F$11:$N$1999,6,FALSE))</f>
        <v/>
      </c>
      <c r="H45" s="73" t="str">
        <f>IF($B45="","",IF(VLOOKUP($B45,QUEUE!$F$11:$N$1999,8,FALSE)=0,"",VLOOKUP($B45,QUEUE!$F$11:$N$1999,8,FALSE)))</f>
        <v/>
      </c>
      <c r="I45" s="67" t="str">
        <f>IFERROR(IF($B45="","",VLOOKUP($B45,QUEUE!$F$11:$N$1999,9,FALSE)),"")</f>
        <v/>
      </c>
      <c r="J45" s="68"/>
    </row>
    <row r="46" spans="1:10" s="69" customFormat="1" ht="51" customHeight="1" x14ac:dyDescent="0.4">
      <c r="A46" s="64"/>
      <c r="B46" s="70"/>
      <c r="C46" s="70" t="str">
        <f>IF($B46="","",VLOOKUP($B46,QUEUE!$F$11:$N$1999,2,FALSE))</f>
        <v/>
      </c>
      <c r="D46" s="71" t="str">
        <f>IF($B46="","",VLOOKUP($B46,QUEUE!$F$11:$N$1999,3,FALSE))</f>
        <v/>
      </c>
      <c r="E46" s="70" t="str">
        <f>IF($B46="","",VLOOKUP($B46,QUEUE!$F$11:$N$1999,4,FALSE))</f>
        <v/>
      </c>
      <c r="F46" s="70" t="str">
        <f>IF($B46="","",VLOOKUP($B46,QUEUE!$F$11:$N$1999,5,FALSE))</f>
        <v/>
      </c>
      <c r="G46" s="70" t="str">
        <f>IF($B46="","",VLOOKUP($B46,QUEUE!$F$11:$N$1999,6,FALSE))</f>
        <v/>
      </c>
      <c r="H46" s="74" t="str">
        <f>IF($B46="","",IF(VLOOKUP($B46,QUEUE!$F$11:$N$1999,8,FALSE)=0,"",VLOOKUP($B46,QUEUE!$F$11:$N$1999,8,FALSE)))</f>
        <v/>
      </c>
      <c r="I46" s="72" t="str">
        <f>IFERROR(IF($B46="","",VLOOKUP($B46,QUEUE!$F$11:$N$1999,9,FALSE)),"")</f>
        <v/>
      </c>
      <c r="J46" s="68"/>
    </row>
    <row r="47" spans="1:10" s="69" customFormat="1" ht="51" customHeight="1" x14ac:dyDescent="0.4">
      <c r="A47" s="64"/>
      <c r="B47" s="65"/>
      <c r="C47" s="65" t="str">
        <f>IF($B47="","",VLOOKUP($B47,QUEUE!$F$11:$N$1999,2,FALSE))</f>
        <v/>
      </c>
      <c r="D47" s="66" t="str">
        <f>IF($B47="","",VLOOKUP($B47,QUEUE!$F$11:$N$1999,3,FALSE))</f>
        <v/>
      </c>
      <c r="E47" s="65" t="str">
        <f>IF($B47="","",VLOOKUP($B47,QUEUE!$F$11:$N$1999,4,FALSE))</f>
        <v/>
      </c>
      <c r="F47" s="65" t="str">
        <f>IF($B47="","",VLOOKUP($B47,QUEUE!$F$11:$N$1999,5,FALSE))</f>
        <v/>
      </c>
      <c r="G47" s="65" t="str">
        <f>IF($B47="","",VLOOKUP($B47,QUEUE!$F$11:$N$1999,6,FALSE))</f>
        <v/>
      </c>
      <c r="H47" s="73" t="str">
        <f>IF($B47="","",IF(VLOOKUP($B47,QUEUE!$F$11:$N$1999,8,FALSE)=0,"",VLOOKUP($B47,QUEUE!$F$11:$N$1999,8,FALSE)))</f>
        <v/>
      </c>
      <c r="I47" s="67" t="str">
        <f>IFERROR(IF($B47="","",VLOOKUP($B47,QUEUE!$F$11:$N$1999,9,FALSE)),"")</f>
        <v/>
      </c>
      <c r="J47" s="68"/>
    </row>
    <row r="48" spans="1:10" s="69" customFormat="1" ht="51" customHeight="1" x14ac:dyDescent="0.4">
      <c r="A48" s="64"/>
      <c r="B48" s="70"/>
      <c r="C48" s="70" t="str">
        <f>IF($B48="","",VLOOKUP($B48,QUEUE!$F$11:$N$1999,2,FALSE))</f>
        <v/>
      </c>
      <c r="D48" s="71" t="str">
        <f>IF($B48="","",VLOOKUP($B48,QUEUE!$F$11:$N$1999,3,FALSE))</f>
        <v/>
      </c>
      <c r="E48" s="70" t="str">
        <f>IF($B48="","",VLOOKUP($B48,QUEUE!$F$11:$N$1999,4,FALSE))</f>
        <v/>
      </c>
      <c r="F48" s="70" t="str">
        <f>IF($B48="","",VLOOKUP($B48,QUEUE!$F$11:$N$1999,5,FALSE))</f>
        <v/>
      </c>
      <c r="G48" s="70" t="str">
        <f>IF($B48="","",VLOOKUP($B48,QUEUE!$F$11:$N$1999,6,FALSE))</f>
        <v/>
      </c>
      <c r="H48" s="74" t="str">
        <f>IF($B48="","",IF(VLOOKUP($B48,QUEUE!$F$11:$N$1999,8,FALSE)=0,"",VLOOKUP($B48,QUEUE!$F$11:$N$1999,8,FALSE)))</f>
        <v/>
      </c>
      <c r="I48" s="72" t="str">
        <f>IFERROR(IF($B48="","",VLOOKUP($B48,QUEUE!$F$11:$N$1999,9,FALSE)),"")</f>
        <v/>
      </c>
      <c r="J48" s="68"/>
    </row>
    <row r="49" spans="1:10" s="69" customFormat="1" ht="51" customHeight="1" x14ac:dyDescent="0.4">
      <c r="A49" s="64"/>
      <c r="B49" s="65"/>
      <c r="C49" s="65" t="str">
        <f>IF($B49="","",VLOOKUP($B49,QUEUE!$F$11:$N$1999,2,FALSE))</f>
        <v/>
      </c>
      <c r="D49" s="66" t="str">
        <f>IF($B49="","",VLOOKUP($B49,QUEUE!$F$11:$N$1999,3,FALSE))</f>
        <v/>
      </c>
      <c r="E49" s="65" t="str">
        <f>IF($B49="","",VLOOKUP($B49,QUEUE!$F$11:$N$1999,4,FALSE))</f>
        <v/>
      </c>
      <c r="F49" s="65" t="str">
        <f>IF($B49="","",VLOOKUP($B49,QUEUE!$F$11:$N$1999,5,FALSE))</f>
        <v/>
      </c>
      <c r="G49" s="65" t="str">
        <f>IF($B49="","",VLOOKUP($B49,QUEUE!$F$11:$N$1999,6,FALSE))</f>
        <v/>
      </c>
      <c r="H49" s="73" t="str">
        <f>IF($B49="","",IF(VLOOKUP($B49,QUEUE!$F$11:$N$1999,8,FALSE)=0,"",VLOOKUP($B49,QUEUE!$F$11:$N$1999,8,FALSE)))</f>
        <v/>
      </c>
      <c r="I49" s="67" t="str">
        <f>IFERROR(IF($B49="","",VLOOKUP($B49,QUEUE!$F$11:$N$1999,9,FALSE)),"")</f>
        <v/>
      </c>
      <c r="J49" s="68"/>
    </row>
    <row r="50" spans="1:10" s="69" customFormat="1" ht="51" customHeight="1" x14ac:dyDescent="0.4">
      <c r="A50" s="64"/>
      <c r="B50" s="70"/>
      <c r="C50" s="70" t="str">
        <f>IF($B50="","",VLOOKUP($B50,QUEUE!$F$11:$N$1999,2,FALSE))</f>
        <v/>
      </c>
      <c r="D50" s="71" t="str">
        <f>IF($B50="","",VLOOKUP($B50,QUEUE!$F$11:$N$1999,3,FALSE))</f>
        <v/>
      </c>
      <c r="E50" s="70" t="str">
        <f>IF($B50="","",VLOOKUP($B50,QUEUE!$F$11:$N$1999,4,FALSE))</f>
        <v/>
      </c>
      <c r="F50" s="70" t="str">
        <f>IF($B50="","",VLOOKUP($B50,QUEUE!$F$11:$N$1999,5,FALSE))</f>
        <v/>
      </c>
      <c r="G50" s="70" t="str">
        <f>IF($B50="","",VLOOKUP($B50,QUEUE!$F$11:$N$1999,6,FALSE))</f>
        <v/>
      </c>
      <c r="H50" s="74" t="str">
        <f>IF($B50="","",IF(VLOOKUP($B50,QUEUE!$F$11:$N$1999,8,FALSE)=0,"",VLOOKUP($B50,QUEUE!$F$11:$N$1999,8,FALSE)))</f>
        <v/>
      </c>
      <c r="I50" s="72" t="str">
        <f>IFERROR(IF($B50="","",VLOOKUP($B50,QUEUE!$F$11:$N$1999,9,FALSE)),"")</f>
        <v/>
      </c>
      <c r="J50" s="68"/>
    </row>
    <row r="51" spans="1:10" ht="30" x14ac:dyDescent="0.4">
      <c r="C51" s="35" t="str">
        <f>IF($B51="","",VLOOKUP($B51,QUEUE!$F$11:$N$1999,2,FALSE))</f>
        <v/>
      </c>
      <c r="D51" s="39" t="str">
        <f>IF($B51="","",VLOOKUP($B51,QUEUE!$F$11:$N$1999,3,FALSE))</f>
        <v/>
      </c>
      <c r="E51" s="35" t="str">
        <f>IF($B51="","",VLOOKUP($B51,QUEUE!$F$11:$N$1999,4,FALSE))</f>
        <v/>
      </c>
      <c r="F51" s="35" t="str">
        <f>IF($B51="","",VLOOKUP($B51,QUEUE!$F$11:$N$1999,5,FALSE))</f>
        <v/>
      </c>
      <c r="G51" s="35" t="str">
        <f>IF($B51="","",VLOOKUP($B51,QUEUE!$F$11:$N$1999,6,FALSE))</f>
        <v/>
      </c>
      <c r="H51" s="75" t="str">
        <f>IF($B51="","",IF(VLOOKUP($B51,QUEUE!$F$11:$N$1999,8,FALSE)=0,"",VLOOKUP($B51,QUEUE!$F$11:$N$1999,8,FALSE)))</f>
        <v/>
      </c>
      <c r="I51" s="67" t="str">
        <f>IFERROR(IF($B51="","",VLOOKUP($B51,QUEUE!$F$11:$N$1999,9,FALSE)),"")</f>
        <v/>
      </c>
    </row>
    <row r="52" spans="1:10" ht="30" x14ac:dyDescent="0.4">
      <c r="B52" s="36"/>
      <c r="C52" s="36" t="str">
        <f>IF($B52="","",VLOOKUP($B52,QUEUE!$F$11:$N$1999,2,FALSE))</f>
        <v/>
      </c>
      <c r="D52" s="40" t="str">
        <f>IF($B52="","",VLOOKUP($B52,QUEUE!$F$11:$N$1999,3,FALSE))</f>
        <v/>
      </c>
      <c r="E52" s="36" t="str">
        <f>IF($B52="","",VLOOKUP($B52,QUEUE!$F$11:$N$1999,4,FALSE))</f>
        <v/>
      </c>
      <c r="F52" s="36" t="str">
        <f>IF($B52="","",VLOOKUP($B52,QUEUE!$F$11:$N$1999,5,FALSE))</f>
        <v/>
      </c>
      <c r="G52" s="36" t="str">
        <f>IF($B52="","",VLOOKUP($B52,QUEUE!$F$11:$N$1999,6,FALSE))</f>
        <v/>
      </c>
      <c r="H52" s="76" t="str">
        <f>IF($B52="","",IF(VLOOKUP($B52,QUEUE!$F$11:$N$1999,8,FALSE)=0,"",VLOOKUP($B52,QUEUE!$F$11:$N$1999,8,FALSE)))</f>
        <v/>
      </c>
      <c r="I52" s="72" t="str">
        <f>IFERROR(IF($B52="","",VLOOKUP($B52,QUEUE!$F$11:$N$1999,9,FALSE)),"")</f>
        <v/>
      </c>
    </row>
    <row r="53" spans="1:10" ht="30" x14ac:dyDescent="0.4">
      <c r="C53" s="35" t="str">
        <f>IF($B53="","",VLOOKUP($B53,QUEUE!$F$11:$N$1999,2,FALSE))</f>
        <v/>
      </c>
      <c r="D53" s="39" t="str">
        <f>IF($B53="","",VLOOKUP($B53,QUEUE!$F$11:$N$1999,3,FALSE))</f>
        <v/>
      </c>
      <c r="E53" s="35" t="str">
        <f>IF($B53="","",VLOOKUP($B53,QUEUE!$F$11:$N$1999,4,FALSE))</f>
        <v/>
      </c>
      <c r="F53" s="35" t="str">
        <f>IF($B53="","",VLOOKUP($B53,QUEUE!$F$11:$N$1999,5,FALSE))</f>
        <v/>
      </c>
      <c r="G53" s="35" t="str">
        <f>IF($B53="","",VLOOKUP($B53,QUEUE!$F$11:$N$1999,6,FALSE))</f>
        <v/>
      </c>
      <c r="H53" s="75" t="str">
        <f>IF($B53="","",IF(VLOOKUP($B53,QUEUE!$F$11:$N$1999,8,FALSE)=0,"",VLOOKUP($B53,QUEUE!$F$11:$N$1999,8,FALSE)))</f>
        <v/>
      </c>
      <c r="I53" s="67" t="str">
        <f>IFERROR(IF($B53="","",VLOOKUP($B53,QUEUE!$F$11:$N$1999,9,FALSE)),"")</f>
        <v/>
      </c>
    </row>
    <row r="54" spans="1:10" ht="30" x14ac:dyDescent="0.4">
      <c r="B54" s="36"/>
      <c r="C54" s="36" t="str">
        <f>IF($B54="","",VLOOKUP($B54,QUEUE!$F$11:$N$1999,2,FALSE))</f>
        <v/>
      </c>
      <c r="D54" s="40" t="str">
        <f>IF($B54="","",VLOOKUP($B54,QUEUE!$F$11:$N$1999,3,FALSE))</f>
        <v/>
      </c>
      <c r="E54" s="36" t="str">
        <f>IF($B54="","",VLOOKUP($B54,QUEUE!$F$11:$N$1999,4,FALSE))</f>
        <v/>
      </c>
      <c r="F54" s="36" t="str">
        <f>IF($B54="","",VLOOKUP($B54,QUEUE!$F$11:$N$1999,5,FALSE))</f>
        <v/>
      </c>
      <c r="G54" s="36" t="str">
        <f>IF($B54="","",VLOOKUP($B54,QUEUE!$F$11:$N$1999,6,FALSE))</f>
        <v/>
      </c>
      <c r="H54" s="76" t="str">
        <f>IF($B54="","",IF(VLOOKUP($B54,QUEUE!$F$11:$N$1999,8,FALSE)=0,"",VLOOKUP($B54,QUEUE!$F$11:$N$1999,8,FALSE)))</f>
        <v/>
      </c>
      <c r="I54" s="72" t="str">
        <f>IFERROR(IF($B54="","",VLOOKUP($B54,QUEUE!$F$11:$N$1999,9,FALSE)),"")</f>
        <v/>
      </c>
    </row>
    <row r="55" spans="1:10" ht="30" x14ac:dyDescent="0.4">
      <c r="C55" s="35" t="str">
        <f>IF($B55="","",VLOOKUP($B55,QUEUE!$F$11:$N$1999,2,FALSE))</f>
        <v/>
      </c>
      <c r="D55" s="39" t="str">
        <f>IF($B55="","",VLOOKUP($B55,QUEUE!$F$11:$N$1999,3,FALSE))</f>
        <v/>
      </c>
      <c r="E55" s="35" t="str">
        <f>IF($B55="","",VLOOKUP($B55,QUEUE!$F$11:$N$1999,4,FALSE))</f>
        <v/>
      </c>
      <c r="F55" s="35" t="str">
        <f>IF($B55="","",VLOOKUP($B55,QUEUE!$F$11:$N$1999,5,FALSE))</f>
        <v/>
      </c>
      <c r="G55" s="35" t="str">
        <f>IF($B55="","",VLOOKUP($B55,QUEUE!$F$11:$N$1999,6,FALSE))</f>
        <v/>
      </c>
      <c r="H55" s="75" t="str">
        <f>IF($B55="","",IF(VLOOKUP($B55,QUEUE!$F$11:$N$1999,8,FALSE)=0,"",VLOOKUP($B55,QUEUE!$F$11:$N$1999,8,FALSE)))</f>
        <v/>
      </c>
      <c r="I55" s="67" t="str">
        <f>IFERROR(IF($B55="","",VLOOKUP($B55,QUEUE!$F$11:$N$1999,9,FALSE)),"")</f>
        <v/>
      </c>
    </row>
    <row r="56" spans="1:10" ht="30" x14ac:dyDescent="0.4">
      <c r="B56" s="36"/>
      <c r="C56" s="36" t="str">
        <f>IF($B56="","",VLOOKUP($B56,QUEUE!$F$11:$N$1999,2,FALSE))</f>
        <v/>
      </c>
      <c r="D56" s="40" t="str">
        <f>IF($B56="","",VLOOKUP($B56,QUEUE!$F$11:$N$1999,3,FALSE))</f>
        <v/>
      </c>
      <c r="E56" s="36" t="str">
        <f>IF($B56="","",VLOOKUP($B56,QUEUE!$F$11:$N$1999,4,FALSE))</f>
        <v/>
      </c>
      <c r="F56" s="36" t="str">
        <f>IF($B56="","",VLOOKUP($B56,QUEUE!$F$11:$N$1999,5,FALSE))</f>
        <v/>
      </c>
      <c r="G56" s="36" t="str">
        <f>IF($B56="","",VLOOKUP($B56,QUEUE!$F$11:$N$1999,6,FALSE))</f>
        <v/>
      </c>
      <c r="H56" s="76" t="str">
        <f>IF($B56="","",IF(VLOOKUP($B56,QUEUE!$F$11:$N$1999,8,FALSE)=0,"",VLOOKUP($B56,QUEUE!$F$11:$N$1999,8,FALSE)))</f>
        <v/>
      </c>
      <c r="I56" s="72" t="str">
        <f>IFERROR(IF($B56="","",VLOOKUP($B56,QUEUE!$F$11:$N$1999,9,FALSE)),"")</f>
        <v/>
      </c>
    </row>
    <row r="57" spans="1:10" ht="30" x14ac:dyDescent="0.4">
      <c r="C57" s="35" t="str">
        <f>IF($B57="","",VLOOKUP($B57,QUEUE!$F$11:$N$1999,2,FALSE))</f>
        <v/>
      </c>
      <c r="D57" s="39" t="str">
        <f>IF($B57="","",VLOOKUP($B57,QUEUE!$F$11:$N$1999,3,FALSE))</f>
        <v/>
      </c>
      <c r="E57" s="35" t="str">
        <f>IF($B57="","",VLOOKUP($B57,QUEUE!$F$11:$N$1999,4,FALSE))</f>
        <v/>
      </c>
      <c r="F57" s="35" t="str">
        <f>IF($B57="","",VLOOKUP($B57,QUEUE!$F$11:$N$1999,5,FALSE))</f>
        <v/>
      </c>
      <c r="G57" s="35" t="str">
        <f>IF($B57="","",VLOOKUP($B57,QUEUE!$F$11:$N$1999,6,FALSE))</f>
        <v/>
      </c>
      <c r="H57" s="75" t="str">
        <f>IF($B57="","",IF(VLOOKUP($B57,QUEUE!$F$11:$N$1999,8,FALSE)=0,"",VLOOKUP($B57,QUEUE!$F$11:$N$1999,8,FALSE)))</f>
        <v/>
      </c>
      <c r="I57" s="67" t="str">
        <f>IFERROR(IF($B57="","",VLOOKUP($B57,QUEUE!$F$11:$N$1999,9,FALSE)),"")</f>
        <v/>
      </c>
    </row>
    <row r="58" spans="1:10" ht="30" x14ac:dyDescent="0.4">
      <c r="B58" s="36"/>
      <c r="C58" s="36" t="str">
        <f>IF($B58="","",VLOOKUP($B58,QUEUE!$F$11:$N$1999,2,FALSE))</f>
        <v/>
      </c>
      <c r="D58" s="40" t="str">
        <f>IF($B58="","",VLOOKUP($B58,QUEUE!$F$11:$N$1999,3,FALSE))</f>
        <v/>
      </c>
      <c r="E58" s="36" t="str">
        <f>IF($B58="","",VLOOKUP($B58,QUEUE!$F$11:$N$1999,4,FALSE))</f>
        <v/>
      </c>
      <c r="F58" s="36" t="str">
        <f>IF($B58="","",VLOOKUP($B58,QUEUE!$F$11:$N$1999,5,FALSE))</f>
        <v/>
      </c>
      <c r="G58" s="36" t="str">
        <f>IF($B58="","",VLOOKUP($B58,QUEUE!$F$11:$N$1999,6,FALSE))</f>
        <v/>
      </c>
      <c r="H58" s="76" t="str">
        <f>IF($B58="","",IF(VLOOKUP($B58,QUEUE!$F$11:$N$1999,8,FALSE)=0,"",VLOOKUP($B58,QUEUE!$F$11:$N$1999,8,FALSE)))</f>
        <v/>
      </c>
      <c r="I58" s="72" t="str">
        <f>IFERROR(IF($B58="","",VLOOKUP($B58,QUEUE!$F$11:$N$1999,9,FALSE)),"")</f>
        <v/>
      </c>
    </row>
    <row r="59" spans="1:10" ht="30" x14ac:dyDescent="0.4">
      <c r="C59" s="35" t="str">
        <f>IF($B59="","",VLOOKUP($B59,QUEUE!$F$11:$N$1999,2,FALSE))</f>
        <v/>
      </c>
      <c r="D59" s="39" t="str">
        <f>IF($B59="","",VLOOKUP($B59,QUEUE!$F$11:$N$1999,3,FALSE))</f>
        <v/>
      </c>
      <c r="E59" s="35" t="str">
        <f>IF($B59="","",VLOOKUP($B59,QUEUE!$F$11:$N$1999,4,FALSE))</f>
        <v/>
      </c>
      <c r="F59" s="35" t="str">
        <f>IF($B59="","",VLOOKUP($B59,QUEUE!$F$11:$N$1999,5,FALSE))</f>
        <v/>
      </c>
      <c r="G59" s="35" t="str">
        <f>IF($B59="","",VLOOKUP($B59,QUEUE!$F$11:$N$1999,6,FALSE))</f>
        <v/>
      </c>
      <c r="H59" s="75" t="str">
        <f>IF($B59="","",IF(VLOOKUP($B59,QUEUE!$F$11:$N$1999,8,FALSE)=0,"",VLOOKUP($B59,QUEUE!$F$11:$N$1999,8,FALSE)))</f>
        <v/>
      </c>
      <c r="I59" s="67" t="str">
        <f>IFERROR(IF($B59="","",VLOOKUP($B59,QUEUE!$F$11:$N$1999,9,FALSE)),"")</f>
        <v/>
      </c>
    </row>
    <row r="60" spans="1:10" ht="30" x14ac:dyDescent="0.4">
      <c r="B60" s="36"/>
      <c r="C60" s="36" t="str">
        <f>IF($B60="","",VLOOKUP($B60,QUEUE!$F$11:$N$1999,2,FALSE))</f>
        <v/>
      </c>
      <c r="D60" s="40" t="str">
        <f>IF($B60="","",VLOOKUP($B60,QUEUE!$F$11:$N$1999,3,FALSE))</f>
        <v/>
      </c>
      <c r="E60" s="36" t="str">
        <f>IF($B60="","",VLOOKUP($B60,QUEUE!$F$11:$N$1999,4,FALSE))</f>
        <v/>
      </c>
      <c r="F60" s="36" t="str">
        <f>IF($B60="","",VLOOKUP($B60,QUEUE!$F$11:$N$1999,5,FALSE))</f>
        <v/>
      </c>
      <c r="G60" s="36" t="str">
        <f>IF($B60="","",VLOOKUP($B60,QUEUE!$F$11:$N$1999,6,FALSE))</f>
        <v/>
      </c>
      <c r="H60" s="76" t="str">
        <f>IF($B60="","",IF(VLOOKUP($B60,QUEUE!$F$11:$N$1999,8,FALSE)=0,"",VLOOKUP($B60,QUEUE!$F$11:$N$1999,8,FALSE)))</f>
        <v/>
      </c>
      <c r="I60" s="72" t="str">
        <f>IFERROR(IF($B60="","",VLOOKUP($B60,QUEUE!$F$11:$N$1999,9,FALSE)),"")</f>
        <v/>
      </c>
    </row>
    <row r="61" spans="1:10" ht="30" x14ac:dyDescent="0.4">
      <c r="C61" s="35" t="str">
        <f>IF($B61="","",VLOOKUP($B61,QUEUE!$F$11:$N$1999,2,FALSE))</f>
        <v/>
      </c>
      <c r="D61" s="39" t="str">
        <f>IF($B61="","",VLOOKUP($B61,QUEUE!$F$11:$N$1999,3,FALSE))</f>
        <v/>
      </c>
      <c r="E61" s="35" t="str">
        <f>IF($B61="","",VLOOKUP($B61,QUEUE!$F$11:$N$1999,4,FALSE))</f>
        <v/>
      </c>
      <c r="F61" s="35" t="str">
        <f>IF($B61="","",VLOOKUP($B61,QUEUE!$F$11:$N$1999,5,FALSE))</f>
        <v/>
      </c>
      <c r="G61" s="35" t="str">
        <f>IF($B61="","",VLOOKUP($B61,QUEUE!$F$11:$N$1999,6,FALSE))</f>
        <v/>
      </c>
      <c r="H61" s="75" t="str">
        <f>IF($B61="","",IF(VLOOKUP($B61,QUEUE!$F$11:$N$1999,8,FALSE)=0,"",VLOOKUP($B61,QUEUE!$F$11:$N$1999,8,FALSE)))</f>
        <v/>
      </c>
      <c r="I61" s="67" t="str">
        <f>IFERROR(IF($B61="","",VLOOKUP($B61,QUEUE!$F$11:$N$1999,9,FALSE)),"")</f>
        <v/>
      </c>
    </row>
    <row r="62" spans="1:10" ht="30" x14ac:dyDescent="0.4">
      <c r="B62" s="36"/>
      <c r="C62" s="36" t="str">
        <f>IF($B62="","",VLOOKUP($B62,QUEUE!$F$11:$N$1999,2,FALSE))</f>
        <v/>
      </c>
      <c r="D62" s="40" t="str">
        <f>IF($B62="","",VLOOKUP($B62,QUEUE!$F$11:$N$1999,3,FALSE))</f>
        <v/>
      </c>
      <c r="E62" s="36" t="str">
        <f>IF($B62="","",VLOOKUP($B62,QUEUE!$F$11:$N$1999,4,FALSE))</f>
        <v/>
      </c>
      <c r="F62" s="36" t="str">
        <f>IF($B62="","",VLOOKUP($B62,QUEUE!$F$11:$N$1999,5,FALSE))</f>
        <v/>
      </c>
      <c r="G62" s="36" t="str">
        <f>IF($B62="","",VLOOKUP($B62,QUEUE!$F$11:$N$1999,6,FALSE))</f>
        <v/>
      </c>
      <c r="H62" s="76" t="str">
        <f>IF($B62="","",IF(VLOOKUP($B62,QUEUE!$F$11:$N$1999,8,FALSE)=0,"",VLOOKUP($B62,QUEUE!$F$11:$N$1999,8,FALSE)))</f>
        <v/>
      </c>
      <c r="I62" s="72" t="str">
        <f>IFERROR(IF($B62="","",VLOOKUP($B62,QUEUE!$F$11:$N$1999,9,FALSE)),"")</f>
        <v/>
      </c>
    </row>
    <row r="63" spans="1:10" ht="30" x14ac:dyDescent="0.4">
      <c r="C63" s="35" t="str">
        <f>IF($B63="","",VLOOKUP($B63,QUEUE!$F$11:$N$1999,2,FALSE))</f>
        <v/>
      </c>
      <c r="D63" s="39" t="str">
        <f>IF($B63="","",VLOOKUP($B63,QUEUE!$F$11:$N$1999,3,FALSE))</f>
        <v/>
      </c>
      <c r="E63" s="35" t="str">
        <f>IF($B63="","",VLOOKUP($B63,QUEUE!$F$11:$N$1999,4,FALSE))</f>
        <v/>
      </c>
      <c r="F63" s="35" t="str">
        <f>IF($B63="","",VLOOKUP($B63,QUEUE!$F$11:$N$1999,5,FALSE))</f>
        <v/>
      </c>
      <c r="G63" s="35" t="str">
        <f>IF($B63="","",VLOOKUP($B63,QUEUE!$F$11:$N$1999,6,FALSE))</f>
        <v/>
      </c>
      <c r="H63" s="75" t="str">
        <f>IF($B63="","",IF(VLOOKUP($B63,QUEUE!$F$11:$N$1999,8,FALSE)=0,"",VLOOKUP($B63,QUEUE!$F$11:$N$1999,8,FALSE)))</f>
        <v/>
      </c>
      <c r="I63" s="67" t="str">
        <f>IFERROR(IF($B63="","",VLOOKUP($B63,QUEUE!$F$11:$N$1999,9,FALSE)),"")</f>
        <v/>
      </c>
    </row>
    <row r="64" spans="1:10" ht="30" x14ac:dyDescent="0.4">
      <c r="B64" s="36"/>
      <c r="C64" s="36" t="str">
        <f>IF($B64="","",VLOOKUP($B64,QUEUE!$F$11:$N$1999,2,FALSE))</f>
        <v/>
      </c>
      <c r="D64" s="40" t="str">
        <f>IF($B64="","",VLOOKUP($B64,QUEUE!$F$11:$N$1999,3,FALSE))</f>
        <v/>
      </c>
      <c r="E64" s="36" t="str">
        <f>IF($B64="","",VLOOKUP($B64,QUEUE!$F$11:$N$1999,4,FALSE))</f>
        <v/>
      </c>
      <c r="F64" s="36" t="str">
        <f>IF($B64="","",VLOOKUP($B64,QUEUE!$F$11:$N$1999,5,FALSE))</f>
        <v/>
      </c>
      <c r="G64" s="36" t="str">
        <f>IF($B64="","",VLOOKUP($B64,QUEUE!$F$11:$N$1999,6,FALSE))</f>
        <v/>
      </c>
      <c r="H64" s="76" t="str">
        <f>IF($B64="","",IF(VLOOKUP($B64,QUEUE!$F$11:$N$1999,8,FALSE)=0,"",VLOOKUP($B64,QUEUE!$F$11:$N$1999,8,FALSE)))</f>
        <v/>
      </c>
      <c r="I64" s="72" t="str">
        <f>IFERROR(IF($B64="","",VLOOKUP($B64,QUEUE!$F$11:$N$1999,9,FALSE)),"")</f>
        <v/>
      </c>
    </row>
    <row r="65" spans="2:9" ht="30" x14ac:dyDescent="0.4">
      <c r="C65" s="35" t="str">
        <f>IF($B65="","",VLOOKUP($B65,QUEUE!$F$11:$N$1999,2,FALSE))</f>
        <v/>
      </c>
      <c r="D65" s="39" t="str">
        <f>IF($B65="","",VLOOKUP($B65,QUEUE!$F$11:$N$1999,3,FALSE))</f>
        <v/>
      </c>
      <c r="E65" s="35" t="str">
        <f>IF($B65="","",VLOOKUP($B65,QUEUE!$F$11:$N$1999,4,FALSE))</f>
        <v/>
      </c>
      <c r="F65" s="35" t="str">
        <f>IF($B65="","",VLOOKUP($B65,QUEUE!$F$11:$N$1999,5,FALSE))</f>
        <v/>
      </c>
      <c r="G65" s="35" t="str">
        <f>IF($B65="","",VLOOKUP($B65,QUEUE!$F$11:$N$1999,6,FALSE))</f>
        <v/>
      </c>
      <c r="H65" s="75" t="str">
        <f>IF($B65="","",IF(VLOOKUP($B65,QUEUE!$F$11:$N$1999,8,FALSE)=0,"",VLOOKUP($B65,QUEUE!$F$11:$N$1999,8,FALSE)))</f>
        <v/>
      </c>
      <c r="I65" s="67" t="str">
        <f>IFERROR(IF($B65="","",VLOOKUP($B65,QUEUE!$F$11:$N$1999,9,FALSE)),"")</f>
        <v/>
      </c>
    </row>
    <row r="66" spans="2:9" ht="30" x14ac:dyDescent="0.4">
      <c r="B66" s="36"/>
      <c r="C66" s="36" t="str">
        <f>IF($B66="","",VLOOKUP($B66,QUEUE!$F$11:$N$1999,2,FALSE))</f>
        <v/>
      </c>
      <c r="D66" s="40" t="str">
        <f>IF($B66="","",VLOOKUP($B66,QUEUE!$F$11:$N$1999,3,FALSE))</f>
        <v/>
      </c>
      <c r="E66" s="36" t="str">
        <f>IF($B66="","",VLOOKUP($B66,QUEUE!$F$11:$N$1999,4,FALSE))</f>
        <v/>
      </c>
      <c r="F66" s="36" t="str">
        <f>IF($B66="","",VLOOKUP($B66,QUEUE!$F$11:$N$1999,5,FALSE))</f>
        <v/>
      </c>
      <c r="G66" s="36" t="str">
        <f>IF($B66="","",VLOOKUP($B66,QUEUE!$F$11:$N$1999,6,FALSE))</f>
        <v/>
      </c>
      <c r="H66" s="76" t="str">
        <f>IF($B66="","",IF(VLOOKUP($B66,QUEUE!$F$11:$N$1999,8,FALSE)=0,"",VLOOKUP($B66,QUEUE!$F$11:$N$1999,8,FALSE)))</f>
        <v/>
      </c>
      <c r="I66" s="72" t="str">
        <f>IFERROR(IF($B66="","",VLOOKUP($B66,QUEUE!$F$11:$N$1999,9,FALSE)),"")</f>
        <v/>
      </c>
    </row>
    <row r="67" spans="2:9" ht="30" x14ac:dyDescent="0.4">
      <c r="C67" s="35" t="str">
        <f>IF($B67="","",VLOOKUP($B67,QUEUE!$F$11:$N$1999,2,FALSE))</f>
        <v/>
      </c>
      <c r="D67" s="39" t="str">
        <f>IF($B67="","",VLOOKUP($B67,QUEUE!$F$11:$N$1999,3,FALSE))</f>
        <v/>
      </c>
      <c r="E67" s="35" t="str">
        <f>IF($B67="","",VLOOKUP($B67,QUEUE!$F$11:$N$1999,4,FALSE))</f>
        <v/>
      </c>
      <c r="F67" s="35" t="str">
        <f>IF($B67="","",VLOOKUP($B67,QUEUE!$F$11:$N$1999,5,FALSE))</f>
        <v/>
      </c>
      <c r="G67" s="35" t="str">
        <f>IF($B67="","",VLOOKUP($B67,QUEUE!$F$11:$N$1999,6,FALSE))</f>
        <v/>
      </c>
      <c r="H67" s="75" t="str">
        <f>IF($B67="","",IF(VLOOKUP($B67,QUEUE!$F$11:$N$1999,8,FALSE)=0,"",VLOOKUP($B67,QUEUE!$F$11:$N$1999,8,FALSE)))</f>
        <v/>
      </c>
      <c r="I67" s="67" t="str">
        <f>IFERROR(IF($B67="","",VLOOKUP($B67,QUEUE!$F$11:$N$1999,9,FALSE)),"")</f>
        <v/>
      </c>
    </row>
    <row r="68" spans="2:9" ht="30" x14ac:dyDescent="0.4">
      <c r="B68" s="36"/>
      <c r="C68" s="36" t="str">
        <f>IF($B68="","",VLOOKUP($B68,QUEUE!$F$11:$N$1999,2,FALSE))</f>
        <v/>
      </c>
      <c r="D68" s="40" t="str">
        <f>IF($B68="","",VLOOKUP($B68,QUEUE!$F$11:$N$1999,3,FALSE))</f>
        <v/>
      </c>
      <c r="E68" s="36" t="str">
        <f>IF($B68="","",VLOOKUP($B68,QUEUE!$F$11:$N$1999,4,FALSE))</f>
        <v/>
      </c>
      <c r="F68" s="36" t="str">
        <f>IF($B68="","",VLOOKUP($B68,QUEUE!$F$11:$N$1999,5,FALSE))</f>
        <v/>
      </c>
      <c r="G68" s="36" t="str">
        <f>IF($B68="","",VLOOKUP($B68,QUEUE!$F$11:$N$1999,6,FALSE))</f>
        <v/>
      </c>
      <c r="H68" s="76" t="str">
        <f>IF($B68="","",IF(VLOOKUP($B68,QUEUE!$F$11:$N$1999,8,FALSE)=0,"",VLOOKUP($B68,QUEUE!$F$11:$N$1999,8,FALSE)))</f>
        <v/>
      </c>
      <c r="I68" s="72" t="str">
        <f>IFERROR(IF($B68="","",VLOOKUP($B68,QUEUE!$F$11:$N$1999,9,FALSE)),"")</f>
        <v/>
      </c>
    </row>
    <row r="69" spans="2:9" ht="30" x14ac:dyDescent="0.4">
      <c r="C69" s="35" t="str">
        <f>IF($B69="","",VLOOKUP($B69,QUEUE!$F$11:$N$1999,2,FALSE))</f>
        <v/>
      </c>
      <c r="D69" s="39" t="str">
        <f>IF($B69="","",VLOOKUP($B69,QUEUE!$F$11:$N$1999,3,FALSE))</f>
        <v/>
      </c>
      <c r="E69" s="35" t="str">
        <f>IF($B69="","",VLOOKUP($B69,QUEUE!$F$11:$N$1999,4,FALSE))</f>
        <v/>
      </c>
      <c r="F69" s="35" t="str">
        <f>IF($B69="","",VLOOKUP($B69,QUEUE!$F$11:$N$1999,5,FALSE))</f>
        <v/>
      </c>
      <c r="G69" s="35" t="str">
        <f>IF($B69="","",VLOOKUP($B69,QUEUE!$F$11:$N$1999,6,FALSE))</f>
        <v/>
      </c>
      <c r="H69" s="75" t="str">
        <f>IF($B69="","",IF(VLOOKUP($B69,QUEUE!$F$11:$N$1999,8,FALSE)=0,"",VLOOKUP($B69,QUEUE!$F$11:$N$1999,8,FALSE)))</f>
        <v/>
      </c>
      <c r="I69" s="67" t="str">
        <f>IFERROR(IF($B69="","",VLOOKUP($B69,QUEUE!$F$11:$N$1999,9,FALSE)),"")</f>
        <v/>
      </c>
    </row>
    <row r="70" spans="2:9" ht="30" x14ac:dyDescent="0.4">
      <c r="B70" s="36"/>
      <c r="C70" s="36" t="str">
        <f>IF($B70="","",VLOOKUP($B70,QUEUE!$F$11:$N$1999,2,FALSE))</f>
        <v/>
      </c>
      <c r="D70" s="40" t="str">
        <f>IF($B70="","",VLOOKUP($B70,QUEUE!$F$11:$N$1999,3,FALSE))</f>
        <v/>
      </c>
      <c r="E70" s="36" t="str">
        <f>IF($B70="","",VLOOKUP($B70,QUEUE!$F$11:$N$1999,4,FALSE))</f>
        <v/>
      </c>
      <c r="F70" s="36" t="str">
        <f>IF($B70="","",VLOOKUP($B70,QUEUE!$F$11:$N$1999,5,FALSE))</f>
        <v/>
      </c>
      <c r="G70" s="36" t="str">
        <f>IF($B70="","",VLOOKUP($B70,QUEUE!$F$11:$N$1999,6,FALSE))</f>
        <v/>
      </c>
      <c r="H70" s="76" t="str">
        <f>IF($B70="","",IF(VLOOKUP($B70,QUEUE!$F$11:$N$1999,8,FALSE)=0,"",VLOOKUP($B70,QUEUE!$F$11:$N$1999,8,FALSE)))</f>
        <v/>
      </c>
      <c r="I70" s="72" t="str">
        <f>IFERROR(IF($B70="","",VLOOKUP($B70,QUEUE!$F$11:$N$1999,9,FALSE)),"")</f>
        <v/>
      </c>
    </row>
    <row r="71" spans="2:9" ht="30" x14ac:dyDescent="0.4">
      <c r="C71" s="35" t="str">
        <f>IF($B71="","",VLOOKUP($B71,QUEUE!$F$11:$N$1999,2,FALSE))</f>
        <v/>
      </c>
      <c r="D71" s="39" t="str">
        <f>IF($B71="","",VLOOKUP($B71,QUEUE!$F$11:$N$1999,3,FALSE))</f>
        <v/>
      </c>
      <c r="E71" s="35" t="str">
        <f>IF($B71="","",VLOOKUP($B71,QUEUE!$F$11:$N$1999,4,FALSE))</f>
        <v/>
      </c>
      <c r="F71" s="35" t="str">
        <f>IF($B71="","",VLOOKUP($B71,QUEUE!$F$11:$N$1999,5,FALSE))</f>
        <v/>
      </c>
      <c r="G71" s="35" t="str">
        <f>IF($B71="","",VLOOKUP($B71,QUEUE!$F$11:$N$1999,6,FALSE))</f>
        <v/>
      </c>
      <c r="H71" s="75" t="str">
        <f>IF($B71="","",IF(VLOOKUP($B71,QUEUE!$F$11:$N$1999,8,FALSE)=0,"",VLOOKUP($B71,QUEUE!$F$11:$N$1999,8,FALSE)))</f>
        <v/>
      </c>
      <c r="I71" s="67" t="str">
        <f>IFERROR(IF($B71="","",VLOOKUP($B71,QUEUE!$F$11:$N$1999,9,FALSE)),"")</f>
        <v/>
      </c>
    </row>
    <row r="72" spans="2:9" ht="30" x14ac:dyDescent="0.4">
      <c r="B72" s="36"/>
      <c r="C72" s="36" t="str">
        <f>IF($B72="","",VLOOKUP($B72,QUEUE!$F$11:$N$1999,2,FALSE))</f>
        <v/>
      </c>
      <c r="D72" s="40" t="str">
        <f>IF($B72="","",VLOOKUP($B72,QUEUE!$F$11:$N$1999,3,FALSE))</f>
        <v/>
      </c>
      <c r="E72" s="36" t="str">
        <f>IF($B72="","",VLOOKUP($B72,QUEUE!$F$11:$N$1999,4,FALSE))</f>
        <v/>
      </c>
      <c r="F72" s="36" t="str">
        <f>IF($B72="","",VLOOKUP($B72,QUEUE!$F$11:$N$1999,5,FALSE))</f>
        <v/>
      </c>
      <c r="G72" s="36" t="str">
        <f>IF($B72="","",VLOOKUP($B72,QUEUE!$F$11:$N$1999,6,FALSE))</f>
        <v/>
      </c>
      <c r="H72" s="76" t="str">
        <f>IF($B72="","",IF(VLOOKUP($B72,QUEUE!$F$11:$N$1999,8,FALSE)=0,"",VLOOKUP($B72,QUEUE!$F$11:$N$1999,8,FALSE)))</f>
        <v/>
      </c>
      <c r="I72" s="72" t="str">
        <f>IFERROR(IF($B72="","",VLOOKUP($B72,QUEUE!$F$11:$N$1999,9,FALSE)),"")</f>
        <v/>
      </c>
    </row>
    <row r="73" spans="2:9" ht="30" x14ac:dyDescent="0.4">
      <c r="C73" s="35" t="str">
        <f>IF($B73="","",VLOOKUP($B73,QUEUE!$F$11:$N$1999,2,FALSE))</f>
        <v/>
      </c>
      <c r="D73" s="39" t="str">
        <f>IF($B73="","",VLOOKUP($B73,QUEUE!$F$11:$N$1999,3,FALSE))</f>
        <v/>
      </c>
      <c r="E73" s="35" t="str">
        <f>IF($B73="","",VLOOKUP($B73,QUEUE!$F$11:$N$1999,4,FALSE))</f>
        <v/>
      </c>
      <c r="F73" s="35" t="str">
        <f>IF($B73="","",VLOOKUP($B73,QUEUE!$F$11:$N$1999,5,FALSE))</f>
        <v/>
      </c>
      <c r="G73" s="35" t="str">
        <f>IF($B73="","",VLOOKUP($B73,QUEUE!$F$11:$N$1999,6,FALSE))</f>
        <v/>
      </c>
      <c r="H73" s="75" t="str">
        <f>IF($B73="","",IF(VLOOKUP($B73,QUEUE!$F$11:$N$1999,8,FALSE)=0,"",VLOOKUP($B73,QUEUE!$F$11:$N$1999,8,FALSE)))</f>
        <v/>
      </c>
      <c r="I73" s="67" t="str">
        <f>IFERROR(IF($B73="","",VLOOKUP($B73,QUEUE!$F$11:$N$1999,9,FALSE)),"")</f>
        <v/>
      </c>
    </row>
    <row r="74" spans="2:9" ht="30" x14ac:dyDescent="0.4">
      <c r="B74" s="36"/>
      <c r="C74" s="36" t="str">
        <f>IF($B74="","",VLOOKUP($B74,QUEUE!$F$11:$N$1999,2,FALSE))</f>
        <v/>
      </c>
      <c r="D74" s="40" t="str">
        <f>IF($B74="","",VLOOKUP($B74,QUEUE!$F$11:$N$1999,3,FALSE))</f>
        <v/>
      </c>
      <c r="E74" s="36" t="str">
        <f>IF($B74="","",VLOOKUP($B74,QUEUE!$F$11:$N$1999,4,FALSE))</f>
        <v/>
      </c>
      <c r="F74" s="36" t="str">
        <f>IF($B74="","",VLOOKUP($B74,QUEUE!$F$11:$N$1999,5,FALSE))</f>
        <v/>
      </c>
      <c r="G74" s="36" t="str">
        <f>IF($B74="","",VLOOKUP($B74,QUEUE!$F$11:$N$1999,6,FALSE))</f>
        <v/>
      </c>
      <c r="H74" s="76" t="str">
        <f>IF($B74="","",IF(VLOOKUP($B74,QUEUE!$F$11:$N$1999,8,FALSE)=0,"",VLOOKUP($B74,QUEUE!$F$11:$N$1999,8,FALSE)))</f>
        <v/>
      </c>
      <c r="I74" s="72" t="str">
        <f>IFERROR(IF($B74="","",VLOOKUP($B74,QUEUE!$F$11:$N$1999,9,FALSE)),"")</f>
        <v/>
      </c>
    </row>
    <row r="75" spans="2:9" ht="30" x14ac:dyDescent="0.4">
      <c r="C75" s="35" t="str">
        <f>IF($B75="","",VLOOKUP($B75,QUEUE!$F$11:$N$1999,2,FALSE))</f>
        <v/>
      </c>
      <c r="D75" s="39" t="str">
        <f>IF($B75="","",VLOOKUP($B75,QUEUE!$F$11:$N$1999,3,FALSE))</f>
        <v/>
      </c>
      <c r="E75" s="35" t="str">
        <f>IF($B75="","",VLOOKUP($B75,QUEUE!$F$11:$N$1999,4,FALSE))</f>
        <v/>
      </c>
      <c r="F75" s="35" t="str">
        <f>IF($B75="","",VLOOKUP($B75,QUEUE!$F$11:$N$1999,5,FALSE))</f>
        <v/>
      </c>
      <c r="G75" s="35" t="str">
        <f>IF($B75="","",VLOOKUP($B75,QUEUE!$F$11:$N$1999,6,FALSE))</f>
        <v/>
      </c>
      <c r="H75" s="75" t="str">
        <f>IF($B75="","",IF(VLOOKUP($B75,QUEUE!$F$11:$N$1999,8,FALSE)=0,"",VLOOKUP($B75,QUEUE!$F$11:$N$1999,8,FALSE)))</f>
        <v/>
      </c>
      <c r="I75" s="67" t="str">
        <f>IFERROR(IF($B75="","",VLOOKUP($B75,QUEUE!$F$11:$N$1999,9,FALSE)),"")</f>
        <v/>
      </c>
    </row>
    <row r="76" spans="2:9" ht="30" x14ac:dyDescent="0.4">
      <c r="B76" s="36"/>
      <c r="C76" s="36" t="str">
        <f>IF($B76="","",VLOOKUP($B76,QUEUE!$F$11:$N$1999,2,FALSE))</f>
        <v/>
      </c>
      <c r="D76" s="40" t="str">
        <f>IF($B76="","",VLOOKUP($B76,QUEUE!$F$11:$N$1999,3,FALSE))</f>
        <v/>
      </c>
      <c r="E76" s="36" t="str">
        <f>IF($B76="","",VLOOKUP($B76,QUEUE!$F$11:$N$1999,4,FALSE))</f>
        <v/>
      </c>
      <c r="F76" s="36" t="str">
        <f>IF($B76="","",VLOOKUP($B76,QUEUE!$F$11:$N$1999,5,FALSE))</f>
        <v/>
      </c>
      <c r="G76" s="36" t="str">
        <f>IF($B76="","",VLOOKUP($B76,QUEUE!$F$11:$N$1999,6,FALSE))</f>
        <v/>
      </c>
      <c r="H76" s="76" t="str">
        <f>IF($B76="","",IF(VLOOKUP($B76,QUEUE!$F$11:$N$1999,8,FALSE)=0,"",VLOOKUP($B76,QUEUE!$F$11:$N$1999,8,FALSE)))</f>
        <v/>
      </c>
      <c r="I76" s="72" t="str">
        <f>IFERROR(IF($B76="","",VLOOKUP($B76,QUEUE!$F$11:$N$1999,9,FALSE)),"")</f>
        <v/>
      </c>
    </row>
    <row r="77" spans="2:9" ht="30" x14ac:dyDescent="0.4">
      <c r="C77" s="35" t="str">
        <f>IF($B77="","",VLOOKUP($B77,QUEUE!$F$11:$N$1999,2,FALSE))</f>
        <v/>
      </c>
      <c r="D77" s="39" t="str">
        <f>IF($B77="","",VLOOKUP($B77,QUEUE!$F$11:$N$1999,3,FALSE))</f>
        <v/>
      </c>
      <c r="E77" s="35" t="str">
        <f>IF($B77="","",VLOOKUP($B77,QUEUE!$F$11:$N$1999,4,FALSE))</f>
        <v/>
      </c>
      <c r="F77" s="35" t="str">
        <f>IF($B77="","",VLOOKUP($B77,QUEUE!$F$11:$N$1999,5,FALSE))</f>
        <v/>
      </c>
      <c r="G77" s="35" t="str">
        <f>IF($B77="","",VLOOKUP($B77,QUEUE!$F$11:$N$1999,6,FALSE))</f>
        <v/>
      </c>
      <c r="H77" s="75" t="str">
        <f>IF($B77="","",IF(VLOOKUP($B77,QUEUE!$F$11:$N$1999,8,FALSE)=0,"",VLOOKUP($B77,QUEUE!$F$11:$N$1999,8,FALSE)))</f>
        <v/>
      </c>
      <c r="I77" s="67" t="str">
        <f>IFERROR(IF($B77="","",VLOOKUP($B77,QUEUE!$F$11:$N$1999,9,FALSE)),"")</f>
        <v/>
      </c>
    </row>
    <row r="78" spans="2:9" ht="30" x14ac:dyDescent="0.4">
      <c r="B78" s="36"/>
      <c r="C78" s="36" t="str">
        <f>IF($B78="","",VLOOKUP($B78,QUEUE!$F$11:$N$1999,2,FALSE))</f>
        <v/>
      </c>
      <c r="D78" s="40" t="str">
        <f>IF($B78="","",VLOOKUP($B78,QUEUE!$F$11:$N$1999,3,FALSE))</f>
        <v/>
      </c>
      <c r="E78" s="36" t="str">
        <f>IF($B78="","",VLOOKUP($B78,QUEUE!$F$11:$N$1999,4,FALSE))</f>
        <v/>
      </c>
      <c r="F78" s="36" t="str">
        <f>IF($B78="","",VLOOKUP($B78,QUEUE!$F$11:$N$1999,5,FALSE))</f>
        <v/>
      </c>
      <c r="G78" s="36" t="str">
        <f>IF($B78="","",VLOOKUP($B78,QUEUE!$F$11:$N$1999,6,FALSE))</f>
        <v/>
      </c>
      <c r="H78" s="76" t="str">
        <f>IF($B78="","",IF(VLOOKUP($B78,QUEUE!$F$11:$N$1999,8,FALSE)=0,"",VLOOKUP($B78,QUEUE!$F$11:$N$1999,8,FALSE)))</f>
        <v/>
      </c>
      <c r="I78" s="72" t="str">
        <f>IFERROR(IF($B78="","",VLOOKUP($B78,QUEUE!$F$11:$N$1999,9,FALSE)),"")</f>
        <v/>
      </c>
    </row>
    <row r="79" spans="2:9" ht="30" x14ac:dyDescent="0.4">
      <c r="C79" s="35" t="str">
        <f>IF($B79="","",VLOOKUP($B79,QUEUE!$F$11:$N$1999,2,FALSE))</f>
        <v/>
      </c>
      <c r="D79" s="39" t="str">
        <f>IF($B79="","",VLOOKUP($B79,QUEUE!$F$11:$N$1999,3,FALSE))</f>
        <v/>
      </c>
      <c r="E79" s="35" t="str">
        <f>IF($B79="","",VLOOKUP($B79,QUEUE!$F$11:$N$1999,4,FALSE))</f>
        <v/>
      </c>
      <c r="F79" s="35" t="str">
        <f>IF($B79="","",VLOOKUP($B79,QUEUE!$F$11:$N$1999,5,FALSE))</f>
        <v/>
      </c>
      <c r="G79" s="35" t="str">
        <f>IF($B79="","",VLOOKUP($B79,QUEUE!$F$11:$N$1999,6,FALSE))</f>
        <v/>
      </c>
      <c r="H79" s="75" t="str">
        <f>IF($B79="","",IF(VLOOKUP($B79,QUEUE!$F$11:$N$1999,8,FALSE)=0,"",VLOOKUP($B79,QUEUE!$F$11:$N$1999,8,FALSE)))</f>
        <v/>
      </c>
      <c r="I79" s="67" t="str">
        <f>IFERROR(IF($B79="","",VLOOKUP($B79,QUEUE!$F$11:$N$1999,9,FALSE)),"")</f>
        <v/>
      </c>
    </row>
    <row r="80" spans="2:9" ht="30" x14ac:dyDescent="0.4">
      <c r="B80" s="36"/>
      <c r="C80" s="36" t="str">
        <f>IF($B80="","",VLOOKUP($B80,QUEUE!$F$11:$N$1999,2,FALSE))</f>
        <v/>
      </c>
      <c r="D80" s="40" t="str">
        <f>IF($B80="","",VLOOKUP($B80,QUEUE!$F$11:$N$1999,3,FALSE))</f>
        <v/>
      </c>
      <c r="E80" s="36" t="str">
        <f>IF($B80="","",VLOOKUP($B80,QUEUE!$F$11:$N$1999,4,FALSE))</f>
        <v/>
      </c>
      <c r="F80" s="36" t="str">
        <f>IF($B80="","",VLOOKUP($B80,QUEUE!$F$11:$N$1999,5,FALSE))</f>
        <v/>
      </c>
      <c r="G80" s="36" t="str">
        <f>IF($B80="","",VLOOKUP($B80,QUEUE!$F$11:$N$1999,6,FALSE))</f>
        <v/>
      </c>
      <c r="H80" s="76" t="str">
        <f>IF($B80="","",IF(VLOOKUP($B80,QUEUE!$F$11:$N$1999,8,FALSE)=0,"",VLOOKUP($B80,QUEUE!$F$11:$N$1999,8,FALSE)))</f>
        <v/>
      </c>
      <c r="I80" s="72" t="str">
        <f>IFERROR(IF($B80="","",VLOOKUP($B80,QUEUE!$F$11:$N$1999,9,FALSE)),"")</f>
        <v/>
      </c>
    </row>
    <row r="81" spans="2:9" ht="30" x14ac:dyDescent="0.4">
      <c r="C81" s="35" t="str">
        <f>IF($B81="","",VLOOKUP($B81,QUEUE!$F$11:$N$1999,2,FALSE))</f>
        <v/>
      </c>
      <c r="D81" s="39" t="str">
        <f>IF($B81="","",VLOOKUP($B81,QUEUE!$F$11:$N$1999,3,FALSE))</f>
        <v/>
      </c>
      <c r="E81" s="35" t="str">
        <f>IF($B81="","",VLOOKUP($B81,QUEUE!$F$11:$N$1999,4,FALSE))</f>
        <v/>
      </c>
      <c r="F81" s="35" t="str">
        <f>IF($B81="","",VLOOKUP($B81,QUEUE!$F$11:$N$1999,5,FALSE))</f>
        <v/>
      </c>
      <c r="G81" s="35" t="str">
        <f>IF($B81="","",VLOOKUP($B81,QUEUE!$F$11:$N$1999,6,FALSE))</f>
        <v/>
      </c>
      <c r="H81" s="75" t="str">
        <f>IF($B81="","",IF(VLOOKUP($B81,QUEUE!$F$11:$N$1999,8,FALSE)=0,"",VLOOKUP($B81,QUEUE!$F$11:$N$1999,8,FALSE)))</f>
        <v/>
      </c>
      <c r="I81" s="67" t="str">
        <f>IFERROR(IF($B81="","",VLOOKUP($B81,QUEUE!$F$11:$N$1999,9,FALSE)),"")</f>
        <v/>
      </c>
    </row>
    <row r="82" spans="2:9" ht="30" x14ac:dyDescent="0.4">
      <c r="B82" s="36"/>
      <c r="C82" s="36" t="str">
        <f>IF($B82="","",VLOOKUP($B82,QUEUE!$F$11:$N$1999,2,FALSE))</f>
        <v/>
      </c>
      <c r="D82" s="40" t="str">
        <f>IF($B82="","",VLOOKUP($B82,QUEUE!$F$11:$N$1999,3,FALSE))</f>
        <v/>
      </c>
      <c r="E82" s="36" t="str">
        <f>IF($B82="","",VLOOKUP($B82,QUEUE!$F$11:$N$1999,4,FALSE))</f>
        <v/>
      </c>
      <c r="F82" s="36" t="str">
        <f>IF($B82="","",VLOOKUP($B82,QUEUE!$F$11:$N$1999,5,FALSE))</f>
        <v/>
      </c>
      <c r="G82" s="36" t="str">
        <f>IF($B82="","",VLOOKUP($B82,QUEUE!$F$11:$N$1999,6,FALSE))</f>
        <v/>
      </c>
      <c r="H82" s="76" t="str">
        <f>IF($B82="","",IF(VLOOKUP($B82,QUEUE!$F$11:$N$1999,8,FALSE)=0,"",VLOOKUP($B82,QUEUE!$F$11:$N$1999,8,FALSE)))</f>
        <v/>
      </c>
      <c r="I82" s="72" t="str">
        <f>IFERROR(IF($B82="","",VLOOKUP($B82,QUEUE!$F$11:$N$1999,9,FALSE)),"")</f>
        <v/>
      </c>
    </row>
    <row r="83" spans="2:9" ht="30" x14ac:dyDescent="0.4">
      <c r="C83" s="35" t="str">
        <f>IF($B83="","",VLOOKUP($B83,QUEUE!$F$11:$N$1999,2,FALSE))</f>
        <v/>
      </c>
      <c r="D83" s="39" t="str">
        <f>IF($B83="","",VLOOKUP($B83,QUEUE!$F$11:$N$1999,3,FALSE))</f>
        <v/>
      </c>
      <c r="E83" s="35" t="str">
        <f>IF($B83="","",VLOOKUP($B83,QUEUE!$F$11:$N$1999,4,FALSE))</f>
        <v/>
      </c>
      <c r="F83" s="35" t="str">
        <f>IF($B83="","",VLOOKUP($B83,QUEUE!$F$11:$N$1999,5,FALSE))</f>
        <v/>
      </c>
      <c r="G83" s="35" t="str">
        <f>IF($B83="","",VLOOKUP($B83,QUEUE!$F$11:$N$1999,6,FALSE))</f>
        <v/>
      </c>
      <c r="H83" s="75" t="str">
        <f>IF($B83="","",IF(VLOOKUP($B83,QUEUE!$F$11:$N$1999,8,FALSE)=0,"",VLOOKUP($B83,QUEUE!$F$11:$N$1999,8,FALSE)))</f>
        <v/>
      </c>
      <c r="I83" s="67" t="str">
        <f>IFERROR(IF($B83="","",VLOOKUP($B83,QUEUE!$F$11:$N$1999,9,FALSE)),"")</f>
        <v/>
      </c>
    </row>
    <row r="84" spans="2:9" ht="30" x14ac:dyDescent="0.4">
      <c r="B84" s="36"/>
      <c r="C84" s="36" t="str">
        <f>IF($B84="","",VLOOKUP($B84,QUEUE!$F$11:$N$1999,2,FALSE))</f>
        <v/>
      </c>
      <c r="D84" s="40" t="str">
        <f>IF($B84="","",VLOOKUP($B84,QUEUE!$F$11:$N$1999,3,FALSE))</f>
        <v/>
      </c>
      <c r="E84" s="36" t="str">
        <f>IF($B84="","",VLOOKUP($B84,QUEUE!$F$11:$N$1999,4,FALSE))</f>
        <v/>
      </c>
      <c r="F84" s="36" t="str">
        <f>IF($B84="","",VLOOKUP($B84,QUEUE!$F$11:$N$1999,5,FALSE))</f>
        <v/>
      </c>
      <c r="G84" s="36" t="str">
        <f>IF($B84="","",VLOOKUP($B84,QUEUE!$F$11:$N$1999,6,FALSE))</f>
        <v/>
      </c>
      <c r="H84" s="76" t="str">
        <f>IF($B84="","",IF(VLOOKUP($B84,QUEUE!$F$11:$N$1999,8,FALSE)=0,"",VLOOKUP($B84,QUEUE!$F$11:$N$1999,8,FALSE)))</f>
        <v/>
      </c>
      <c r="I84" s="72" t="str">
        <f>IFERROR(IF($B84="","",VLOOKUP($B84,QUEUE!$F$11:$N$1999,9,FALSE)),"")</f>
        <v/>
      </c>
    </row>
    <row r="85" spans="2:9" ht="30" x14ac:dyDescent="0.4">
      <c r="C85" s="35" t="str">
        <f>IF($B85="","",VLOOKUP($B85,QUEUE!$F$11:$N$1999,2,FALSE))</f>
        <v/>
      </c>
      <c r="D85" s="39" t="str">
        <f>IF($B85="","",VLOOKUP($B85,QUEUE!$F$11:$N$1999,3,FALSE))</f>
        <v/>
      </c>
      <c r="E85" s="35" t="str">
        <f>IF($B85="","",VLOOKUP($B85,QUEUE!$F$11:$N$1999,4,FALSE))</f>
        <v/>
      </c>
      <c r="F85" s="35" t="str">
        <f>IF($B85="","",VLOOKUP($B85,QUEUE!$F$11:$N$1999,5,FALSE))</f>
        <v/>
      </c>
      <c r="G85" s="35" t="str">
        <f>IF($B85="","",VLOOKUP($B85,QUEUE!$F$11:$N$1999,6,FALSE))</f>
        <v/>
      </c>
      <c r="H85" s="75" t="str">
        <f>IF($B85="","",IF(VLOOKUP($B85,QUEUE!$F$11:$N$1999,8,FALSE)=0,"",VLOOKUP($B85,QUEUE!$F$11:$N$1999,8,FALSE)))</f>
        <v/>
      </c>
      <c r="I85" s="67" t="str">
        <f>IFERROR(IF($B85="","",VLOOKUP($B85,QUEUE!$F$11:$N$1999,9,FALSE)),"")</f>
        <v/>
      </c>
    </row>
    <row r="86" spans="2:9" ht="30" x14ac:dyDescent="0.4">
      <c r="B86" s="36"/>
      <c r="C86" s="36" t="str">
        <f>IF($B86="","",VLOOKUP($B86,QUEUE!$F$11:$N$1999,2,FALSE))</f>
        <v/>
      </c>
      <c r="D86" s="40" t="str">
        <f>IF($B86="","",VLOOKUP($B86,QUEUE!$F$11:$N$1999,3,FALSE))</f>
        <v/>
      </c>
      <c r="E86" s="36" t="str">
        <f>IF($B86="","",VLOOKUP($B86,QUEUE!$F$11:$N$1999,4,FALSE))</f>
        <v/>
      </c>
      <c r="F86" s="36" t="str">
        <f>IF($B86="","",VLOOKUP($B86,QUEUE!$F$11:$N$1999,5,FALSE))</f>
        <v/>
      </c>
      <c r="G86" s="36" t="str">
        <f>IF($B86="","",VLOOKUP($B86,QUEUE!$F$11:$N$1999,6,FALSE))</f>
        <v/>
      </c>
      <c r="H86" s="76" t="str">
        <f>IF($B86="","",IF(VLOOKUP($B86,QUEUE!$F$11:$N$1999,8,FALSE)=0,"",VLOOKUP($B86,QUEUE!$F$11:$N$1999,8,FALSE)))</f>
        <v/>
      </c>
      <c r="I86" s="72" t="str">
        <f>IFERROR(IF($B86="","",VLOOKUP($B86,QUEUE!$F$11:$N$1999,9,FALSE)),"")</f>
        <v/>
      </c>
    </row>
    <row r="87" spans="2:9" ht="30" x14ac:dyDescent="0.4">
      <c r="C87" s="35" t="str">
        <f>IF($B87="","",VLOOKUP($B87,QUEUE!$F$11:$N$1999,2,FALSE))</f>
        <v/>
      </c>
      <c r="D87" s="39" t="str">
        <f>IF($B87="","",VLOOKUP($B87,QUEUE!$F$11:$N$1999,3,FALSE))</f>
        <v/>
      </c>
      <c r="E87" s="35" t="str">
        <f>IF($B87="","",VLOOKUP($B87,QUEUE!$F$11:$N$1999,4,FALSE))</f>
        <v/>
      </c>
      <c r="F87" s="35" t="str">
        <f>IF($B87="","",VLOOKUP($B87,QUEUE!$F$11:$N$1999,5,FALSE))</f>
        <v/>
      </c>
      <c r="G87" s="35" t="str">
        <f>IF($B87="","",VLOOKUP($B87,QUEUE!$F$11:$N$1999,6,FALSE))</f>
        <v/>
      </c>
      <c r="H87" s="75" t="str">
        <f>IF($B87="","",IF(VLOOKUP($B87,QUEUE!$F$11:$N$1999,8,FALSE)=0,"",VLOOKUP($B87,QUEUE!$F$11:$N$1999,8,FALSE)))</f>
        <v/>
      </c>
      <c r="I87" s="67" t="str">
        <f>IFERROR(IF($B87="","",VLOOKUP($B87,QUEUE!$F$11:$N$1999,9,FALSE)),"")</f>
        <v/>
      </c>
    </row>
    <row r="88" spans="2:9" ht="30" x14ac:dyDescent="0.4">
      <c r="B88" s="36"/>
      <c r="C88" s="36" t="str">
        <f>IF($B88="","",VLOOKUP($B88,QUEUE!$F$11:$N$1999,2,FALSE))</f>
        <v/>
      </c>
      <c r="D88" s="40" t="str">
        <f>IF($B88="","",VLOOKUP($B88,QUEUE!$F$11:$N$1999,3,FALSE))</f>
        <v/>
      </c>
      <c r="E88" s="36" t="str">
        <f>IF($B88="","",VLOOKUP($B88,QUEUE!$F$11:$N$1999,4,FALSE))</f>
        <v/>
      </c>
      <c r="F88" s="36" t="str">
        <f>IF($B88="","",VLOOKUP($B88,QUEUE!$F$11:$N$1999,5,FALSE))</f>
        <v/>
      </c>
      <c r="G88" s="36" t="str">
        <f>IF($B88="","",VLOOKUP($B88,QUEUE!$F$11:$N$1999,6,FALSE))</f>
        <v/>
      </c>
      <c r="H88" s="76" t="str">
        <f>IF($B88="","",IF(VLOOKUP($B88,QUEUE!$F$11:$N$1999,8,FALSE)=0,"",VLOOKUP($B88,QUEUE!$F$11:$N$1999,8,FALSE)))</f>
        <v/>
      </c>
      <c r="I88" s="72" t="str">
        <f>IFERROR(IF($B88="","",VLOOKUP($B88,QUEUE!$F$11:$N$1999,9,FALSE)),"")</f>
        <v/>
      </c>
    </row>
    <row r="89" spans="2:9" ht="30" x14ac:dyDescent="0.4">
      <c r="C89" s="35" t="str">
        <f>IF($B89="","",VLOOKUP($B89,QUEUE!$F$11:$N$1999,2,FALSE))</f>
        <v/>
      </c>
      <c r="D89" s="39" t="str">
        <f>IF($B89="","",VLOOKUP($B89,QUEUE!$F$11:$N$1999,3,FALSE))</f>
        <v/>
      </c>
      <c r="E89" s="35" t="str">
        <f>IF($B89="","",VLOOKUP($B89,QUEUE!$F$11:$N$1999,4,FALSE))</f>
        <v/>
      </c>
      <c r="F89" s="35" t="str">
        <f>IF($B89="","",VLOOKUP($B89,QUEUE!$F$11:$N$1999,5,FALSE))</f>
        <v/>
      </c>
      <c r="G89" s="35" t="str">
        <f>IF($B89="","",VLOOKUP($B89,QUEUE!$F$11:$N$1999,6,FALSE))</f>
        <v/>
      </c>
      <c r="H89" s="75" t="str">
        <f>IF($B89="","",IF(VLOOKUP($B89,QUEUE!$F$11:$N$1999,8,FALSE)=0,"",VLOOKUP($B89,QUEUE!$F$11:$N$1999,8,FALSE)))</f>
        <v/>
      </c>
      <c r="I89" s="67" t="str">
        <f>IFERROR(IF($B89="","",VLOOKUP($B89,QUEUE!$F$11:$N$1999,9,FALSE)),"")</f>
        <v/>
      </c>
    </row>
    <row r="90" spans="2:9" ht="30" x14ac:dyDescent="0.4">
      <c r="B90" s="36"/>
      <c r="C90" s="36" t="str">
        <f>IF($B90="","",VLOOKUP($B90,QUEUE!$F$11:$N$1999,2,FALSE))</f>
        <v/>
      </c>
      <c r="D90" s="40" t="str">
        <f>IF($B90="","",VLOOKUP($B90,QUEUE!$F$11:$N$1999,3,FALSE))</f>
        <v/>
      </c>
      <c r="E90" s="36" t="str">
        <f>IF($B90="","",VLOOKUP($B90,QUEUE!$F$11:$N$1999,4,FALSE))</f>
        <v/>
      </c>
      <c r="F90" s="36" t="str">
        <f>IF($B90="","",VLOOKUP($B90,QUEUE!$F$11:$N$1999,5,FALSE))</f>
        <v/>
      </c>
      <c r="G90" s="36" t="str">
        <f>IF($B90="","",VLOOKUP($B90,QUEUE!$F$11:$N$1999,6,FALSE))</f>
        <v/>
      </c>
      <c r="H90" s="76" t="str">
        <f>IF($B90="","",IF(VLOOKUP($B90,QUEUE!$F$11:$N$1999,8,FALSE)=0,"",VLOOKUP($B90,QUEUE!$F$11:$N$1999,8,FALSE)))</f>
        <v/>
      </c>
      <c r="I90" s="72" t="str">
        <f>IFERROR(IF($B90="","",VLOOKUP($B90,QUEUE!$F$11:$N$1999,9,FALSE)),"")</f>
        <v/>
      </c>
    </row>
    <row r="91" spans="2:9" ht="30" x14ac:dyDescent="0.4">
      <c r="C91" s="35" t="str">
        <f>IF($B91="","",VLOOKUP($B91,QUEUE!$F$11:$N$1999,2,FALSE))</f>
        <v/>
      </c>
      <c r="D91" s="39" t="str">
        <f>IF($B91="","",VLOOKUP($B91,QUEUE!$F$11:$N$1999,3,FALSE))</f>
        <v/>
      </c>
      <c r="E91" s="35" t="str">
        <f>IF($B91="","",VLOOKUP($B91,QUEUE!$F$11:$N$1999,4,FALSE))</f>
        <v/>
      </c>
      <c r="F91" s="35" t="str">
        <f>IF($B91="","",VLOOKUP($B91,QUEUE!$F$11:$N$1999,5,FALSE))</f>
        <v/>
      </c>
      <c r="G91" s="35" t="str">
        <f>IF($B91="","",VLOOKUP($B91,QUEUE!$F$11:$N$1999,6,FALSE))</f>
        <v/>
      </c>
      <c r="H91" s="75" t="str">
        <f>IF($B91="","",IF(VLOOKUP($B91,QUEUE!$F$11:$N$1999,8,FALSE)=0,"",VLOOKUP($B91,QUEUE!$F$11:$N$1999,8,FALSE)))</f>
        <v/>
      </c>
      <c r="I91" s="67" t="str">
        <f>IFERROR(IF($B91="","",VLOOKUP($B91,QUEUE!$F$11:$N$1999,9,FALSE)),"")</f>
        <v/>
      </c>
    </row>
    <row r="92" spans="2:9" ht="30" x14ac:dyDescent="0.4">
      <c r="B92" s="36"/>
      <c r="C92" s="36" t="str">
        <f>IF($B92="","",VLOOKUP($B92,QUEUE!$F$11:$N$1999,2,FALSE))</f>
        <v/>
      </c>
      <c r="D92" s="40" t="str">
        <f>IF($B92="","",VLOOKUP($B92,QUEUE!$F$11:$N$1999,3,FALSE))</f>
        <v/>
      </c>
      <c r="E92" s="36" t="str">
        <f>IF($B92="","",VLOOKUP($B92,QUEUE!$F$11:$N$1999,4,FALSE))</f>
        <v/>
      </c>
      <c r="F92" s="36" t="str">
        <f>IF($B92="","",VLOOKUP($B92,QUEUE!$F$11:$N$1999,5,FALSE))</f>
        <v/>
      </c>
      <c r="G92" s="36" t="str">
        <f>IF($B92="","",VLOOKUP($B92,QUEUE!$F$11:$N$1999,6,FALSE))</f>
        <v/>
      </c>
      <c r="H92" s="76" t="str">
        <f>IF($B92="","",IF(VLOOKUP($B92,QUEUE!$F$11:$N$1999,8,FALSE)=0,"",VLOOKUP($B92,QUEUE!$F$11:$N$1999,8,FALSE)))</f>
        <v/>
      </c>
      <c r="I92" s="72" t="str">
        <f>IFERROR(IF($B92="","",VLOOKUP($B92,QUEUE!$F$11:$N$1999,9,FALSE)),"")</f>
        <v/>
      </c>
    </row>
    <row r="93" spans="2:9" ht="30" x14ac:dyDescent="0.4">
      <c r="C93" s="35" t="str">
        <f>IF($B93="","",VLOOKUP($B93,QUEUE!$F$11:$N$1999,2,FALSE))</f>
        <v/>
      </c>
      <c r="D93" s="39" t="str">
        <f>IF($B93="","",VLOOKUP($B93,QUEUE!$F$11:$N$1999,3,FALSE))</f>
        <v/>
      </c>
      <c r="E93" s="35" t="str">
        <f>IF($B93="","",VLOOKUP($B93,QUEUE!$F$11:$N$1999,4,FALSE))</f>
        <v/>
      </c>
      <c r="F93" s="35" t="str">
        <f>IF($B93="","",VLOOKUP($B93,QUEUE!$F$11:$N$1999,5,FALSE))</f>
        <v/>
      </c>
      <c r="G93" s="35" t="str">
        <f>IF($B93="","",VLOOKUP($B93,QUEUE!$F$11:$N$1999,6,FALSE))</f>
        <v/>
      </c>
      <c r="H93" s="75" t="str">
        <f>IF($B93="","",IF(VLOOKUP($B93,QUEUE!$F$11:$N$1999,8,FALSE)=0,"",VLOOKUP($B93,QUEUE!$F$11:$N$1999,8,FALSE)))</f>
        <v/>
      </c>
      <c r="I93" s="67" t="str">
        <f>IFERROR(IF($B93="","",VLOOKUP($B93,QUEUE!$F$11:$N$1999,9,FALSE)),"")</f>
        <v/>
      </c>
    </row>
    <row r="94" spans="2:9" ht="30" x14ac:dyDescent="0.4">
      <c r="B94" s="36"/>
      <c r="C94" s="36" t="str">
        <f>IF($B94="","",VLOOKUP($B94,QUEUE!$F$11:$N$1999,2,FALSE))</f>
        <v/>
      </c>
      <c r="D94" s="40" t="str">
        <f>IF($B94="","",VLOOKUP($B94,QUEUE!$F$11:$N$1999,3,FALSE))</f>
        <v/>
      </c>
      <c r="E94" s="36" t="str">
        <f>IF($B94="","",VLOOKUP($B94,QUEUE!$F$11:$N$1999,4,FALSE))</f>
        <v/>
      </c>
      <c r="F94" s="36" t="str">
        <f>IF($B94="","",VLOOKUP($B94,QUEUE!$F$11:$N$1999,5,FALSE))</f>
        <v/>
      </c>
      <c r="G94" s="36" t="str">
        <f>IF($B94="","",VLOOKUP($B94,QUEUE!$F$11:$N$1999,6,FALSE))</f>
        <v/>
      </c>
      <c r="H94" s="76" t="str">
        <f>IF($B94="","",IF(VLOOKUP($B94,QUEUE!$F$11:$N$1999,8,FALSE)=0,"",VLOOKUP($B94,QUEUE!$F$11:$N$1999,8,FALSE)))</f>
        <v/>
      </c>
      <c r="I94" s="72" t="str">
        <f>IFERROR(IF($B94="","",VLOOKUP($B94,QUEUE!$F$11:$N$1999,9,FALSE)),"")</f>
        <v/>
      </c>
    </row>
    <row r="95" spans="2:9" ht="30" x14ac:dyDescent="0.4">
      <c r="C95" s="35" t="str">
        <f>IF($B95="","",VLOOKUP($B95,QUEUE!$F$11:$N$1999,2,FALSE))</f>
        <v/>
      </c>
      <c r="D95" s="39" t="str">
        <f>IF($B95="","",VLOOKUP($B95,QUEUE!$F$11:$N$1999,3,FALSE))</f>
        <v/>
      </c>
      <c r="E95" s="35" t="str">
        <f>IF($B95="","",VLOOKUP($B95,QUEUE!$F$11:$N$1999,4,FALSE))</f>
        <v/>
      </c>
      <c r="F95" s="35" t="str">
        <f>IF($B95="","",VLOOKUP($B95,QUEUE!$F$11:$N$1999,5,FALSE))</f>
        <v/>
      </c>
      <c r="G95" s="35" t="str">
        <f>IF($B95="","",VLOOKUP($B95,QUEUE!$F$11:$N$1999,6,FALSE))</f>
        <v/>
      </c>
      <c r="H95" s="75" t="str">
        <f>IF($B95="","",IF(VLOOKUP($B95,QUEUE!$F$11:$N$1999,8,FALSE)=0,"",VLOOKUP($B95,QUEUE!$F$11:$N$1999,8,FALSE)))</f>
        <v/>
      </c>
      <c r="I95" s="67" t="str">
        <f>IFERROR(IF($B95="","",VLOOKUP($B95,QUEUE!$F$11:$N$1999,9,FALSE)),"")</f>
        <v/>
      </c>
    </row>
    <row r="96" spans="2:9" ht="30" x14ac:dyDescent="0.4">
      <c r="B96" s="36"/>
      <c r="C96" s="36" t="str">
        <f>IF($B96="","",VLOOKUP($B96,QUEUE!$F$11:$N$1999,2,FALSE))</f>
        <v/>
      </c>
      <c r="D96" s="40" t="str">
        <f>IF($B96="","",VLOOKUP($B96,QUEUE!$F$11:$N$1999,3,FALSE))</f>
        <v/>
      </c>
      <c r="E96" s="36" t="str">
        <f>IF($B96="","",VLOOKUP($B96,QUEUE!$F$11:$N$1999,4,FALSE))</f>
        <v/>
      </c>
      <c r="F96" s="36" t="str">
        <f>IF($B96="","",VLOOKUP($B96,QUEUE!$F$11:$N$1999,5,FALSE))</f>
        <v/>
      </c>
      <c r="G96" s="36" t="str">
        <f>IF($B96="","",VLOOKUP($B96,QUEUE!$F$11:$N$1999,6,FALSE))</f>
        <v/>
      </c>
      <c r="H96" s="76" t="str">
        <f>IF($B96="","",IF(VLOOKUP($B96,QUEUE!$F$11:$N$1999,8,FALSE)=0,"",VLOOKUP($B96,QUEUE!$F$11:$N$1999,8,FALSE)))</f>
        <v/>
      </c>
      <c r="I96" s="72" t="str">
        <f>IFERROR(IF($B96="","",VLOOKUP($B96,QUEUE!$F$11:$N$1999,9,FALSE)),"")</f>
        <v/>
      </c>
    </row>
    <row r="97" spans="2:9" ht="30" x14ac:dyDescent="0.4">
      <c r="C97" s="35" t="str">
        <f>IF($B97="","",VLOOKUP($B97,QUEUE!$F$11:$N$1999,2,FALSE))</f>
        <v/>
      </c>
      <c r="D97" s="39" t="str">
        <f>IF($B97="","",VLOOKUP($B97,QUEUE!$F$11:$N$1999,3,FALSE))</f>
        <v/>
      </c>
      <c r="E97" s="35" t="str">
        <f>IF($B97="","",VLOOKUP($B97,QUEUE!$F$11:$N$1999,4,FALSE))</f>
        <v/>
      </c>
      <c r="F97" s="35" t="str">
        <f>IF($B97="","",VLOOKUP($B97,QUEUE!$F$11:$N$1999,5,FALSE))</f>
        <v/>
      </c>
      <c r="G97" s="35" t="str">
        <f>IF($B97="","",VLOOKUP($B97,QUEUE!$F$11:$N$1999,6,FALSE))</f>
        <v/>
      </c>
      <c r="H97" s="75" t="str">
        <f>IF($B97="","",IF(VLOOKUP($B97,QUEUE!$F$11:$N$1999,8,FALSE)=0,"",VLOOKUP($B97,QUEUE!$F$11:$N$1999,8,FALSE)))</f>
        <v/>
      </c>
      <c r="I97" s="67" t="str">
        <f>IFERROR(IF($B97="","",VLOOKUP($B97,QUEUE!$F$11:$N$1999,9,FALSE)),"")</f>
        <v/>
      </c>
    </row>
    <row r="98" spans="2:9" ht="30" x14ac:dyDescent="0.4">
      <c r="B98" s="36"/>
      <c r="C98" s="36" t="str">
        <f>IF($B98="","",VLOOKUP($B98,QUEUE!$F$11:$N$1999,2,FALSE))</f>
        <v/>
      </c>
      <c r="D98" s="40" t="str">
        <f>IF($B98="","",VLOOKUP($B98,QUEUE!$F$11:$N$1999,3,FALSE))</f>
        <v/>
      </c>
      <c r="E98" s="36" t="str">
        <f>IF($B98="","",VLOOKUP($B98,QUEUE!$F$11:$N$1999,4,FALSE))</f>
        <v/>
      </c>
      <c r="F98" s="36" t="str">
        <f>IF($B98="","",VLOOKUP($B98,QUEUE!$F$11:$N$1999,5,FALSE))</f>
        <v/>
      </c>
      <c r="G98" s="36" t="str">
        <f>IF($B98="","",VLOOKUP($B98,QUEUE!$F$11:$N$1999,6,FALSE))</f>
        <v/>
      </c>
      <c r="H98" s="76" t="str">
        <f>IF($B98="","",IF(VLOOKUP($B98,QUEUE!$F$11:$N$1999,8,FALSE)=0,"",VLOOKUP($B98,QUEUE!$F$11:$N$1999,8,FALSE)))</f>
        <v/>
      </c>
      <c r="I98" s="72" t="str">
        <f>IFERROR(IF($B98="","",VLOOKUP($B98,QUEUE!$F$11:$N$1999,9,FALSE)),"")</f>
        <v/>
      </c>
    </row>
    <row r="99" spans="2:9" ht="30" x14ac:dyDescent="0.4">
      <c r="C99" s="35" t="str">
        <f>IF($B99="","",VLOOKUP($B99,QUEUE!$F$11:$N$1999,2,FALSE))</f>
        <v/>
      </c>
      <c r="D99" s="39" t="str">
        <f>IF($B99="","",VLOOKUP($B99,QUEUE!$F$11:$N$1999,3,FALSE))</f>
        <v/>
      </c>
      <c r="E99" s="35" t="str">
        <f>IF($B99="","",VLOOKUP($B99,QUEUE!$F$11:$N$1999,4,FALSE))</f>
        <v/>
      </c>
      <c r="F99" s="35" t="str">
        <f>IF($B99="","",VLOOKUP($B99,QUEUE!$F$11:$N$1999,5,FALSE))</f>
        <v/>
      </c>
      <c r="G99" s="35" t="str">
        <f>IF($B99="","",VLOOKUP($B99,QUEUE!$F$11:$N$1999,6,FALSE))</f>
        <v/>
      </c>
      <c r="H99" s="75" t="str">
        <f>IF($B99="","",IF(VLOOKUP($B99,QUEUE!$F$11:$N$1999,8,FALSE)=0,"",VLOOKUP($B99,QUEUE!$F$11:$N$1999,8,FALSE)))</f>
        <v/>
      </c>
      <c r="I99" s="67" t="str">
        <f>IFERROR(IF($B99="","",VLOOKUP($B99,QUEUE!$F$11:$N$1999,9,FALSE)),"")</f>
        <v/>
      </c>
    </row>
    <row r="100" spans="2:9" ht="30" x14ac:dyDescent="0.4">
      <c r="B100" s="36"/>
      <c r="C100" s="36" t="str">
        <f>IF($B100="","",VLOOKUP($B100,QUEUE!$F$11:$N$1999,2,FALSE))</f>
        <v/>
      </c>
      <c r="D100" s="40" t="str">
        <f>IF($B100="","",VLOOKUP($B100,QUEUE!$F$11:$N$1999,3,FALSE))</f>
        <v/>
      </c>
      <c r="E100" s="36" t="str">
        <f>IF($B100="","",VLOOKUP($B100,QUEUE!$F$11:$N$1999,4,FALSE))</f>
        <v/>
      </c>
      <c r="F100" s="36" t="str">
        <f>IF($B100="","",VLOOKUP($B100,QUEUE!$F$11:$N$1999,5,FALSE))</f>
        <v/>
      </c>
      <c r="G100" s="36" t="str">
        <f>IF($B100="","",VLOOKUP($B100,QUEUE!$F$11:$N$1999,6,FALSE))</f>
        <v/>
      </c>
      <c r="H100" s="76" t="str">
        <f>IF($B100="","",IF(VLOOKUP($B100,QUEUE!$F$11:$N$1999,8,FALSE)=0,"",VLOOKUP($B100,QUEUE!$F$11:$N$1999,8,FALSE)))</f>
        <v/>
      </c>
      <c r="I100" s="72" t="str">
        <f>IFERROR(IF($B100="","",VLOOKUP($B100,QUEUE!$F$11:$N$1999,9,FALSE)),"")</f>
        <v/>
      </c>
    </row>
    <row r="101" spans="2:9" ht="30" x14ac:dyDescent="0.4">
      <c r="C101" s="35" t="str">
        <f>IF($B101="","",VLOOKUP($B101,QUEUE!$F$11:$N$1999,2,FALSE))</f>
        <v/>
      </c>
      <c r="D101" s="39" t="str">
        <f>IF($B101="","",VLOOKUP($B101,QUEUE!$F$11:$N$1999,3,FALSE))</f>
        <v/>
      </c>
      <c r="E101" s="35" t="str">
        <f>IF($B101="","",VLOOKUP($B101,QUEUE!$F$11:$N$1999,4,FALSE))</f>
        <v/>
      </c>
      <c r="F101" s="35" t="str">
        <f>IF($B101="","",VLOOKUP($B101,QUEUE!$F$11:$N$1999,5,FALSE))</f>
        <v/>
      </c>
      <c r="G101" s="35" t="str">
        <f>IF($B101="","",VLOOKUP($B101,QUEUE!$F$11:$N$1999,6,FALSE))</f>
        <v/>
      </c>
      <c r="H101" s="75" t="str">
        <f>IF($B101="","",IF(VLOOKUP($B101,QUEUE!$F$11:$N$1999,8,FALSE)=0,"",VLOOKUP($B101,QUEUE!$F$11:$N$1999,8,FALSE)))</f>
        <v/>
      </c>
      <c r="I101" s="67" t="str">
        <f>IFERROR(IF($B101="","",VLOOKUP($B101,QUEUE!$F$11:$N$1999,9,FALSE)),"")</f>
        <v/>
      </c>
    </row>
    <row r="102" spans="2:9" ht="30" x14ac:dyDescent="0.4">
      <c r="B102" s="36"/>
      <c r="C102" s="36" t="str">
        <f>IF($B102="","",VLOOKUP($B102,QUEUE!$F$11:$N$1999,2,FALSE))</f>
        <v/>
      </c>
      <c r="D102" s="40" t="str">
        <f>IF($B102="","",VLOOKUP($B102,QUEUE!$F$11:$N$1999,3,FALSE))</f>
        <v/>
      </c>
      <c r="E102" s="36" t="str">
        <f>IF($B102="","",VLOOKUP($B102,QUEUE!$F$11:$N$1999,4,FALSE))</f>
        <v/>
      </c>
      <c r="F102" s="36" t="str">
        <f>IF($B102="","",VLOOKUP($B102,QUEUE!$F$11:$N$1999,5,FALSE))</f>
        <v/>
      </c>
      <c r="G102" s="36" t="str">
        <f>IF($B102="","",VLOOKUP($B102,QUEUE!$F$11:$N$1999,6,FALSE))</f>
        <v/>
      </c>
      <c r="H102" s="76" t="str">
        <f>IF($B102="","",IF(VLOOKUP($B102,QUEUE!$F$11:$N$1999,8,FALSE)=0,"",VLOOKUP($B102,QUEUE!$F$11:$N$1999,8,FALSE)))</f>
        <v/>
      </c>
      <c r="I102" s="72" t="str">
        <f>IFERROR(IF($B102="","",VLOOKUP($B102,QUEUE!$F$11:$N$1999,9,FALSE)),"")</f>
        <v/>
      </c>
    </row>
    <row r="103" spans="2:9" ht="30" x14ac:dyDescent="0.4">
      <c r="C103" s="35" t="str">
        <f>IF($B103="","",VLOOKUP($B103,QUEUE!$F$11:$N$1999,2,FALSE))</f>
        <v/>
      </c>
      <c r="D103" s="39" t="str">
        <f>IF($B103="","",VLOOKUP($B103,QUEUE!$F$11:$N$1999,3,FALSE))</f>
        <v/>
      </c>
      <c r="E103" s="35" t="str">
        <f>IF($B103="","",VLOOKUP($B103,QUEUE!$F$11:$N$1999,4,FALSE))</f>
        <v/>
      </c>
      <c r="F103" s="35" t="str">
        <f>IF($B103="","",VLOOKUP($B103,QUEUE!$F$11:$N$1999,5,FALSE))</f>
        <v/>
      </c>
      <c r="G103" s="35" t="str">
        <f>IF($B103="","",VLOOKUP($B103,QUEUE!$F$11:$N$1999,6,FALSE))</f>
        <v/>
      </c>
      <c r="H103" s="75" t="str">
        <f>IF($B103="","",IF(VLOOKUP($B103,QUEUE!$F$11:$N$1999,8,FALSE)=0,"",VLOOKUP($B103,QUEUE!$F$11:$N$1999,8,FALSE)))</f>
        <v/>
      </c>
      <c r="I103" s="67" t="str">
        <f>IFERROR(IF($B103="","",VLOOKUP($B103,QUEUE!$F$11:$N$1999,9,FALSE)),"")</f>
        <v/>
      </c>
    </row>
    <row r="104" spans="2:9" ht="30" x14ac:dyDescent="0.4">
      <c r="B104" s="36"/>
      <c r="C104" s="36" t="str">
        <f>IF($B104="","",VLOOKUP($B104,QUEUE!$F$11:$N$1999,2,FALSE))</f>
        <v/>
      </c>
      <c r="D104" s="40" t="str">
        <f>IF($B104="","",VLOOKUP($B104,QUEUE!$F$11:$N$1999,3,FALSE))</f>
        <v/>
      </c>
      <c r="E104" s="36" t="str">
        <f>IF($B104="","",VLOOKUP($B104,QUEUE!$F$11:$N$1999,4,FALSE))</f>
        <v/>
      </c>
      <c r="F104" s="36" t="str">
        <f>IF($B104="","",VLOOKUP($B104,QUEUE!$F$11:$N$1999,5,FALSE))</f>
        <v/>
      </c>
      <c r="G104" s="36" t="str">
        <f>IF($B104="","",VLOOKUP($B104,QUEUE!$F$11:$N$1999,6,FALSE))</f>
        <v/>
      </c>
      <c r="H104" s="76" t="str">
        <f>IF($B104="","",IF(VLOOKUP($B104,QUEUE!$F$11:$N$1999,8,FALSE)=0,"",VLOOKUP($B104,QUEUE!$F$11:$N$1999,8,FALSE)))</f>
        <v/>
      </c>
      <c r="I104" s="72" t="str">
        <f>IFERROR(IF($B104="","",VLOOKUP($B104,QUEUE!$F$11:$N$1999,9,FALSE)),"")</f>
        <v/>
      </c>
    </row>
    <row r="105" spans="2:9" ht="30" x14ac:dyDescent="0.4">
      <c r="C105" s="35" t="str">
        <f>IF($B105="","",VLOOKUP($B105,QUEUE!$F$11:$N$1999,2,FALSE))</f>
        <v/>
      </c>
      <c r="D105" s="39" t="str">
        <f>IF($B105="","",VLOOKUP($B105,QUEUE!$F$11:$N$1999,3,FALSE))</f>
        <v/>
      </c>
      <c r="E105" s="35" t="str">
        <f>IF($B105="","",VLOOKUP($B105,QUEUE!$F$11:$N$1999,4,FALSE))</f>
        <v/>
      </c>
      <c r="F105" s="35" t="str">
        <f>IF($B105="","",VLOOKUP($B105,QUEUE!$F$11:$N$1999,5,FALSE))</f>
        <v/>
      </c>
      <c r="G105" s="35" t="str">
        <f>IF($B105="","",VLOOKUP($B105,QUEUE!$F$11:$N$1999,6,FALSE))</f>
        <v/>
      </c>
      <c r="H105" s="75" t="str">
        <f>IF($B105="","",IF(VLOOKUP($B105,QUEUE!$F$11:$N$1999,8,FALSE)=0,"",VLOOKUP($B105,QUEUE!$F$11:$N$1999,8,FALSE)))</f>
        <v/>
      </c>
      <c r="I105" s="67" t="str">
        <f>IFERROR(IF($B105="","",VLOOKUP($B105,QUEUE!$F$11:$N$1999,9,FALSE)),"")</f>
        <v/>
      </c>
    </row>
    <row r="106" spans="2:9" ht="30" x14ac:dyDescent="0.4">
      <c r="B106" s="36"/>
      <c r="C106" s="36" t="str">
        <f>IF($B106="","",VLOOKUP($B106,QUEUE!$F$11:$N$1999,2,FALSE))</f>
        <v/>
      </c>
      <c r="D106" s="40" t="str">
        <f>IF($B106="","",VLOOKUP($B106,QUEUE!$F$11:$N$1999,3,FALSE))</f>
        <v/>
      </c>
      <c r="E106" s="36" t="str">
        <f>IF($B106="","",VLOOKUP($B106,QUEUE!$F$11:$N$1999,4,FALSE))</f>
        <v/>
      </c>
      <c r="F106" s="36" t="str">
        <f>IF($B106="","",VLOOKUP($B106,QUEUE!$F$11:$N$1999,5,FALSE))</f>
        <v/>
      </c>
      <c r="G106" s="36" t="str">
        <f>IF($B106="","",VLOOKUP($B106,QUEUE!$F$11:$N$1999,6,FALSE))</f>
        <v/>
      </c>
      <c r="H106" s="76" t="str">
        <f>IF($B106="","",IF(VLOOKUP($B106,QUEUE!$F$11:$N$1999,8,FALSE)=0,"",VLOOKUP($B106,QUEUE!$F$11:$N$1999,8,FALSE)))</f>
        <v/>
      </c>
      <c r="I106" s="72" t="str">
        <f>IFERROR(IF($B106="","",VLOOKUP($B106,QUEUE!$F$11:$N$1999,9,FALSE)),"")</f>
        <v/>
      </c>
    </row>
    <row r="107" spans="2:9" ht="30" x14ac:dyDescent="0.4">
      <c r="C107" s="35" t="str">
        <f>IF($B107="","",VLOOKUP($B107,QUEUE!$F$11:$N$1999,2,FALSE))</f>
        <v/>
      </c>
      <c r="D107" s="39" t="str">
        <f>IF($B107="","",VLOOKUP($B107,QUEUE!$F$11:$N$1999,3,FALSE))</f>
        <v/>
      </c>
      <c r="E107" s="35" t="str">
        <f>IF($B107="","",VLOOKUP($B107,QUEUE!$F$11:$N$1999,4,FALSE))</f>
        <v/>
      </c>
      <c r="F107" s="35" t="str">
        <f>IF($B107="","",VLOOKUP($B107,QUEUE!$F$11:$N$1999,5,FALSE))</f>
        <v/>
      </c>
      <c r="G107" s="35" t="str">
        <f>IF($B107="","",VLOOKUP($B107,QUEUE!$F$11:$N$1999,6,FALSE))</f>
        <v/>
      </c>
      <c r="H107" s="75" t="str">
        <f>IF($B107="","",IF(VLOOKUP($B107,QUEUE!$F$11:$N$1999,8,FALSE)=0,"",VLOOKUP($B107,QUEUE!$F$11:$N$1999,8,FALSE)))</f>
        <v/>
      </c>
      <c r="I107" s="67" t="str">
        <f>IFERROR(IF($B107="","",VLOOKUP($B107,QUEUE!$F$11:$N$1999,9,FALSE)),"")</f>
        <v/>
      </c>
    </row>
    <row r="108" spans="2:9" ht="30" x14ac:dyDescent="0.4">
      <c r="B108" s="36"/>
      <c r="C108" s="36" t="str">
        <f>IF($B108="","",VLOOKUP($B108,QUEUE!$F$11:$N$1999,2,FALSE))</f>
        <v/>
      </c>
      <c r="D108" s="40" t="str">
        <f>IF($B108="","",VLOOKUP($B108,QUEUE!$F$11:$N$1999,3,FALSE))</f>
        <v/>
      </c>
      <c r="E108" s="36" t="str">
        <f>IF($B108="","",VLOOKUP($B108,QUEUE!$F$11:$N$1999,4,FALSE))</f>
        <v/>
      </c>
      <c r="F108" s="36" t="str">
        <f>IF($B108="","",VLOOKUP($B108,QUEUE!$F$11:$N$1999,5,FALSE))</f>
        <v/>
      </c>
      <c r="G108" s="36" t="str">
        <f>IF($B108="","",VLOOKUP($B108,QUEUE!$F$11:$N$1999,6,FALSE))</f>
        <v/>
      </c>
      <c r="H108" s="76" t="str">
        <f>IF($B108="","",IF(VLOOKUP($B108,QUEUE!$F$11:$N$1999,8,FALSE)=0,"",VLOOKUP($B108,QUEUE!$F$11:$N$1999,8,FALSE)))</f>
        <v/>
      </c>
      <c r="I108" s="72" t="str">
        <f>IFERROR(IF($B108="","",VLOOKUP($B108,QUEUE!$F$11:$N$1999,9,FALSE)),"")</f>
        <v/>
      </c>
    </row>
    <row r="109" spans="2:9" ht="30" x14ac:dyDescent="0.4">
      <c r="C109" s="35" t="str">
        <f>IF($B109="","",VLOOKUP($B109,QUEUE!$F$11:$N$1999,2,FALSE))</f>
        <v/>
      </c>
      <c r="D109" s="39" t="str">
        <f>IF($B109="","",VLOOKUP($B109,QUEUE!$F$11:$N$1999,3,FALSE))</f>
        <v/>
      </c>
      <c r="E109" s="35" t="str">
        <f>IF($B109="","",VLOOKUP($B109,QUEUE!$F$11:$N$1999,4,FALSE))</f>
        <v/>
      </c>
      <c r="F109" s="35" t="str">
        <f>IF($B109="","",VLOOKUP($B109,QUEUE!$F$11:$N$1999,5,FALSE))</f>
        <v/>
      </c>
      <c r="G109" s="35" t="str">
        <f>IF($B109="","",VLOOKUP($B109,QUEUE!$F$11:$N$1999,6,FALSE))</f>
        <v/>
      </c>
      <c r="H109" s="75" t="str">
        <f>IF($B109="","",IF(VLOOKUP($B109,QUEUE!$F$11:$N$1999,8,FALSE)=0,"",VLOOKUP($B109,QUEUE!$F$11:$N$1999,8,FALSE)))</f>
        <v/>
      </c>
      <c r="I109" s="67" t="str">
        <f>IFERROR(IF($B109="","",VLOOKUP($B109,QUEUE!$F$11:$N$1999,9,FALSE)),"")</f>
        <v/>
      </c>
    </row>
    <row r="110" spans="2:9" ht="30" x14ac:dyDescent="0.4">
      <c r="B110" s="36"/>
      <c r="C110" s="36" t="str">
        <f>IF($B110="","",VLOOKUP($B110,QUEUE!$F$11:$N$1999,2,FALSE))</f>
        <v/>
      </c>
      <c r="D110" s="40" t="str">
        <f>IF($B110="","",VLOOKUP($B110,QUEUE!$F$11:$N$1999,3,FALSE))</f>
        <v/>
      </c>
      <c r="E110" s="36" t="str">
        <f>IF($B110="","",VLOOKUP($B110,QUEUE!$F$11:$N$1999,4,FALSE))</f>
        <v/>
      </c>
      <c r="F110" s="36" t="str">
        <f>IF($B110="","",VLOOKUP($B110,QUEUE!$F$11:$N$1999,5,FALSE))</f>
        <v/>
      </c>
      <c r="G110" s="36" t="str">
        <f>IF($B110="","",VLOOKUP($B110,QUEUE!$F$11:$N$1999,6,FALSE))</f>
        <v/>
      </c>
      <c r="H110" s="76" t="str">
        <f>IF($B110="","",IF(VLOOKUP($B110,QUEUE!$F$11:$N$1999,8,FALSE)=0,"",VLOOKUP($B110,QUEUE!$F$11:$N$1999,8,FALSE)))</f>
        <v/>
      </c>
      <c r="I110" s="72" t="str">
        <f>IFERROR(IF($B110="","",VLOOKUP($B110,QUEUE!$F$11:$N$1999,9,FALSE)),"")</f>
        <v/>
      </c>
    </row>
    <row r="111" spans="2:9" ht="30" x14ac:dyDescent="0.4">
      <c r="C111" s="35" t="str">
        <f>IF($B111="","",VLOOKUP($B111,QUEUE!$F$11:$N$1999,2,FALSE))</f>
        <v/>
      </c>
      <c r="D111" s="39" t="str">
        <f>IF($B111="","",VLOOKUP($B111,QUEUE!$F$11:$N$1999,3,FALSE))</f>
        <v/>
      </c>
      <c r="E111" s="35" t="str">
        <f>IF($B111="","",VLOOKUP($B111,QUEUE!$F$11:$N$1999,4,FALSE))</f>
        <v/>
      </c>
      <c r="F111" s="35" t="str">
        <f>IF($B111="","",VLOOKUP($B111,QUEUE!$F$11:$N$1999,5,FALSE))</f>
        <v/>
      </c>
      <c r="G111" s="35" t="str">
        <f>IF($B111="","",VLOOKUP($B111,QUEUE!$F$11:$N$1999,6,FALSE))</f>
        <v/>
      </c>
      <c r="H111" s="75" t="str">
        <f>IF($B111="","",IF(VLOOKUP($B111,QUEUE!$F$11:$N$1999,8,FALSE)=0,"",VLOOKUP($B111,QUEUE!$F$11:$N$1999,8,FALSE)))</f>
        <v/>
      </c>
      <c r="I111" s="67" t="str">
        <f>IFERROR(IF($B111="","",VLOOKUP($B111,QUEUE!$F$11:$N$1999,9,FALSE)),"")</f>
        <v/>
      </c>
    </row>
    <row r="112" spans="2:9" ht="30" x14ac:dyDescent="0.4">
      <c r="B112" s="36"/>
      <c r="C112" s="36" t="str">
        <f>IF($B112="","",VLOOKUP($B112,QUEUE!$F$11:$N$1999,2,FALSE))</f>
        <v/>
      </c>
      <c r="D112" s="40" t="str">
        <f>IF($B112="","",VLOOKUP($B112,QUEUE!$F$11:$N$1999,3,FALSE))</f>
        <v/>
      </c>
      <c r="E112" s="36" t="str">
        <f>IF($B112="","",VLOOKUP($B112,QUEUE!$F$11:$N$1999,4,FALSE))</f>
        <v/>
      </c>
      <c r="F112" s="36" t="str">
        <f>IF($B112="","",VLOOKUP($B112,QUEUE!$F$11:$N$1999,5,FALSE))</f>
        <v/>
      </c>
      <c r="G112" s="36" t="str">
        <f>IF($B112="","",VLOOKUP($B112,QUEUE!$F$11:$N$1999,6,FALSE))</f>
        <v/>
      </c>
      <c r="H112" s="76" t="str">
        <f>IF($B112="","",IF(VLOOKUP($B112,QUEUE!$F$11:$N$1999,8,FALSE)=0,"",VLOOKUP($B112,QUEUE!$F$11:$N$1999,8,FALSE)))</f>
        <v/>
      </c>
      <c r="I112" s="72" t="str">
        <f>IFERROR(IF($B112="","",VLOOKUP($B112,QUEUE!$F$11:$N$1999,9,FALSE)),"")</f>
        <v/>
      </c>
    </row>
    <row r="113" spans="2:9" ht="30" x14ac:dyDescent="0.4">
      <c r="C113" s="35" t="str">
        <f>IF($B113="","",VLOOKUP($B113,QUEUE!$F$11:$N$1999,2,FALSE))</f>
        <v/>
      </c>
      <c r="D113" s="39" t="str">
        <f>IF($B113="","",VLOOKUP($B113,QUEUE!$F$11:$N$1999,3,FALSE))</f>
        <v/>
      </c>
      <c r="E113" s="35" t="str">
        <f>IF($B113="","",VLOOKUP($B113,QUEUE!$F$11:$N$1999,4,FALSE))</f>
        <v/>
      </c>
      <c r="F113" s="35" t="str">
        <f>IF($B113="","",VLOOKUP($B113,QUEUE!$F$11:$N$1999,5,FALSE))</f>
        <v/>
      </c>
      <c r="G113" s="35" t="str">
        <f>IF($B113="","",VLOOKUP($B113,QUEUE!$F$11:$N$1999,6,FALSE))</f>
        <v/>
      </c>
      <c r="H113" s="75" t="str">
        <f>IF($B113="","",IF(VLOOKUP($B113,QUEUE!$F$11:$N$1999,8,FALSE)=0,"",VLOOKUP($B113,QUEUE!$F$11:$N$1999,8,FALSE)))</f>
        <v/>
      </c>
      <c r="I113" s="67" t="str">
        <f>IFERROR(IF($B113="","",VLOOKUP($B113,QUEUE!$F$11:$N$1999,9,FALSE)),"")</f>
        <v/>
      </c>
    </row>
    <row r="114" spans="2:9" ht="30" x14ac:dyDescent="0.4">
      <c r="B114" s="36"/>
      <c r="C114" s="36" t="str">
        <f>IF($B114="","",VLOOKUP($B114,QUEUE!$F$11:$N$1999,2,FALSE))</f>
        <v/>
      </c>
      <c r="D114" s="40" t="str">
        <f>IF($B114="","",VLOOKUP($B114,QUEUE!$F$11:$N$1999,3,FALSE))</f>
        <v/>
      </c>
      <c r="E114" s="36" t="str">
        <f>IF($B114="","",VLOOKUP($B114,QUEUE!$F$11:$N$1999,4,FALSE))</f>
        <v/>
      </c>
      <c r="F114" s="36" t="str">
        <f>IF($B114="","",VLOOKUP($B114,QUEUE!$F$11:$N$1999,5,FALSE))</f>
        <v/>
      </c>
      <c r="G114" s="36" t="str">
        <f>IF($B114="","",VLOOKUP($B114,QUEUE!$F$11:$N$1999,6,FALSE))</f>
        <v/>
      </c>
      <c r="H114" s="76" t="str">
        <f>IF($B114="","",IF(VLOOKUP($B114,QUEUE!$F$11:$N$1999,8,FALSE)=0,"",VLOOKUP($B114,QUEUE!$F$11:$N$1999,8,FALSE)))</f>
        <v/>
      </c>
      <c r="I114" s="72" t="str">
        <f>IFERROR(IF($B114="","",VLOOKUP($B114,QUEUE!$F$11:$N$1999,9,FALSE)),"")</f>
        <v/>
      </c>
    </row>
    <row r="115" spans="2:9" ht="30" x14ac:dyDescent="0.4">
      <c r="C115" s="35" t="str">
        <f>IF($B115="","",VLOOKUP($B115,QUEUE!$F$11:$N$1999,2,FALSE))</f>
        <v/>
      </c>
      <c r="D115" s="39" t="str">
        <f>IF($B115="","",VLOOKUP($B115,QUEUE!$F$11:$N$1999,3,FALSE))</f>
        <v/>
      </c>
      <c r="E115" s="35" t="str">
        <f>IF($B115="","",VLOOKUP($B115,QUEUE!$F$11:$N$1999,4,FALSE))</f>
        <v/>
      </c>
      <c r="F115" s="35" t="str">
        <f>IF($B115="","",VLOOKUP($B115,QUEUE!$F$11:$N$1999,5,FALSE))</f>
        <v/>
      </c>
      <c r="G115" s="35" t="str">
        <f>IF($B115="","",VLOOKUP($B115,QUEUE!$F$11:$N$1999,6,FALSE))</f>
        <v/>
      </c>
      <c r="H115" s="75" t="str">
        <f>IF($B115="","",IF(VLOOKUP($B115,QUEUE!$F$11:$N$1999,8,FALSE)=0,"",VLOOKUP($B115,QUEUE!$F$11:$N$1999,8,FALSE)))</f>
        <v/>
      </c>
      <c r="I115" s="67" t="str">
        <f>IFERROR(IF($B115="","",VLOOKUP($B115,QUEUE!$F$11:$N$1999,9,FALSE)),"")</f>
        <v/>
      </c>
    </row>
    <row r="116" spans="2:9" ht="30" x14ac:dyDescent="0.4">
      <c r="B116" s="36"/>
      <c r="C116" s="36" t="str">
        <f>IF($B116="","",VLOOKUP($B116,QUEUE!$F$11:$N$1999,2,FALSE))</f>
        <v/>
      </c>
      <c r="D116" s="40" t="str">
        <f>IF($B116="","",VLOOKUP($B116,QUEUE!$F$11:$N$1999,3,FALSE))</f>
        <v/>
      </c>
      <c r="E116" s="36" t="str">
        <f>IF($B116="","",VLOOKUP($B116,QUEUE!$F$11:$N$1999,4,FALSE))</f>
        <v/>
      </c>
      <c r="F116" s="36" t="str">
        <f>IF($B116="","",VLOOKUP($B116,QUEUE!$F$11:$N$1999,5,FALSE))</f>
        <v/>
      </c>
      <c r="G116" s="36" t="str">
        <f>IF($B116="","",VLOOKUP($B116,QUEUE!$F$11:$N$1999,6,FALSE))</f>
        <v/>
      </c>
      <c r="H116" s="76" t="str">
        <f>IF($B116="","",IF(VLOOKUP($B116,QUEUE!$F$11:$N$1999,8,FALSE)=0,"",VLOOKUP($B116,QUEUE!$F$11:$N$1999,8,FALSE)))</f>
        <v/>
      </c>
      <c r="I116" s="72" t="str">
        <f>IFERROR(IF($B116="","",VLOOKUP($B116,QUEUE!$F$11:$N$1999,9,FALSE)),"")</f>
        <v/>
      </c>
    </row>
    <row r="117" spans="2:9" ht="30" x14ac:dyDescent="0.4">
      <c r="C117" s="35" t="str">
        <f>IF($B117="","",VLOOKUP($B117,QUEUE!$F$11:$N$1999,2,FALSE))</f>
        <v/>
      </c>
      <c r="D117" s="39" t="str">
        <f>IF($B117="","",VLOOKUP($B117,QUEUE!$F$11:$N$1999,3,FALSE))</f>
        <v/>
      </c>
      <c r="E117" s="35" t="str">
        <f>IF($B117="","",VLOOKUP($B117,QUEUE!$F$11:$N$1999,4,FALSE))</f>
        <v/>
      </c>
      <c r="F117" s="35" t="str">
        <f>IF($B117="","",VLOOKUP($B117,QUEUE!$F$11:$N$1999,5,FALSE))</f>
        <v/>
      </c>
      <c r="G117" s="35" t="str">
        <f>IF($B117="","",VLOOKUP($B117,QUEUE!$F$11:$N$1999,6,FALSE))</f>
        <v/>
      </c>
      <c r="H117" s="75" t="str">
        <f>IF($B117="","",IF(VLOOKUP($B117,QUEUE!$F$11:$N$1999,8,FALSE)=0,"",VLOOKUP($B117,QUEUE!$F$11:$N$1999,8,FALSE)))</f>
        <v/>
      </c>
      <c r="I117" s="67" t="str">
        <f>IFERROR(IF($B117="","",VLOOKUP($B117,QUEUE!$F$11:$N$1999,9,FALSE)),"")</f>
        <v/>
      </c>
    </row>
    <row r="118" spans="2:9" ht="30" x14ac:dyDescent="0.4">
      <c r="B118" s="36"/>
      <c r="C118" s="36" t="str">
        <f>IF($B118="","",VLOOKUP($B118,QUEUE!$F$11:$N$1999,2,FALSE))</f>
        <v/>
      </c>
      <c r="D118" s="40" t="str">
        <f>IF($B118="","",VLOOKUP($B118,QUEUE!$F$11:$N$1999,3,FALSE))</f>
        <v/>
      </c>
      <c r="E118" s="36" t="str">
        <f>IF($B118="","",VLOOKUP($B118,QUEUE!$F$11:$N$1999,4,FALSE))</f>
        <v/>
      </c>
      <c r="F118" s="36" t="str">
        <f>IF($B118="","",VLOOKUP($B118,QUEUE!$F$11:$N$1999,5,FALSE))</f>
        <v/>
      </c>
      <c r="G118" s="36" t="str">
        <f>IF($B118="","",VLOOKUP($B118,QUEUE!$F$11:$N$1999,6,FALSE))</f>
        <v/>
      </c>
      <c r="H118" s="76" t="str">
        <f>IF($B118="","",IF(VLOOKUP($B118,QUEUE!$F$11:$N$1999,8,FALSE)=0,"",VLOOKUP($B118,QUEUE!$F$11:$N$1999,8,FALSE)))</f>
        <v/>
      </c>
      <c r="I118" s="72" t="str">
        <f>IFERROR(IF($B118="","",VLOOKUP($B118,QUEUE!$F$11:$N$1999,9,FALSE)),"")</f>
        <v/>
      </c>
    </row>
    <row r="119" spans="2:9" ht="30" x14ac:dyDescent="0.4">
      <c r="C119" s="35" t="str">
        <f>IF($B119="","",VLOOKUP($B119,QUEUE!$F$11:$N$1999,2,FALSE))</f>
        <v/>
      </c>
      <c r="D119" s="39" t="str">
        <f>IF($B119="","",VLOOKUP($B119,QUEUE!$F$11:$N$1999,3,FALSE))</f>
        <v/>
      </c>
      <c r="E119" s="35" t="str">
        <f>IF($B119="","",VLOOKUP($B119,QUEUE!$F$11:$N$1999,4,FALSE))</f>
        <v/>
      </c>
      <c r="F119" s="35" t="str">
        <f>IF($B119="","",VLOOKUP($B119,QUEUE!$F$11:$N$1999,5,FALSE))</f>
        <v/>
      </c>
      <c r="G119" s="35" t="str">
        <f>IF($B119="","",VLOOKUP($B119,QUEUE!$F$11:$N$1999,6,FALSE))</f>
        <v/>
      </c>
      <c r="H119" s="75" t="str">
        <f>IF($B119="","",IF(VLOOKUP($B119,QUEUE!$F$11:$N$1999,8,FALSE)=0,"",VLOOKUP($B119,QUEUE!$F$11:$N$1999,8,FALSE)))</f>
        <v/>
      </c>
      <c r="I119" s="67" t="str">
        <f>IFERROR(IF($B119="","",VLOOKUP($B119,QUEUE!$F$11:$N$1999,9,FALSE)),"")</f>
        <v/>
      </c>
    </row>
    <row r="120" spans="2:9" ht="30" x14ac:dyDescent="0.4">
      <c r="B120" s="36"/>
      <c r="C120" s="36" t="str">
        <f>IF($B120="","",VLOOKUP($B120,QUEUE!$F$11:$N$1999,2,FALSE))</f>
        <v/>
      </c>
      <c r="D120" s="40" t="str">
        <f>IF($B120="","",VLOOKUP($B120,QUEUE!$F$11:$N$1999,3,FALSE))</f>
        <v/>
      </c>
      <c r="E120" s="36" t="str">
        <f>IF($B120="","",VLOOKUP($B120,QUEUE!$F$11:$N$1999,4,FALSE))</f>
        <v/>
      </c>
      <c r="F120" s="36" t="str">
        <f>IF($B120="","",VLOOKUP($B120,QUEUE!$F$11:$N$1999,5,FALSE))</f>
        <v/>
      </c>
      <c r="G120" s="36" t="str">
        <f>IF($B120="","",VLOOKUP($B120,QUEUE!$F$11:$N$1999,6,FALSE))</f>
        <v/>
      </c>
      <c r="H120" s="76" t="str">
        <f>IF($B120="","",IF(VLOOKUP($B120,QUEUE!$F$11:$N$1999,8,FALSE)=0,"",VLOOKUP($B120,QUEUE!$F$11:$N$1999,8,FALSE)))</f>
        <v/>
      </c>
      <c r="I120" s="72" t="str">
        <f>IFERROR(IF($B120="","",VLOOKUP($B120,QUEUE!$F$11:$N$1999,9,FALSE)),"")</f>
        <v/>
      </c>
    </row>
    <row r="121" spans="2:9" ht="30" x14ac:dyDescent="0.4">
      <c r="C121" s="35" t="str">
        <f>IF($B121="","",VLOOKUP($B121,QUEUE!$F$11:$N$1999,2,FALSE))</f>
        <v/>
      </c>
      <c r="D121" s="39" t="str">
        <f>IF($B121="","",VLOOKUP($B121,QUEUE!$F$11:$N$1999,3,FALSE))</f>
        <v/>
      </c>
      <c r="E121" s="35" t="str">
        <f>IF($B121="","",VLOOKUP($B121,QUEUE!$F$11:$N$1999,4,FALSE))</f>
        <v/>
      </c>
      <c r="F121" s="35" t="str">
        <f>IF($B121="","",VLOOKUP($B121,QUEUE!$F$11:$N$1999,5,FALSE))</f>
        <v/>
      </c>
      <c r="G121" s="35" t="str">
        <f>IF($B121="","",VLOOKUP($B121,QUEUE!$F$11:$N$1999,6,FALSE))</f>
        <v/>
      </c>
      <c r="H121" s="75" t="str">
        <f>IF($B121="","",IF(VLOOKUP($B121,QUEUE!$F$11:$N$1999,8,FALSE)=0,"",VLOOKUP($B121,QUEUE!$F$11:$N$1999,8,FALSE)))</f>
        <v/>
      </c>
      <c r="I121" s="67" t="str">
        <f>IFERROR(IF($B121="","",VLOOKUP($B121,QUEUE!$F$11:$N$1999,9,FALSE)),"")</f>
        <v/>
      </c>
    </row>
    <row r="122" spans="2:9" ht="30" x14ac:dyDescent="0.4">
      <c r="B122" s="36"/>
      <c r="C122" s="36" t="str">
        <f>IF($B122="","",VLOOKUP($B122,QUEUE!$F$11:$N$1999,2,FALSE))</f>
        <v/>
      </c>
      <c r="D122" s="40" t="str">
        <f>IF($B122="","",VLOOKUP($B122,QUEUE!$F$11:$N$1999,3,FALSE))</f>
        <v/>
      </c>
      <c r="E122" s="36" t="str">
        <f>IF($B122="","",VLOOKUP($B122,QUEUE!$F$11:$N$1999,4,FALSE))</f>
        <v/>
      </c>
      <c r="F122" s="36" t="str">
        <f>IF($B122="","",VLOOKUP($B122,QUEUE!$F$11:$N$1999,5,FALSE))</f>
        <v/>
      </c>
      <c r="G122" s="36" t="str">
        <f>IF($B122="","",VLOOKUP($B122,QUEUE!$F$11:$N$1999,6,FALSE))</f>
        <v/>
      </c>
      <c r="H122" s="76" t="str">
        <f>IF($B122="","",IF(VLOOKUP($B122,QUEUE!$F$11:$N$1999,8,FALSE)=0,"",VLOOKUP($B122,QUEUE!$F$11:$N$1999,8,FALSE)))</f>
        <v/>
      </c>
      <c r="I122" s="72" t="str">
        <f>IFERROR(IF($B122="","",VLOOKUP($B122,QUEUE!$F$11:$N$1999,9,FALSE)),"")</f>
        <v/>
      </c>
    </row>
    <row r="123" spans="2:9" ht="30" x14ac:dyDescent="0.4">
      <c r="C123" s="35" t="str">
        <f>IF($B123="","",VLOOKUP($B123,QUEUE!$F$11:$N$1999,2,FALSE))</f>
        <v/>
      </c>
      <c r="D123" s="39" t="str">
        <f>IF($B123="","",VLOOKUP($B123,QUEUE!$F$11:$N$1999,3,FALSE))</f>
        <v/>
      </c>
      <c r="E123" s="35" t="str">
        <f>IF($B123="","",VLOOKUP($B123,QUEUE!$F$11:$N$1999,4,FALSE))</f>
        <v/>
      </c>
      <c r="F123" s="35" t="str">
        <f>IF($B123="","",VLOOKUP($B123,QUEUE!$F$11:$N$1999,5,FALSE))</f>
        <v/>
      </c>
      <c r="G123" s="35" t="str">
        <f>IF($B123="","",VLOOKUP($B123,QUEUE!$F$11:$N$1999,6,FALSE))</f>
        <v/>
      </c>
      <c r="H123" s="75" t="str">
        <f>IF($B123="","",IF(VLOOKUP($B123,QUEUE!$F$11:$N$1999,8,FALSE)=0,"",VLOOKUP($B123,QUEUE!$F$11:$N$1999,8,FALSE)))</f>
        <v/>
      </c>
      <c r="I123" s="67" t="str">
        <f>IFERROR(IF($B123="","",VLOOKUP($B123,QUEUE!$F$11:$N$1999,9,FALSE)),"")</f>
        <v/>
      </c>
    </row>
    <row r="124" spans="2:9" ht="30" x14ac:dyDescent="0.4">
      <c r="B124" s="36"/>
      <c r="C124" s="36" t="str">
        <f>IF($B124="","",VLOOKUP($B124,QUEUE!$F$11:$N$1999,2,FALSE))</f>
        <v/>
      </c>
      <c r="D124" s="40" t="str">
        <f>IF($B124="","",VLOOKUP($B124,QUEUE!$F$11:$N$1999,3,FALSE))</f>
        <v/>
      </c>
      <c r="E124" s="36" t="str">
        <f>IF($B124="","",VLOOKUP($B124,QUEUE!$F$11:$N$1999,4,FALSE))</f>
        <v/>
      </c>
      <c r="F124" s="36" t="str">
        <f>IF($B124="","",VLOOKUP($B124,QUEUE!$F$11:$N$1999,5,FALSE))</f>
        <v/>
      </c>
      <c r="G124" s="36" t="str">
        <f>IF($B124="","",VLOOKUP($B124,QUEUE!$F$11:$N$1999,6,FALSE))</f>
        <v/>
      </c>
      <c r="H124" s="76" t="str">
        <f>IF($B124="","",IF(VLOOKUP($B124,QUEUE!$F$11:$N$1999,8,FALSE)=0,"",VLOOKUP($B124,QUEUE!$F$11:$N$1999,8,FALSE)))</f>
        <v/>
      </c>
      <c r="I124" s="72" t="str">
        <f>IFERROR(IF($B124="","",VLOOKUP($B124,QUEUE!$F$11:$N$1999,9,FALSE)),"")</f>
        <v/>
      </c>
    </row>
    <row r="125" spans="2:9" ht="30" x14ac:dyDescent="0.4">
      <c r="C125" s="35" t="str">
        <f>IF($B125="","",VLOOKUP($B125,QUEUE!$F$11:$N$1999,2,FALSE))</f>
        <v/>
      </c>
      <c r="D125" s="39" t="str">
        <f>IF($B125="","",VLOOKUP($B125,QUEUE!$F$11:$N$1999,3,FALSE))</f>
        <v/>
      </c>
      <c r="E125" s="35" t="str">
        <f>IF($B125="","",VLOOKUP($B125,QUEUE!$F$11:$N$1999,4,FALSE))</f>
        <v/>
      </c>
      <c r="F125" s="35" t="str">
        <f>IF($B125="","",VLOOKUP($B125,QUEUE!$F$11:$N$1999,5,FALSE))</f>
        <v/>
      </c>
      <c r="G125" s="35" t="str">
        <f>IF($B125="","",VLOOKUP($B125,QUEUE!$F$11:$N$1999,6,FALSE))</f>
        <v/>
      </c>
      <c r="H125" s="75" t="str">
        <f>IF($B125="","",IF(VLOOKUP($B125,QUEUE!$F$11:$N$1999,8,FALSE)=0,"",VLOOKUP($B125,QUEUE!$F$11:$N$1999,8,FALSE)))</f>
        <v/>
      </c>
      <c r="I125" s="67" t="str">
        <f>IFERROR(IF($B125="","",VLOOKUP($B125,QUEUE!$F$11:$N$1999,9,FALSE)),"")</f>
        <v/>
      </c>
    </row>
    <row r="126" spans="2:9" ht="30" x14ac:dyDescent="0.4">
      <c r="B126" s="36"/>
      <c r="C126" s="36" t="str">
        <f>IF($B126="","",VLOOKUP($B126,QUEUE!$F$11:$N$1999,2,FALSE))</f>
        <v/>
      </c>
      <c r="D126" s="40" t="str">
        <f>IF($B126="","",VLOOKUP($B126,QUEUE!$F$11:$N$1999,3,FALSE))</f>
        <v/>
      </c>
      <c r="E126" s="36" t="str">
        <f>IF($B126="","",VLOOKUP($B126,QUEUE!$F$11:$N$1999,4,FALSE))</f>
        <v/>
      </c>
      <c r="F126" s="36" t="str">
        <f>IF($B126="","",VLOOKUP($B126,QUEUE!$F$11:$N$1999,5,FALSE))</f>
        <v/>
      </c>
      <c r="G126" s="36" t="str">
        <f>IF($B126="","",VLOOKUP($B126,QUEUE!$F$11:$N$1999,6,FALSE))</f>
        <v/>
      </c>
      <c r="H126" s="76" t="str">
        <f>IF($B126="","",IF(VLOOKUP($B126,QUEUE!$F$11:$N$1999,8,FALSE)=0,"",VLOOKUP($B126,QUEUE!$F$11:$N$1999,8,FALSE)))</f>
        <v/>
      </c>
      <c r="I126" s="72" t="str">
        <f>IFERROR(IF($B126="","",VLOOKUP($B126,QUEUE!$F$11:$N$1999,9,FALSE)),"")</f>
        <v/>
      </c>
    </row>
    <row r="127" spans="2:9" ht="30" x14ac:dyDescent="0.4">
      <c r="C127" s="35" t="str">
        <f>IF($B127="","",VLOOKUP($B127,QUEUE!$F$11:$N$1999,2,FALSE))</f>
        <v/>
      </c>
      <c r="D127" s="39" t="str">
        <f>IF($B127="","",VLOOKUP($B127,QUEUE!$F$11:$N$1999,3,FALSE))</f>
        <v/>
      </c>
      <c r="E127" s="35" t="str">
        <f>IF($B127="","",VLOOKUP($B127,QUEUE!$F$11:$N$1999,4,FALSE))</f>
        <v/>
      </c>
      <c r="F127" s="35" t="str">
        <f>IF($B127="","",VLOOKUP($B127,QUEUE!$F$11:$N$1999,5,FALSE))</f>
        <v/>
      </c>
      <c r="G127" s="35" t="str">
        <f>IF($B127="","",VLOOKUP($B127,QUEUE!$F$11:$N$1999,6,FALSE))</f>
        <v/>
      </c>
      <c r="H127" s="75" t="str">
        <f>IF($B127="","",IF(VLOOKUP($B127,QUEUE!$F$11:$N$1999,8,FALSE)=0,"",VLOOKUP($B127,QUEUE!$F$11:$N$1999,8,FALSE)))</f>
        <v/>
      </c>
      <c r="I127" s="67" t="str">
        <f>IFERROR(IF($B127="","",VLOOKUP($B127,QUEUE!$F$11:$N$1999,9,FALSE)),"")</f>
        <v/>
      </c>
    </row>
    <row r="128" spans="2:9" ht="30" x14ac:dyDescent="0.4">
      <c r="B128" s="36"/>
      <c r="C128" s="36" t="str">
        <f>IF($B128="","",VLOOKUP($B128,QUEUE!$F$11:$N$1999,2,FALSE))</f>
        <v/>
      </c>
      <c r="D128" s="40" t="str">
        <f>IF($B128="","",VLOOKUP($B128,QUEUE!$F$11:$N$1999,3,FALSE))</f>
        <v/>
      </c>
      <c r="E128" s="36" t="str">
        <f>IF($B128="","",VLOOKUP($B128,QUEUE!$F$11:$N$1999,4,FALSE))</f>
        <v/>
      </c>
      <c r="F128" s="36" t="str">
        <f>IF($B128="","",VLOOKUP($B128,QUEUE!$F$11:$N$1999,5,FALSE))</f>
        <v/>
      </c>
      <c r="G128" s="36" t="str">
        <f>IF($B128="","",VLOOKUP($B128,QUEUE!$F$11:$N$1999,6,FALSE))</f>
        <v/>
      </c>
      <c r="H128" s="76" t="str">
        <f>IF($B128="","",IF(VLOOKUP($B128,QUEUE!$F$11:$N$1999,8,FALSE)=0,"",VLOOKUP($B128,QUEUE!$F$11:$N$1999,8,FALSE)))</f>
        <v/>
      </c>
      <c r="I128" s="72" t="str">
        <f>IFERROR(IF($B128="","",VLOOKUP($B128,QUEUE!$F$11:$N$1999,9,FALSE)),"")</f>
        <v/>
      </c>
    </row>
    <row r="129" spans="2:9" ht="30" x14ac:dyDescent="0.4">
      <c r="C129" s="35" t="str">
        <f>IF($B129="","",VLOOKUP($B129,QUEUE!$F$11:$N$1999,2,FALSE))</f>
        <v/>
      </c>
      <c r="D129" s="39" t="str">
        <f>IF($B129="","",VLOOKUP($B129,QUEUE!$F$11:$N$1999,3,FALSE))</f>
        <v/>
      </c>
      <c r="E129" s="35" t="str">
        <f>IF($B129="","",VLOOKUP($B129,QUEUE!$F$11:$N$1999,4,FALSE))</f>
        <v/>
      </c>
      <c r="F129" s="35" t="str">
        <f>IF($B129="","",VLOOKUP($B129,QUEUE!$F$11:$N$1999,5,FALSE))</f>
        <v/>
      </c>
      <c r="G129" s="35" t="str">
        <f>IF($B129="","",VLOOKUP($B129,QUEUE!$F$11:$N$1999,6,FALSE))</f>
        <v/>
      </c>
      <c r="H129" s="75" t="str">
        <f>IF($B129="","",IF(VLOOKUP($B129,QUEUE!$F$11:$N$1999,8,FALSE)=0,"",VLOOKUP($B129,QUEUE!$F$11:$N$1999,8,FALSE)))</f>
        <v/>
      </c>
      <c r="I129" s="67" t="str">
        <f>IFERROR(IF($B129="","",VLOOKUP($B129,QUEUE!$F$11:$N$1999,9,FALSE)),"")</f>
        <v/>
      </c>
    </row>
    <row r="130" spans="2:9" ht="30" x14ac:dyDescent="0.4">
      <c r="B130" s="36"/>
      <c r="C130" s="36" t="str">
        <f>IF($B130="","",VLOOKUP($B130,QUEUE!$F$11:$N$1999,2,FALSE))</f>
        <v/>
      </c>
      <c r="D130" s="40" t="str">
        <f>IF($B130="","",VLOOKUP($B130,QUEUE!$F$11:$N$1999,3,FALSE))</f>
        <v/>
      </c>
      <c r="E130" s="36" t="str">
        <f>IF($B130="","",VLOOKUP($B130,QUEUE!$F$11:$N$1999,4,FALSE))</f>
        <v/>
      </c>
      <c r="F130" s="36" t="str">
        <f>IF($B130="","",VLOOKUP($B130,QUEUE!$F$11:$N$1999,5,FALSE))</f>
        <v/>
      </c>
      <c r="G130" s="36" t="str">
        <f>IF($B130="","",VLOOKUP($B130,QUEUE!$F$11:$N$1999,6,FALSE))</f>
        <v/>
      </c>
      <c r="H130" s="76" t="str">
        <f>IF($B130="","",IF(VLOOKUP($B130,QUEUE!$F$11:$N$1999,8,FALSE)=0,"",VLOOKUP($B130,QUEUE!$F$11:$N$1999,8,FALSE)))</f>
        <v/>
      </c>
      <c r="I130" s="72" t="str">
        <f>IFERROR(IF($B130="","",VLOOKUP($B130,QUEUE!$F$11:$N$1999,9,FALSE)),"")</f>
        <v/>
      </c>
    </row>
    <row r="131" spans="2:9" ht="30" x14ac:dyDescent="0.4">
      <c r="C131" s="35" t="str">
        <f>IF($B131="","",VLOOKUP($B131,QUEUE!$F$11:$N$1999,2,FALSE))</f>
        <v/>
      </c>
      <c r="D131" s="39" t="str">
        <f>IF($B131="","",VLOOKUP($B131,QUEUE!$F$11:$N$1999,3,FALSE))</f>
        <v/>
      </c>
      <c r="E131" s="35" t="str">
        <f>IF($B131="","",VLOOKUP($B131,QUEUE!$F$11:$N$1999,4,FALSE))</f>
        <v/>
      </c>
      <c r="F131" s="35" t="str">
        <f>IF($B131="","",VLOOKUP($B131,QUEUE!$F$11:$N$1999,5,FALSE))</f>
        <v/>
      </c>
      <c r="G131" s="35" t="str">
        <f>IF($B131="","",VLOOKUP($B131,QUEUE!$F$11:$N$1999,6,FALSE))</f>
        <v/>
      </c>
      <c r="H131" s="75" t="str">
        <f>IF($B131="","",IF(VLOOKUP($B131,QUEUE!$F$11:$N$1999,8,FALSE)=0,"",VLOOKUP($B131,QUEUE!$F$11:$N$1999,8,FALSE)))</f>
        <v/>
      </c>
      <c r="I131" s="67" t="str">
        <f>IFERROR(IF($B131="","",VLOOKUP($B131,QUEUE!$F$11:$N$1999,9,FALSE)),"")</f>
        <v/>
      </c>
    </row>
    <row r="132" spans="2:9" ht="30" x14ac:dyDescent="0.4">
      <c r="B132" s="36"/>
      <c r="C132" s="36" t="str">
        <f>IF($B132="","",VLOOKUP($B132,QUEUE!$F$11:$N$1999,2,FALSE))</f>
        <v/>
      </c>
      <c r="D132" s="40" t="str">
        <f>IF($B132="","",VLOOKUP($B132,QUEUE!$F$11:$N$1999,3,FALSE))</f>
        <v/>
      </c>
      <c r="E132" s="36" t="str">
        <f>IF($B132="","",VLOOKUP($B132,QUEUE!$F$11:$N$1999,4,FALSE))</f>
        <v/>
      </c>
      <c r="F132" s="36" t="str">
        <f>IF($B132="","",VLOOKUP($B132,QUEUE!$F$11:$N$1999,5,FALSE))</f>
        <v/>
      </c>
      <c r="G132" s="36" t="str">
        <f>IF($B132="","",VLOOKUP($B132,QUEUE!$F$11:$N$1999,6,FALSE))</f>
        <v/>
      </c>
      <c r="H132" s="76" t="str">
        <f>IF($B132="","",IF(VLOOKUP($B132,QUEUE!$F$11:$N$1999,8,FALSE)=0,"",VLOOKUP($B132,QUEUE!$F$11:$N$1999,8,FALSE)))</f>
        <v/>
      </c>
      <c r="I132" s="72" t="str">
        <f>IFERROR(IF($B132="","",VLOOKUP($B132,QUEUE!$F$11:$N$1999,9,FALSE)),"")</f>
        <v/>
      </c>
    </row>
    <row r="133" spans="2:9" ht="30" x14ac:dyDescent="0.4">
      <c r="C133" s="35" t="str">
        <f>IF($B133="","",VLOOKUP($B133,QUEUE!$F$11:$N$1999,2,FALSE))</f>
        <v/>
      </c>
      <c r="D133" s="39" t="str">
        <f>IF($B133="","",VLOOKUP($B133,QUEUE!$F$11:$N$1999,3,FALSE))</f>
        <v/>
      </c>
      <c r="E133" s="35" t="str">
        <f>IF($B133="","",VLOOKUP($B133,QUEUE!$F$11:$N$1999,4,FALSE))</f>
        <v/>
      </c>
      <c r="F133" s="35" t="str">
        <f>IF($B133="","",VLOOKUP($B133,QUEUE!$F$11:$N$1999,5,FALSE))</f>
        <v/>
      </c>
      <c r="G133" s="35" t="str">
        <f>IF($B133="","",VLOOKUP($B133,QUEUE!$F$11:$N$1999,6,FALSE))</f>
        <v/>
      </c>
      <c r="H133" s="75" t="str">
        <f>IF($B133="","",IF(VLOOKUP($B133,QUEUE!$F$11:$N$1999,8,FALSE)=0,"",VLOOKUP($B133,QUEUE!$F$11:$N$1999,8,FALSE)))</f>
        <v/>
      </c>
      <c r="I133" s="67" t="str">
        <f>IFERROR(IF($B133="","",VLOOKUP($B133,QUEUE!$F$11:$N$1999,9,FALSE)),"")</f>
        <v/>
      </c>
    </row>
    <row r="134" spans="2:9" ht="30" x14ac:dyDescent="0.4">
      <c r="B134" s="36"/>
      <c r="C134" s="36" t="str">
        <f>IF($B134="","",VLOOKUP($B134,QUEUE!$F$11:$N$1999,2,FALSE))</f>
        <v/>
      </c>
      <c r="D134" s="40" t="str">
        <f>IF($B134="","",VLOOKUP($B134,QUEUE!$F$11:$N$1999,3,FALSE))</f>
        <v/>
      </c>
      <c r="E134" s="36" t="str">
        <f>IF($B134="","",VLOOKUP($B134,QUEUE!$F$11:$N$1999,4,FALSE))</f>
        <v/>
      </c>
      <c r="F134" s="36" t="str">
        <f>IF($B134="","",VLOOKUP($B134,QUEUE!$F$11:$N$1999,5,FALSE))</f>
        <v/>
      </c>
      <c r="G134" s="36" t="str">
        <f>IF($B134="","",VLOOKUP($B134,QUEUE!$F$11:$N$1999,6,FALSE))</f>
        <v/>
      </c>
      <c r="H134" s="76" t="str">
        <f>IF($B134="","",IF(VLOOKUP($B134,QUEUE!$F$11:$N$1999,8,FALSE)=0,"",VLOOKUP($B134,QUEUE!$F$11:$N$1999,8,FALSE)))</f>
        <v/>
      </c>
      <c r="I134" s="72" t="str">
        <f>IFERROR(IF($B134="","",VLOOKUP($B134,QUEUE!$F$11:$N$1999,9,FALSE)),"")</f>
        <v/>
      </c>
    </row>
    <row r="135" spans="2:9" ht="30" x14ac:dyDescent="0.4">
      <c r="C135" s="35" t="str">
        <f>IF($B135="","",VLOOKUP($B135,QUEUE!$F$11:$N$1999,2,FALSE))</f>
        <v/>
      </c>
      <c r="D135" s="39" t="str">
        <f>IF($B135="","",VLOOKUP($B135,QUEUE!$F$11:$N$1999,3,FALSE))</f>
        <v/>
      </c>
      <c r="E135" s="35" t="str">
        <f>IF($B135="","",VLOOKUP($B135,QUEUE!$F$11:$N$1999,4,FALSE))</f>
        <v/>
      </c>
      <c r="F135" s="35" t="str">
        <f>IF($B135="","",VLOOKUP($B135,QUEUE!$F$11:$N$1999,5,FALSE))</f>
        <v/>
      </c>
      <c r="G135" s="35" t="str">
        <f>IF($B135="","",VLOOKUP($B135,QUEUE!$F$11:$N$1999,6,FALSE))</f>
        <v/>
      </c>
      <c r="H135" s="75" t="str">
        <f>IF($B135="","",IF(VLOOKUP($B135,QUEUE!$F$11:$N$1999,8,FALSE)=0,"",VLOOKUP($B135,QUEUE!$F$11:$N$1999,8,FALSE)))</f>
        <v/>
      </c>
      <c r="I135" s="67" t="str">
        <f>IFERROR(IF($B135="","",VLOOKUP($B135,QUEUE!$F$11:$N$1999,9,FALSE)),"")</f>
        <v/>
      </c>
    </row>
    <row r="136" spans="2:9" ht="30" x14ac:dyDescent="0.4">
      <c r="B136" s="36"/>
      <c r="C136" s="36" t="str">
        <f>IF($B136="","",VLOOKUP($B136,QUEUE!$F$11:$N$1999,2,FALSE))</f>
        <v/>
      </c>
      <c r="D136" s="40" t="str">
        <f>IF($B136="","",VLOOKUP($B136,QUEUE!$F$11:$N$1999,3,FALSE))</f>
        <v/>
      </c>
      <c r="E136" s="36" t="str">
        <f>IF($B136="","",VLOOKUP($B136,QUEUE!$F$11:$N$1999,4,FALSE))</f>
        <v/>
      </c>
      <c r="F136" s="36" t="str">
        <f>IF($B136="","",VLOOKUP($B136,QUEUE!$F$11:$N$1999,5,FALSE))</f>
        <v/>
      </c>
      <c r="G136" s="36" t="str">
        <f>IF($B136="","",VLOOKUP($B136,QUEUE!$F$11:$N$1999,6,FALSE))</f>
        <v/>
      </c>
      <c r="H136" s="76" t="str">
        <f>IF($B136="","",IF(VLOOKUP($B136,QUEUE!$F$11:$N$1999,8,FALSE)=0,"",VLOOKUP($B136,QUEUE!$F$11:$N$1999,8,FALSE)))</f>
        <v/>
      </c>
      <c r="I136" s="72" t="str">
        <f>IFERROR(IF($B136="","",VLOOKUP($B136,QUEUE!$F$11:$N$1999,9,FALSE)),"")</f>
        <v/>
      </c>
    </row>
    <row r="137" spans="2:9" ht="30" x14ac:dyDescent="0.4">
      <c r="C137" s="35" t="str">
        <f>IF($B137="","",VLOOKUP($B137,QUEUE!$F$11:$N$1999,2,FALSE))</f>
        <v/>
      </c>
      <c r="D137" s="39" t="str">
        <f>IF($B137="","",VLOOKUP($B137,QUEUE!$F$11:$N$1999,3,FALSE))</f>
        <v/>
      </c>
      <c r="E137" s="35" t="str">
        <f>IF($B137="","",VLOOKUP($B137,QUEUE!$F$11:$N$1999,4,FALSE))</f>
        <v/>
      </c>
      <c r="F137" s="35" t="str">
        <f>IF($B137="","",VLOOKUP($B137,QUEUE!$F$11:$N$1999,5,FALSE))</f>
        <v/>
      </c>
      <c r="G137" s="35" t="str">
        <f>IF($B137="","",VLOOKUP($B137,QUEUE!$F$11:$N$1999,6,FALSE))</f>
        <v/>
      </c>
      <c r="H137" s="75" t="str">
        <f>IF($B137="","",IF(VLOOKUP($B137,QUEUE!$F$11:$N$1999,8,FALSE)=0,"",VLOOKUP($B137,QUEUE!$F$11:$N$1999,8,FALSE)))</f>
        <v/>
      </c>
      <c r="I137" s="67" t="str">
        <f>IFERROR(IF($B137="","",VLOOKUP($B137,QUEUE!$F$11:$N$1999,9,FALSE)),"")</f>
        <v/>
      </c>
    </row>
    <row r="138" spans="2:9" ht="30" x14ac:dyDescent="0.4">
      <c r="B138" s="36"/>
      <c r="C138" s="36" t="str">
        <f>IF($B138="","",VLOOKUP($B138,QUEUE!$F$11:$N$1999,2,FALSE))</f>
        <v/>
      </c>
      <c r="D138" s="40" t="str">
        <f>IF($B138="","",VLOOKUP($B138,QUEUE!$F$11:$N$1999,3,FALSE))</f>
        <v/>
      </c>
      <c r="E138" s="36" t="str">
        <f>IF($B138="","",VLOOKUP($B138,QUEUE!$F$11:$N$1999,4,FALSE))</f>
        <v/>
      </c>
      <c r="F138" s="36" t="str">
        <f>IF($B138="","",VLOOKUP($B138,QUEUE!$F$11:$N$1999,5,FALSE))</f>
        <v/>
      </c>
      <c r="G138" s="36" t="str">
        <f>IF($B138="","",VLOOKUP($B138,QUEUE!$F$11:$N$1999,6,FALSE))</f>
        <v/>
      </c>
      <c r="H138" s="76" t="str">
        <f>IF($B138="","",IF(VLOOKUP($B138,QUEUE!$F$11:$N$1999,8,FALSE)=0,"",VLOOKUP($B138,QUEUE!$F$11:$N$1999,8,FALSE)))</f>
        <v/>
      </c>
      <c r="I138" s="72" t="str">
        <f>IFERROR(IF($B138="","",VLOOKUP($B138,QUEUE!$F$11:$N$1999,9,FALSE)),"")</f>
        <v/>
      </c>
    </row>
    <row r="139" spans="2:9" ht="30" x14ac:dyDescent="0.4">
      <c r="C139" s="35" t="str">
        <f>IF($B139="","",VLOOKUP($B139,QUEUE!$F$11:$N$1999,2,FALSE))</f>
        <v/>
      </c>
      <c r="D139" s="39" t="str">
        <f>IF($B139="","",VLOOKUP($B139,QUEUE!$F$11:$N$1999,3,FALSE))</f>
        <v/>
      </c>
      <c r="E139" s="35" t="str">
        <f>IF($B139="","",VLOOKUP($B139,QUEUE!$F$11:$N$1999,4,FALSE))</f>
        <v/>
      </c>
      <c r="F139" s="35" t="str">
        <f>IF($B139="","",VLOOKUP($B139,QUEUE!$F$11:$N$1999,5,FALSE))</f>
        <v/>
      </c>
      <c r="G139" s="35" t="str">
        <f>IF($B139="","",VLOOKUP($B139,QUEUE!$F$11:$N$1999,6,FALSE))</f>
        <v/>
      </c>
      <c r="H139" s="75" t="str">
        <f>IF($B139="","",IF(VLOOKUP($B139,QUEUE!$F$11:$N$1999,8,FALSE)=0,"",VLOOKUP($B139,QUEUE!$F$11:$N$1999,8,FALSE)))</f>
        <v/>
      </c>
      <c r="I139" s="67" t="str">
        <f>IFERROR(IF($B139="","",VLOOKUP($B139,QUEUE!$F$11:$N$1999,9,FALSE)),"")</f>
        <v/>
      </c>
    </row>
    <row r="140" spans="2:9" ht="30" x14ac:dyDescent="0.4">
      <c r="B140" s="36"/>
      <c r="C140" s="36" t="str">
        <f>IF($B140="","",VLOOKUP($B140,QUEUE!$F$11:$N$1999,2,FALSE))</f>
        <v/>
      </c>
      <c r="D140" s="40" t="str">
        <f>IF($B140="","",VLOOKUP($B140,QUEUE!$F$11:$N$1999,3,FALSE))</f>
        <v/>
      </c>
      <c r="E140" s="36" t="str">
        <f>IF($B140="","",VLOOKUP($B140,QUEUE!$F$11:$N$1999,4,FALSE))</f>
        <v/>
      </c>
      <c r="F140" s="36" t="str">
        <f>IF($B140="","",VLOOKUP($B140,QUEUE!$F$11:$N$1999,5,FALSE))</f>
        <v/>
      </c>
      <c r="G140" s="36" t="str">
        <f>IF($B140="","",VLOOKUP($B140,QUEUE!$F$11:$N$1999,6,FALSE))</f>
        <v/>
      </c>
      <c r="H140" s="76" t="str">
        <f>IF($B140="","",IF(VLOOKUP($B140,QUEUE!$F$11:$N$1999,8,FALSE)=0,"",VLOOKUP($B140,QUEUE!$F$11:$N$1999,8,FALSE)))</f>
        <v/>
      </c>
      <c r="I140" s="72" t="str">
        <f>IFERROR(IF($B140="","",VLOOKUP($B140,QUEUE!$F$11:$N$1999,9,FALSE)),"")</f>
        <v/>
      </c>
    </row>
    <row r="141" spans="2:9" ht="30" x14ac:dyDescent="0.4">
      <c r="C141" s="35" t="str">
        <f>IF($B141="","",VLOOKUP($B141,QUEUE!$F$11:$N$1999,2,FALSE))</f>
        <v/>
      </c>
      <c r="D141" s="39" t="str">
        <f>IF($B141="","",VLOOKUP($B141,QUEUE!$F$11:$N$1999,3,FALSE))</f>
        <v/>
      </c>
      <c r="E141" s="35" t="str">
        <f>IF($B141="","",VLOOKUP($B141,QUEUE!$F$11:$N$1999,4,FALSE))</f>
        <v/>
      </c>
      <c r="F141" s="35" t="str">
        <f>IF($B141="","",VLOOKUP($B141,QUEUE!$F$11:$N$1999,5,FALSE))</f>
        <v/>
      </c>
      <c r="G141" s="35" t="str">
        <f>IF($B141="","",VLOOKUP($B141,QUEUE!$F$11:$N$1999,6,FALSE))</f>
        <v/>
      </c>
      <c r="H141" s="75" t="str">
        <f>IF($B141="","",IF(VLOOKUP($B141,QUEUE!$F$11:$N$1999,8,FALSE)=0,"",VLOOKUP($B141,QUEUE!$F$11:$N$1999,8,FALSE)))</f>
        <v/>
      </c>
      <c r="I141" s="67" t="str">
        <f>IFERROR(IF($B141="","",VLOOKUP($B141,QUEUE!$F$11:$N$1999,9,FALSE)),"")</f>
        <v/>
      </c>
    </row>
    <row r="142" spans="2:9" ht="30" x14ac:dyDescent="0.4">
      <c r="B142" s="36"/>
      <c r="C142" s="36" t="str">
        <f>IF($B142="","",VLOOKUP($B142,QUEUE!$F$11:$N$1999,2,FALSE))</f>
        <v/>
      </c>
      <c r="D142" s="40" t="str">
        <f>IF($B142="","",VLOOKUP($B142,QUEUE!$F$11:$N$1999,3,FALSE))</f>
        <v/>
      </c>
      <c r="E142" s="36" t="str">
        <f>IF($B142="","",VLOOKUP($B142,QUEUE!$F$11:$N$1999,4,FALSE))</f>
        <v/>
      </c>
      <c r="F142" s="36" t="str">
        <f>IF($B142="","",VLOOKUP($B142,QUEUE!$F$11:$N$1999,5,FALSE))</f>
        <v/>
      </c>
      <c r="G142" s="36" t="str">
        <f>IF($B142="","",VLOOKUP($B142,QUEUE!$F$11:$N$1999,6,FALSE))</f>
        <v/>
      </c>
      <c r="H142" s="76" t="str">
        <f>IF($B142="","",IF(VLOOKUP($B142,QUEUE!$F$11:$N$1999,8,FALSE)=0,"",VLOOKUP($B142,QUEUE!$F$11:$N$1999,8,FALSE)))</f>
        <v/>
      </c>
      <c r="I142" s="72" t="str">
        <f>IFERROR(IF($B142="","",VLOOKUP($B142,QUEUE!$F$11:$N$1999,9,FALSE)),"")</f>
        <v/>
      </c>
    </row>
    <row r="143" spans="2:9" ht="30" x14ac:dyDescent="0.4">
      <c r="C143" s="35" t="str">
        <f>IF($B143="","",VLOOKUP($B143,QUEUE!$F$11:$N$1999,2,FALSE))</f>
        <v/>
      </c>
      <c r="D143" s="39" t="str">
        <f>IF($B143="","",VLOOKUP($B143,QUEUE!$F$11:$N$1999,3,FALSE))</f>
        <v/>
      </c>
      <c r="E143" s="35" t="str">
        <f>IF($B143="","",VLOOKUP($B143,QUEUE!$F$11:$N$1999,4,FALSE))</f>
        <v/>
      </c>
      <c r="F143" s="35" t="str">
        <f>IF($B143="","",VLOOKUP($B143,QUEUE!$F$11:$N$1999,5,FALSE))</f>
        <v/>
      </c>
      <c r="G143" s="35" t="str">
        <f>IF($B143="","",VLOOKUP($B143,QUEUE!$F$11:$N$1999,6,FALSE))</f>
        <v/>
      </c>
      <c r="H143" s="75" t="str">
        <f>IF($B143="","",IF(VLOOKUP($B143,QUEUE!$F$11:$N$1999,8,FALSE)=0,"",VLOOKUP($B143,QUEUE!$F$11:$N$1999,8,FALSE)))</f>
        <v/>
      </c>
      <c r="I143" s="67" t="str">
        <f>IFERROR(IF($B143="","",VLOOKUP($B143,QUEUE!$F$11:$N$1999,9,FALSE)),"")</f>
        <v/>
      </c>
    </row>
    <row r="144" spans="2:9" ht="30" x14ac:dyDescent="0.4">
      <c r="B144" s="36"/>
      <c r="C144" s="36" t="str">
        <f>IF($B144="","",VLOOKUP($B144,QUEUE!$F$11:$N$1999,2,FALSE))</f>
        <v/>
      </c>
      <c r="D144" s="40" t="str">
        <f>IF($B144="","",VLOOKUP($B144,QUEUE!$F$11:$N$1999,3,FALSE))</f>
        <v/>
      </c>
      <c r="E144" s="36" t="str">
        <f>IF($B144="","",VLOOKUP($B144,QUEUE!$F$11:$N$1999,4,FALSE))</f>
        <v/>
      </c>
      <c r="F144" s="36" t="str">
        <f>IF($B144="","",VLOOKUP($B144,QUEUE!$F$11:$N$1999,5,FALSE))</f>
        <v/>
      </c>
      <c r="G144" s="36" t="str">
        <f>IF($B144="","",VLOOKUP($B144,QUEUE!$F$11:$N$1999,6,FALSE))</f>
        <v/>
      </c>
      <c r="H144" s="76" t="str">
        <f>IF($B144="","",IF(VLOOKUP($B144,QUEUE!$F$11:$N$1999,8,FALSE)=0,"",VLOOKUP($B144,QUEUE!$F$11:$N$1999,8,FALSE)))</f>
        <v/>
      </c>
      <c r="I144" s="72" t="str">
        <f>IFERROR(IF($B144="","",VLOOKUP($B144,QUEUE!$F$11:$N$1999,9,FALSE)),"")</f>
        <v/>
      </c>
    </row>
    <row r="145" spans="2:9" ht="30" x14ac:dyDescent="0.4">
      <c r="C145" s="35" t="str">
        <f>IF($B145="","",VLOOKUP($B145,QUEUE!$F$11:$N$1999,2,FALSE))</f>
        <v/>
      </c>
      <c r="D145" s="39" t="str">
        <f>IF($B145="","",VLOOKUP($B145,QUEUE!$F$11:$N$1999,3,FALSE))</f>
        <v/>
      </c>
      <c r="E145" s="35" t="str">
        <f>IF($B145="","",VLOOKUP($B145,QUEUE!$F$11:$N$1999,4,FALSE))</f>
        <v/>
      </c>
      <c r="F145" s="35" t="str">
        <f>IF($B145="","",VLOOKUP($B145,QUEUE!$F$11:$N$1999,5,FALSE))</f>
        <v/>
      </c>
      <c r="G145" s="35" t="str">
        <f>IF($B145="","",VLOOKUP($B145,QUEUE!$F$11:$N$1999,6,FALSE))</f>
        <v/>
      </c>
      <c r="H145" s="75" t="str">
        <f>IF($B145="","",IF(VLOOKUP($B145,QUEUE!$F$11:$N$1999,8,FALSE)=0,"",VLOOKUP($B145,QUEUE!$F$11:$N$1999,8,FALSE)))</f>
        <v/>
      </c>
      <c r="I145" s="67" t="str">
        <f>IFERROR(IF($B145="","",VLOOKUP($B145,QUEUE!$F$11:$N$1999,9,FALSE)),"")</f>
        <v/>
      </c>
    </row>
    <row r="146" spans="2:9" ht="30" x14ac:dyDescent="0.4">
      <c r="B146" s="36"/>
      <c r="C146" s="36" t="str">
        <f>IF($B146="","",VLOOKUP($B146,QUEUE!$F$11:$N$1999,2,FALSE))</f>
        <v/>
      </c>
      <c r="D146" s="40" t="str">
        <f>IF($B146="","",VLOOKUP($B146,QUEUE!$F$11:$N$1999,3,FALSE))</f>
        <v/>
      </c>
      <c r="E146" s="36" t="str">
        <f>IF($B146="","",VLOOKUP($B146,QUEUE!$F$11:$N$1999,4,FALSE))</f>
        <v/>
      </c>
      <c r="F146" s="36" t="str">
        <f>IF($B146="","",VLOOKUP($B146,QUEUE!$F$11:$N$1999,5,FALSE))</f>
        <v/>
      </c>
      <c r="G146" s="36" t="str">
        <f>IF($B146="","",VLOOKUP($B146,QUEUE!$F$11:$N$1999,6,FALSE))</f>
        <v/>
      </c>
      <c r="H146" s="76" t="str">
        <f>IF($B146="","",IF(VLOOKUP($B146,QUEUE!$F$11:$N$1999,8,FALSE)=0,"",VLOOKUP($B146,QUEUE!$F$11:$N$1999,8,FALSE)))</f>
        <v/>
      </c>
      <c r="I146" s="72" t="str">
        <f>IFERROR(IF($B146="","",VLOOKUP($B146,QUEUE!$F$11:$N$1999,9,FALSE)),"")</f>
        <v/>
      </c>
    </row>
    <row r="147" spans="2:9" ht="30" x14ac:dyDescent="0.4">
      <c r="C147" s="35" t="str">
        <f>IF($B147="","",VLOOKUP($B147,QUEUE!$F$11:$N$1999,2,FALSE))</f>
        <v/>
      </c>
      <c r="D147" s="39" t="str">
        <f>IF($B147="","",VLOOKUP($B147,QUEUE!$F$11:$N$1999,3,FALSE))</f>
        <v/>
      </c>
      <c r="E147" s="35" t="str">
        <f>IF($B147="","",VLOOKUP($B147,QUEUE!$F$11:$N$1999,4,FALSE))</f>
        <v/>
      </c>
      <c r="F147" s="35" t="str">
        <f>IF($B147="","",VLOOKUP($B147,QUEUE!$F$11:$N$1999,5,FALSE))</f>
        <v/>
      </c>
      <c r="G147" s="35" t="str">
        <f>IF($B147="","",VLOOKUP($B147,QUEUE!$F$11:$N$1999,6,FALSE))</f>
        <v/>
      </c>
      <c r="H147" s="75" t="str">
        <f>IF($B147="","",IF(VLOOKUP($B147,QUEUE!$F$11:$N$1999,8,FALSE)=0,"",VLOOKUP($B147,QUEUE!$F$11:$N$1999,8,FALSE)))</f>
        <v/>
      </c>
      <c r="I147" s="67" t="str">
        <f>IFERROR(IF($B147="","",VLOOKUP($B147,QUEUE!$F$11:$N$1999,9,FALSE)),"")</f>
        <v/>
      </c>
    </row>
    <row r="148" spans="2:9" ht="30" x14ac:dyDescent="0.4">
      <c r="B148" s="36"/>
      <c r="C148" s="36" t="str">
        <f>IF($B148="","",VLOOKUP($B148,QUEUE!$F$11:$N$1999,2,FALSE))</f>
        <v/>
      </c>
      <c r="D148" s="40" t="str">
        <f>IF($B148="","",VLOOKUP($B148,QUEUE!$F$11:$N$1999,3,FALSE))</f>
        <v/>
      </c>
      <c r="E148" s="36" t="str">
        <f>IF($B148="","",VLOOKUP($B148,QUEUE!$F$11:$N$1999,4,FALSE))</f>
        <v/>
      </c>
      <c r="F148" s="36" t="str">
        <f>IF($B148="","",VLOOKUP($B148,QUEUE!$F$11:$N$1999,5,FALSE))</f>
        <v/>
      </c>
      <c r="G148" s="36" t="str">
        <f>IF($B148="","",VLOOKUP($B148,QUEUE!$F$11:$N$1999,6,FALSE))</f>
        <v/>
      </c>
      <c r="H148" s="76" t="str">
        <f>IF($B148="","",IF(VLOOKUP($B148,QUEUE!$F$11:$N$1999,8,FALSE)=0,"",VLOOKUP($B148,QUEUE!$F$11:$N$1999,8,FALSE)))</f>
        <v/>
      </c>
      <c r="I148" s="72" t="str">
        <f>IFERROR(IF($B148="","",VLOOKUP($B148,QUEUE!$F$11:$N$1999,9,FALSE)),"")</f>
        <v/>
      </c>
    </row>
    <row r="149" spans="2:9" ht="30" x14ac:dyDescent="0.4">
      <c r="C149" s="35" t="str">
        <f>IF($B149="","",VLOOKUP($B149,QUEUE!$F$11:$N$1999,2,FALSE))</f>
        <v/>
      </c>
      <c r="D149" s="39" t="str">
        <f>IF($B149="","",VLOOKUP($B149,QUEUE!$F$11:$N$1999,3,FALSE))</f>
        <v/>
      </c>
      <c r="E149" s="35" t="str">
        <f>IF($B149="","",VLOOKUP($B149,QUEUE!$F$11:$N$1999,4,FALSE))</f>
        <v/>
      </c>
      <c r="F149" s="35" t="str">
        <f>IF($B149="","",VLOOKUP($B149,QUEUE!$F$11:$N$1999,5,FALSE))</f>
        <v/>
      </c>
      <c r="G149" s="35" t="str">
        <f>IF($B149="","",VLOOKUP($B149,QUEUE!$F$11:$N$1999,6,FALSE))</f>
        <v/>
      </c>
      <c r="H149" s="75" t="str">
        <f>IF($B149="","",IF(VLOOKUP($B149,QUEUE!$F$11:$N$1999,8,FALSE)=0,"",VLOOKUP($B149,QUEUE!$F$11:$N$1999,8,FALSE)))</f>
        <v/>
      </c>
      <c r="I149" s="67" t="str">
        <f>IFERROR(IF($B149="","",VLOOKUP($B149,QUEUE!$F$11:$N$1999,9,FALSE)),"")</f>
        <v/>
      </c>
    </row>
    <row r="150" spans="2:9" ht="30" x14ac:dyDescent="0.4">
      <c r="B150" s="36"/>
      <c r="C150" s="36" t="str">
        <f>IF($B150="","",VLOOKUP($B150,QUEUE!$F$11:$N$1999,2,FALSE))</f>
        <v/>
      </c>
      <c r="D150" s="40" t="str">
        <f>IF($B150="","",VLOOKUP($B150,QUEUE!$F$11:$N$1999,3,FALSE))</f>
        <v/>
      </c>
      <c r="E150" s="36" t="str">
        <f>IF($B150="","",VLOOKUP($B150,QUEUE!$F$11:$N$1999,4,FALSE))</f>
        <v/>
      </c>
      <c r="F150" s="36" t="str">
        <f>IF($B150="","",VLOOKUP($B150,QUEUE!$F$11:$N$1999,5,FALSE))</f>
        <v/>
      </c>
      <c r="G150" s="36" t="str">
        <f>IF($B150="","",VLOOKUP($B150,QUEUE!$F$11:$N$1999,6,FALSE))</f>
        <v/>
      </c>
      <c r="H150" s="76" t="str">
        <f>IF($B150="","",IF(VLOOKUP($B150,QUEUE!$F$11:$N$1999,8,FALSE)=0,"",VLOOKUP($B150,QUEUE!$F$11:$N$1999,8,FALSE)))</f>
        <v/>
      </c>
      <c r="I150" s="72" t="str">
        <f>IFERROR(IF($B150="","",VLOOKUP($B150,QUEUE!$F$11:$N$1999,9,FALSE)),"")</f>
        <v/>
      </c>
    </row>
    <row r="151" spans="2:9" ht="30" x14ac:dyDescent="0.4">
      <c r="C151" s="35" t="str">
        <f>IF($B151="","",VLOOKUP($B151,QUEUE!$F$11:$N$1999,2,FALSE))</f>
        <v/>
      </c>
      <c r="D151" s="39" t="str">
        <f>IF($B151="","",VLOOKUP($B151,QUEUE!$F$11:$N$1999,3,FALSE))</f>
        <v/>
      </c>
      <c r="E151" s="35" t="str">
        <f>IF($B151="","",VLOOKUP($B151,QUEUE!$F$11:$N$1999,4,FALSE))</f>
        <v/>
      </c>
      <c r="F151" s="35" t="str">
        <f>IF($B151="","",VLOOKUP($B151,QUEUE!$F$11:$N$1999,5,FALSE))</f>
        <v/>
      </c>
      <c r="G151" s="35" t="str">
        <f>IF($B151="","",VLOOKUP($B151,QUEUE!$F$11:$N$1999,6,FALSE))</f>
        <v/>
      </c>
      <c r="H151" s="75" t="str">
        <f>IF($B151="","",IF(VLOOKUP($B151,QUEUE!$F$11:$N$1999,8,FALSE)=0,"",VLOOKUP($B151,QUEUE!$F$11:$N$1999,8,FALSE)))</f>
        <v/>
      </c>
      <c r="I151" s="67" t="str">
        <f>IFERROR(IF($B151="","",VLOOKUP($B151,QUEUE!$F$11:$N$1999,9,FALSE)),"")</f>
        <v/>
      </c>
    </row>
    <row r="152" spans="2:9" ht="30" x14ac:dyDescent="0.4">
      <c r="B152" s="36"/>
      <c r="C152" s="36" t="str">
        <f>IF($B152="","",VLOOKUP($B152,QUEUE!$F$11:$N$1999,2,FALSE))</f>
        <v/>
      </c>
      <c r="D152" s="40" t="str">
        <f>IF($B152="","",VLOOKUP($B152,QUEUE!$F$11:$N$1999,3,FALSE))</f>
        <v/>
      </c>
      <c r="E152" s="36" t="str">
        <f>IF($B152="","",VLOOKUP($B152,QUEUE!$F$11:$N$1999,4,FALSE))</f>
        <v/>
      </c>
      <c r="F152" s="36" t="str">
        <f>IF($B152="","",VLOOKUP($B152,QUEUE!$F$11:$N$1999,5,FALSE))</f>
        <v/>
      </c>
      <c r="G152" s="36" t="str">
        <f>IF($B152="","",VLOOKUP($B152,QUEUE!$F$11:$N$1999,6,FALSE))</f>
        <v/>
      </c>
      <c r="H152" s="76" t="str">
        <f>IF($B152="","",IF(VLOOKUP($B152,QUEUE!$F$11:$N$1999,8,FALSE)=0,"",VLOOKUP($B152,QUEUE!$F$11:$N$1999,8,FALSE)))</f>
        <v/>
      </c>
      <c r="I152" s="72" t="str">
        <f>IFERROR(IF($B152="","",VLOOKUP($B152,QUEUE!$F$11:$N$1999,9,FALSE)),"")</f>
        <v/>
      </c>
    </row>
    <row r="153" spans="2:9" ht="30" x14ac:dyDescent="0.4">
      <c r="C153" s="35" t="str">
        <f>IF($B153="","",VLOOKUP($B153,QUEUE!$F$11:$N$1999,2,FALSE))</f>
        <v/>
      </c>
      <c r="D153" s="39" t="str">
        <f>IF($B153="","",VLOOKUP($B153,QUEUE!$F$11:$N$1999,3,FALSE))</f>
        <v/>
      </c>
      <c r="E153" s="35" t="str">
        <f>IF($B153="","",VLOOKUP($B153,QUEUE!$F$11:$N$1999,4,FALSE))</f>
        <v/>
      </c>
      <c r="F153" s="35" t="str">
        <f>IF($B153="","",VLOOKUP($B153,QUEUE!$F$11:$N$1999,5,FALSE))</f>
        <v/>
      </c>
      <c r="G153" s="35" t="str">
        <f>IF($B153="","",VLOOKUP($B153,QUEUE!$F$11:$N$1999,6,FALSE))</f>
        <v/>
      </c>
      <c r="H153" s="75" t="str">
        <f>IF($B153="","",IF(VLOOKUP($B153,QUEUE!$F$11:$N$1999,8,FALSE)=0,"",VLOOKUP($B153,QUEUE!$F$11:$N$1999,8,FALSE)))</f>
        <v/>
      </c>
      <c r="I153" s="67" t="str">
        <f>IFERROR(IF($B153="","",VLOOKUP($B153,QUEUE!$F$11:$N$1999,9,FALSE)),"")</f>
        <v/>
      </c>
    </row>
    <row r="154" spans="2:9" ht="30" x14ac:dyDescent="0.4">
      <c r="B154" s="36"/>
      <c r="C154" s="36" t="str">
        <f>IF($B154="","",VLOOKUP($B154,QUEUE!$F$11:$N$1999,2,FALSE))</f>
        <v/>
      </c>
      <c r="D154" s="40" t="str">
        <f>IF($B154="","",VLOOKUP($B154,QUEUE!$F$11:$N$1999,3,FALSE))</f>
        <v/>
      </c>
      <c r="E154" s="36" t="str">
        <f>IF($B154="","",VLOOKUP($B154,QUEUE!$F$11:$N$1999,4,FALSE))</f>
        <v/>
      </c>
      <c r="F154" s="36" t="str">
        <f>IF($B154="","",VLOOKUP($B154,QUEUE!$F$11:$N$1999,5,FALSE))</f>
        <v/>
      </c>
      <c r="G154" s="36" t="str">
        <f>IF($B154="","",VLOOKUP($B154,QUEUE!$F$11:$N$1999,6,FALSE))</f>
        <v/>
      </c>
      <c r="H154" s="76" t="str">
        <f>IF($B154="","",IF(VLOOKUP($B154,QUEUE!$F$11:$N$1999,8,FALSE)=0,"",VLOOKUP($B154,QUEUE!$F$11:$N$1999,8,FALSE)))</f>
        <v/>
      </c>
      <c r="I154" s="72" t="str">
        <f>IFERROR(IF($B154="","",VLOOKUP($B154,QUEUE!$F$11:$N$1999,9,FALSE)),"")</f>
        <v/>
      </c>
    </row>
    <row r="155" spans="2:9" ht="30" x14ac:dyDescent="0.4">
      <c r="C155" s="35" t="str">
        <f>IF($B155="","",VLOOKUP($B155,QUEUE!$F$11:$N$1999,2,FALSE))</f>
        <v/>
      </c>
      <c r="D155" s="39" t="str">
        <f>IF($B155="","",VLOOKUP($B155,QUEUE!$F$11:$N$1999,3,FALSE))</f>
        <v/>
      </c>
      <c r="E155" s="35" t="str">
        <f>IF($B155="","",VLOOKUP($B155,QUEUE!$F$11:$N$1999,4,FALSE))</f>
        <v/>
      </c>
      <c r="F155" s="35" t="str">
        <f>IF($B155="","",VLOOKUP($B155,QUEUE!$F$11:$N$1999,5,FALSE))</f>
        <v/>
      </c>
      <c r="G155" s="35" t="str">
        <f>IF($B155="","",VLOOKUP($B155,QUEUE!$F$11:$N$1999,6,FALSE))</f>
        <v/>
      </c>
      <c r="H155" s="75" t="str">
        <f>IF($B155="","",IF(VLOOKUP($B155,QUEUE!$F$11:$N$1999,8,FALSE)=0,"",VLOOKUP($B155,QUEUE!$F$11:$N$1999,8,FALSE)))</f>
        <v/>
      </c>
      <c r="I155" s="67" t="str">
        <f>IFERROR(IF($B155="","",VLOOKUP($B155,QUEUE!$F$11:$N$1999,9,FALSE)),"")</f>
        <v/>
      </c>
    </row>
    <row r="156" spans="2:9" ht="30" x14ac:dyDescent="0.4">
      <c r="B156" s="36"/>
      <c r="C156" s="36" t="str">
        <f>IF($B156="","",VLOOKUP($B156,QUEUE!$F$11:$N$1999,2,FALSE))</f>
        <v/>
      </c>
      <c r="D156" s="40" t="str">
        <f>IF($B156="","",VLOOKUP($B156,QUEUE!$F$11:$N$1999,3,FALSE))</f>
        <v/>
      </c>
      <c r="E156" s="36" t="str">
        <f>IF($B156="","",VLOOKUP($B156,QUEUE!$F$11:$N$1999,4,FALSE))</f>
        <v/>
      </c>
      <c r="F156" s="36" t="str">
        <f>IF($B156="","",VLOOKUP($B156,QUEUE!$F$11:$N$1999,5,FALSE))</f>
        <v/>
      </c>
      <c r="G156" s="36" t="str">
        <f>IF($B156="","",VLOOKUP($B156,QUEUE!$F$11:$N$1999,6,FALSE))</f>
        <v/>
      </c>
      <c r="H156" s="76" t="str">
        <f>IF($B156="","",IF(VLOOKUP($B156,QUEUE!$F$11:$N$1999,8,FALSE)=0,"",VLOOKUP($B156,QUEUE!$F$11:$N$1999,8,FALSE)))</f>
        <v/>
      </c>
      <c r="I156" s="72" t="str">
        <f>IFERROR(IF($B156="","",VLOOKUP($B156,QUEUE!$F$11:$N$1999,9,FALSE)),"")</f>
        <v/>
      </c>
    </row>
    <row r="157" spans="2:9" ht="30" x14ac:dyDescent="0.4">
      <c r="C157" s="35" t="str">
        <f>IF($B157="","",VLOOKUP($B157,QUEUE!$F$11:$N$1999,2,FALSE))</f>
        <v/>
      </c>
      <c r="D157" s="39" t="str">
        <f>IF($B157="","",VLOOKUP($B157,QUEUE!$F$11:$N$1999,3,FALSE))</f>
        <v/>
      </c>
      <c r="E157" s="35" t="str">
        <f>IF($B157="","",VLOOKUP($B157,QUEUE!$F$11:$N$1999,4,FALSE))</f>
        <v/>
      </c>
      <c r="F157" s="35" t="str">
        <f>IF($B157="","",VLOOKUP($B157,QUEUE!$F$11:$N$1999,5,FALSE))</f>
        <v/>
      </c>
      <c r="G157" s="35" t="str">
        <f>IF($B157="","",VLOOKUP($B157,QUEUE!$F$11:$N$1999,6,FALSE))</f>
        <v/>
      </c>
      <c r="H157" s="75" t="str">
        <f>IF($B157="","",IF(VLOOKUP($B157,QUEUE!$F$11:$N$1999,8,FALSE)=0,"",VLOOKUP($B157,QUEUE!$F$11:$N$1999,8,FALSE)))</f>
        <v/>
      </c>
      <c r="I157" s="67" t="str">
        <f>IFERROR(IF($B157="","",VLOOKUP($B157,QUEUE!$F$11:$N$1999,9,FALSE)),"")</f>
        <v/>
      </c>
    </row>
    <row r="158" spans="2:9" ht="30" x14ac:dyDescent="0.4">
      <c r="B158" s="36"/>
      <c r="C158" s="36" t="str">
        <f>IF($B158="","",VLOOKUP($B158,QUEUE!$F$11:$N$1999,2,FALSE))</f>
        <v/>
      </c>
      <c r="D158" s="40" t="str">
        <f>IF($B158="","",VLOOKUP($B158,QUEUE!$F$11:$N$1999,3,FALSE))</f>
        <v/>
      </c>
      <c r="E158" s="36" t="str">
        <f>IF($B158="","",VLOOKUP($B158,QUEUE!$F$11:$N$1999,4,FALSE))</f>
        <v/>
      </c>
      <c r="F158" s="36" t="str">
        <f>IF($B158="","",VLOOKUP($B158,QUEUE!$F$11:$N$1999,5,FALSE))</f>
        <v/>
      </c>
      <c r="G158" s="36" t="str">
        <f>IF($B158="","",VLOOKUP($B158,QUEUE!$F$11:$N$1999,6,FALSE))</f>
        <v/>
      </c>
      <c r="H158" s="76" t="str">
        <f>IF($B158="","",IF(VLOOKUP($B158,QUEUE!$F$11:$N$1999,8,FALSE)=0,"",VLOOKUP($B158,QUEUE!$F$11:$N$1999,8,FALSE)))</f>
        <v/>
      </c>
      <c r="I158" s="72" t="str">
        <f>IFERROR(IF($B158="","",VLOOKUP($B158,QUEUE!$F$11:$N$1999,9,FALSE)),"")</f>
        <v/>
      </c>
    </row>
    <row r="159" spans="2:9" ht="30" x14ac:dyDescent="0.4">
      <c r="C159" s="35" t="str">
        <f>IF($B159="","",VLOOKUP($B159,QUEUE!$F$11:$N$1999,2,FALSE))</f>
        <v/>
      </c>
      <c r="D159" s="39" t="str">
        <f>IF($B159="","",VLOOKUP($B159,QUEUE!$F$11:$N$1999,3,FALSE))</f>
        <v/>
      </c>
      <c r="E159" s="35" t="str">
        <f>IF($B159="","",VLOOKUP($B159,QUEUE!$F$11:$N$1999,4,FALSE))</f>
        <v/>
      </c>
      <c r="F159" s="35" t="str">
        <f>IF($B159="","",VLOOKUP($B159,QUEUE!$F$11:$N$1999,5,FALSE))</f>
        <v/>
      </c>
      <c r="G159" s="35" t="str">
        <f>IF($B159="","",VLOOKUP($B159,QUEUE!$F$11:$N$1999,6,FALSE))</f>
        <v/>
      </c>
      <c r="H159" s="75" t="str">
        <f>IF($B159="","",IF(VLOOKUP($B159,QUEUE!$F$11:$N$1999,8,FALSE)=0,"",VLOOKUP($B159,QUEUE!$F$11:$N$1999,8,FALSE)))</f>
        <v/>
      </c>
      <c r="I159" s="67" t="str">
        <f>IFERROR(IF($B159="","",VLOOKUP($B159,QUEUE!$F$11:$N$1999,9,FALSE)),"")</f>
        <v/>
      </c>
    </row>
    <row r="160" spans="2:9" ht="30" x14ac:dyDescent="0.4">
      <c r="B160" s="36"/>
      <c r="C160" s="36" t="str">
        <f>IF($B160="","",VLOOKUP($B160,QUEUE!$F$11:$N$1999,2,FALSE))</f>
        <v/>
      </c>
      <c r="D160" s="40" t="str">
        <f>IF($B160="","",VLOOKUP($B160,QUEUE!$F$11:$N$1999,3,FALSE))</f>
        <v/>
      </c>
      <c r="E160" s="36" t="str">
        <f>IF($B160="","",VLOOKUP($B160,QUEUE!$F$11:$N$1999,4,FALSE))</f>
        <v/>
      </c>
      <c r="F160" s="36" t="str">
        <f>IF($B160="","",VLOOKUP($B160,QUEUE!$F$11:$N$1999,5,FALSE))</f>
        <v/>
      </c>
      <c r="G160" s="36" t="str">
        <f>IF($B160="","",VLOOKUP($B160,QUEUE!$F$11:$N$1999,6,FALSE))</f>
        <v/>
      </c>
      <c r="H160" s="76" t="str">
        <f>IF($B160="","",IF(VLOOKUP($B160,QUEUE!$F$11:$N$1999,8,FALSE)=0,"",VLOOKUP($B160,QUEUE!$F$11:$N$1999,8,FALSE)))</f>
        <v/>
      </c>
      <c r="I160" s="72" t="str">
        <f>IFERROR(IF($B160="","",VLOOKUP($B160,QUEUE!$F$11:$N$1999,9,FALSE)),"")</f>
        <v/>
      </c>
    </row>
    <row r="161" spans="2:9" ht="30" x14ac:dyDescent="0.4">
      <c r="C161" s="35" t="str">
        <f>IF($B161="","",VLOOKUP($B161,QUEUE!$F$11:$N$1999,2,FALSE))</f>
        <v/>
      </c>
      <c r="D161" s="39" t="str">
        <f>IF($B161="","",VLOOKUP($B161,QUEUE!$F$11:$N$1999,3,FALSE))</f>
        <v/>
      </c>
      <c r="E161" s="35" t="str">
        <f>IF($B161="","",VLOOKUP($B161,QUEUE!$F$11:$N$1999,4,FALSE))</f>
        <v/>
      </c>
      <c r="F161" s="35" t="str">
        <f>IF($B161="","",VLOOKUP($B161,QUEUE!$F$11:$N$1999,5,FALSE))</f>
        <v/>
      </c>
      <c r="G161" s="35" t="str">
        <f>IF($B161="","",VLOOKUP($B161,QUEUE!$F$11:$N$1999,6,FALSE))</f>
        <v/>
      </c>
      <c r="H161" s="75" t="str">
        <f>IF($B161="","",IF(VLOOKUP($B161,QUEUE!$F$11:$N$1999,8,FALSE)=0,"",VLOOKUP($B161,QUEUE!$F$11:$N$1999,8,FALSE)))</f>
        <v/>
      </c>
      <c r="I161" s="67" t="str">
        <f>IFERROR(IF($B161="","",VLOOKUP($B161,QUEUE!$F$11:$N$1999,9,FALSE)),"")</f>
        <v/>
      </c>
    </row>
    <row r="162" spans="2:9" ht="30" x14ac:dyDescent="0.4">
      <c r="B162" s="36"/>
      <c r="C162" s="36" t="str">
        <f>IF($B162="","",VLOOKUP($B162,QUEUE!$F$11:$N$1999,2,FALSE))</f>
        <v/>
      </c>
      <c r="D162" s="40" t="str">
        <f>IF($B162="","",VLOOKUP($B162,QUEUE!$F$11:$N$1999,3,FALSE))</f>
        <v/>
      </c>
      <c r="E162" s="36" t="str">
        <f>IF($B162="","",VLOOKUP($B162,QUEUE!$F$11:$N$1999,4,FALSE))</f>
        <v/>
      </c>
      <c r="F162" s="36" t="str">
        <f>IF($B162="","",VLOOKUP($B162,QUEUE!$F$11:$N$1999,5,FALSE))</f>
        <v/>
      </c>
      <c r="G162" s="36" t="str">
        <f>IF($B162="","",VLOOKUP($B162,QUEUE!$F$11:$N$1999,6,FALSE))</f>
        <v/>
      </c>
      <c r="H162" s="76" t="str">
        <f>IF($B162="","",IF(VLOOKUP($B162,QUEUE!$F$11:$N$1999,8,FALSE)=0,"",VLOOKUP($B162,QUEUE!$F$11:$N$1999,8,FALSE)))</f>
        <v/>
      </c>
      <c r="I162" s="72" t="str">
        <f>IFERROR(IF($B162="","",VLOOKUP($B162,QUEUE!$F$11:$N$1999,9,FALSE)),"")</f>
        <v/>
      </c>
    </row>
    <row r="163" spans="2:9" ht="30" x14ac:dyDescent="0.4">
      <c r="C163" s="35" t="str">
        <f>IF($B163="","",VLOOKUP($B163,QUEUE!$F$11:$N$1999,2,FALSE))</f>
        <v/>
      </c>
      <c r="D163" s="39" t="str">
        <f>IF($B163="","",VLOOKUP($B163,QUEUE!$F$11:$N$1999,3,FALSE))</f>
        <v/>
      </c>
      <c r="E163" s="35" t="str">
        <f>IF($B163="","",VLOOKUP($B163,QUEUE!$F$11:$N$1999,4,FALSE))</f>
        <v/>
      </c>
      <c r="F163" s="35" t="str">
        <f>IF($B163="","",VLOOKUP($B163,QUEUE!$F$11:$N$1999,5,FALSE))</f>
        <v/>
      </c>
      <c r="G163" s="35" t="str">
        <f>IF($B163="","",VLOOKUP($B163,QUEUE!$F$11:$N$1999,6,FALSE))</f>
        <v/>
      </c>
      <c r="H163" s="75" t="str">
        <f>IF($B163="","",IF(VLOOKUP($B163,QUEUE!$F$11:$N$1999,8,FALSE)=0,"",VLOOKUP($B163,QUEUE!$F$11:$N$1999,8,FALSE)))</f>
        <v/>
      </c>
      <c r="I163" s="67" t="str">
        <f>IFERROR(IF($B163="","",VLOOKUP($B163,QUEUE!$F$11:$N$1999,9,FALSE)),"")</f>
        <v/>
      </c>
    </row>
    <row r="164" spans="2:9" ht="30" x14ac:dyDescent="0.4">
      <c r="B164" s="36"/>
      <c r="C164" s="36" t="str">
        <f>IF($B164="","",VLOOKUP($B164,QUEUE!$F$11:$N$1999,2,FALSE))</f>
        <v/>
      </c>
      <c r="D164" s="40" t="str">
        <f>IF($B164="","",VLOOKUP($B164,QUEUE!$F$11:$N$1999,3,FALSE))</f>
        <v/>
      </c>
      <c r="E164" s="36" t="str">
        <f>IF($B164="","",VLOOKUP($B164,QUEUE!$F$11:$N$1999,4,FALSE))</f>
        <v/>
      </c>
      <c r="F164" s="36" t="str">
        <f>IF($B164="","",VLOOKUP($B164,QUEUE!$F$11:$N$1999,5,FALSE))</f>
        <v/>
      </c>
      <c r="G164" s="36" t="str">
        <f>IF($B164="","",VLOOKUP($B164,QUEUE!$F$11:$N$1999,6,FALSE))</f>
        <v/>
      </c>
      <c r="H164" s="76" t="str">
        <f>IF($B164="","",IF(VLOOKUP($B164,QUEUE!$F$11:$N$1999,8,FALSE)=0,"",VLOOKUP($B164,QUEUE!$F$11:$N$1999,8,FALSE)))</f>
        <v/>
      </c>
      <c r="I164" s="72" t="str">
        <f>IFERROR(IF($B164="","",VLOOKUP($B164,QUEUE!$F$11:$N$1999,9,FALSE)),"")</f>
        <v/>
      </c>
    </row>
    <row r="165" spans="2:9" ht="30" x14ac:dyDescent="0.4">
      <c r="C165" s="35" t="str">
        <f>IF($B165="","",VLOOKUP($B165,QUEUE!$F$11:$N$1999,2,FALSE))</f>
        <v/>
      </c>
      <c r="D165" s="39" t="str">
        <f>IF($B165="","",VLOOKUP($B165,QUEUE!$F$11:$N$1999,3,FALSE))</f>
        <v/>
      </c>
      <c r="E165" s="35" t="str">
        <f>IF($B165="","",VLOOKUP($B165,QUEUE!$F$11:$N$1999,4,FALSE))</f>
        <v/>
      </c>
      <c r="F165" s="35" t="str">
        <f>IF($B165="","",VLOOKUP($B165,QUEUE!$F$11:$N$1999,5,FALSE))</f>
        <v/>
      </c>
      <c r="G165" s="35" t="str">
        <f>IF($B165="","",VLOOKUP($B165,QUEUE!$F$11:$N$1999,6,FALSE))</f>
        <v/>
      </c>
      <c r="H165" s="75" t="str">
        <f>IF($B165="","",IF(VLOOKUP($B165,QUEUE!$F$11:$N$1999,8,FALSE)=0,"",VLOOKUP($B165,QUEUE!$F$11:$N$1999,8,FALSE)))</f>
        <v/>
      </c>
      <c r="I165" s="67" t="str">
        <f>IFERROR(IF($B165="","",VLOOKUP($B165,QUEUE!$F$11:$N$1999,9,FALSE)),"")</f>
        <v/>
      </c>
    </row>
    <row r="166" spans="2:9" ht="30" x14ac:dyDescent="0.4">
      <c r="B166" s="36"/>
      <c r="C166" s="36" t="str">
        <f>IF($B166="","",VLOOKUP($B166,QUEUE!$F$11:$N$1999,2,FALSE))</f>
        <v/>
      </c>
      <c r="D166" s="40" t="str">
        <f>IF($B166="","",VLOOKUP($B166,QUEUE!$F$11:$N$1999,3,FALSE))</f>
        <v/>
      </c>
      <c r="E166" s="36" t="str">
        <f>IF($B166="","",VLOOKUP($B166,QUEUE!$F$11:$N$1999,4,FALSE))</f>
        <v/>
      </c>
      <c r="F166" s="36" t="str">
        <f>IF($B166="","",VLOOKUP($B166,QUEUE!$F$11:$N$1999,5,FALSE))</f>
        <v/>
      </c>
      <c r="G166" s="36" t="str">
        <f>IF($B166="","",VLOOKUP($B166,QUEUE!$F$11:$N$1999,6,FALSE))</f>
        <v/>
      </c>
      <c r="H166" s="76" t="str">
        <f>IF($B166="","",IF(VLOOKUP($B166,QUEUE!$F$11:$N$1999,8,FALSE)=0,"",VLOOKUP($B166,QUEUE!$F$11:$N$1999,8,FALSE)))</f>
        <v/>
      </c>
      <c r="I166" s="72" t="str">
        <f>IFERROR(IF($B166="","",VLOOKUP($B166,QUEUE!$F$11:$N$1999,9,FALSE)),"")</f>
        <v/>
      </c>
    </row>
    <row r="167" spans="2:9" ht="30" x14ac:dyDescent="0.4">
      <c r="C167" s="35" t="str">
        <f>IF($B167="","",VLOOKUP($B167,QUEUE!$F$11:$N$1999,2,FALSE))</f>
        <v/>
      </c>
      <c r="D167" s="39" t="str">
        <f>IF($B167="","",VLOOKUP($B167,QUEUE!$F$11:$N$1999,3,FALSE))</f>
        <v/>
      </c>
      <c r="E167" s="35" t="str">
        <f>IF($B167="","",VLOOKUP($B167,QUEUE!$F$11:$N$1999,4,FALSE))</f>
        <v/>
      </c>
      <c r="F167" s="35" t="str">
        <f>IF($B167="","",VLOOKUP($B167,QUEUE!$F$11:$N$1999,5,FALSE))</f>
        <v/>
      </c>
      <c r="G167" s="35" t="str">
        <f>IF($B167="","",VLOOKUP($B167,QUEUE!$F$11:$N$1999,6,FALSE))</f>
        <v/>
      </c>
      <c r="H167" s="75" t="str">
        <f>IF($B167="","",IF(VLOOKUP($B167,QUEUE!$F$11:$N$1999,8,FALSE)=0,"",VLOOKUP($B167,QUEUE!$F$11:$N$1999,8,FALSE)))</f>
        <v/>
      </c>
      <c r="I167" s="67" t="str">
        <f>IFERROR(IF($B167="","",VLOOKUP($B167,QUEUE!$F$11:$N$1999,9,FALSE)),"")</f>
        <v/>
      </c>
    </row>
    <row r="168" spans="2:9" ht="30" x14ac:dyDescent="0.4">
      <c r="B168" s="36"/>
      <c r="C168" s="36" t="str">
        <f>IF($B168="","",VLOOKUP($B168,QUEUE!$F$11:$N$1999,2,FALSE))</f>
        <v/>
      </c>
      <c r="D168" s="40" t="str">
        <f>IF($B168="","",VLOOKUP($B168,QUEUE!$F$11:$N$1999,3,FALSE))</f>
        <v/>
      </c>
      <c r="E168" s="36" t="str">
        <f>IF($B168="","",VLOOKUP($B168,QUEUE!$F$11:$N$1999,4,FALSE))</f>
        <v/>
      </c>
      <c r="F168" s="36" t="str">
        <f>IF($B168="","",VLOOKUP($B168,QUEUE!$F$11:$N$1999,5,FALSE))</f>
        <v/>
      </c>
      <c r="G168" s="36" t="str">
        <f>IF($B168="","",VLOOKUP($B168,QUEUE!$F$11:$N$1999,6,FALSE))</f>
        <v/>
      </c>
      <c r="H168" s="76" t="str">
        <f>IF($B168="","",IF(VLOOKUP($B168,QUEUE!$F$11:$N$1999,8,FALSE)=0,"",VLOOKUP($B168,QUEUE!$F$11:$N$1999,8,FALSE)))</f>
        <v/>
      </c>
      <c r="I168" s="72" t="str">
        <f>IFERROR(IF($B168="","",VLOOKUP($B168,QUEUE!$F$11:$N$1999,9,FALSE)),"")</f>
        <v/>
      </c>
    </row>
    <row r="169" spans="2:9" ht="30" x14ac:dyDescent="0.4">
      <c r="C169" s="35" t="str">
        <f>IF($B169="","",VLOOKUP($B169,QUEUE!$F$11:$N$1999,2,FALSE))</f>
        <v/>
      </c>
      <c r="D169" s="39" t="str">
        <f>IF($B169="","",VLOOKUP($B169,QUEUE!$F$11:$N$1999,3,FALSE))</f>
        <v/>
      </c>
      <c r="E169" s="35" t="str">
        <f>IF($B169="","",VLOOKUP($B169,QUEUE!$F$11:$N$1999,4,FALSE))</f>
        <v/>
      </c>
      <c r="F169" s="35" t="str">
        <f>IF($B169="","",VLOOKUP($B169,QUEUE!$F$11:$N$1999,5,FALSE))</f>
        <v/>
      </c>
      <c r="G169" s="35" t="str">
        <f>IF($B169="","",VLOOKUP($B169,QUEUE!$F$11:$N$1999,6,FALSE))</f>
        <v/>
      </c>
      <c r="H169" s="75" t="str">
        <f>IF($B169="","",IF(VLOOKUP($B169,QUEUE!$F$11:$N$1999,8,FALSE)=0,"",VLOOKUP($B169,QUEUE!$F$11:$N$1999,8,FALSE)))</f>
        <v/>
      </c>
      <c r="I169" s="67" t="str">
        <f>IFERROR(IF($B169="","",VLOOKUP($B169,QUEUE!$F$11:$N$1999,9,FALSE)),"")</f>
        <v/>
      </c>
    </row>
    <row r="170" spans="2:9" ht="30" x14ac:dyDescent="0.4">
      <c r="B170" s="36"/>
      <c r="C170" s="36" t="str">
        <f>IF($B170="","",VLOOKUP($B170,QUEUE!$F$11:$N$1999,2,FALSE))</f>
        <v/>
      </c>
      <c r="D170" s="40" t="str">
        <f>IF($B170="","",VLOOKUP($B170,QUEUE!$F$11:$N$1999,3,FALSE))</f>
        <v/>
      </c>
      <c r="E170" s="36" t="str">
        <f>IF($B170="","",VLOOKUP($B170,QUEUE!$F$11:$N$1999,4,FALSE))</f>
        <v/>
      </c>
      <c r="F170" s="36" t="str">
        <f>IF($B170="","",VLOOKUP($B170,QUEUE!$F$11:$N$1999,5,FALSE))</f>
        <v/>
      </c>
      <c r="G170" s="36" t="str">
        <f>IF($B170="","",VLOOKUP($B170,QUEUE!$F$11:$N$1999,6,FALSE))</f>
        <v/>
      </c>
      <c r="H170" s="76" t="str">
        <f>IF($B170="","",IF(VLOOKUP($B170,QUEUE!$F$11:$N$1999,8,FALSE)=0,"",VLOOKUP($B170,QUEUE!$F$11:$N$1999,8,FALSE)))</f>
        <v/>
      </c>
      <c r="I170" s="72" t="str">
        <f>IFERROR(IF($B170="","",VLOOKUP($B170,QUEUE!$F$11:$N$1999,9,FALSE)),"")</f>
        <v/>
      </c>
    </row>
    <row r="171" spans="2:9" ht="30" x14ac:dyDescent="0.4">
      <c r="C171" s="35" t="str">
        <f>IF($B171="","",VLOOKUP($B171,QUEUE!$F$11:$N$1999,2,FALSE))</f>
        <v/>
      </c>
      <c r="D171" s="39" t="str">
        <f>IF($B171="","",VLOOKUP($B171,QUEUE!$F$11:$N$1999,3,FALSE))</f>
        <v/>
      </c>
      <c r="E171" s="35" t="str">
        <f>IF($B171="","",VLOOKUP($B171,QUEUE!$F$11:$N$1999,4,FALSE))</f>
        <v/>
      </c>
      <c r="F171" s="35" t="str">
        <f>IF($B171="","",VLOOKUP($B171,QUEUE!$F$11:$N$1999,5,FALSE))</f>
        <v/>
      </c>
      <c r="G171" s="35" t="str">
        <f>IF($B171="","",VLOOKUP($B171,QUEUE!$F$11:$N$1999,6,FALSE))</f>
        <v/>
      </c>
      <c r="H171" s="75" t="str">
        <f>IF($B171="","",IF(VLOOKUP($B171,QUEUE!$F$11:$N$1999,8,FALSE)=0,"",VLOOKUP($B171,QUEUE!$F$11:$N$1999,8,FALSE)))</f>
        <v/>
      </c>
      <c r="I171" s="67" t="str">
        <f>IFERROR(IF($B171="","",VLOOKUP($B171,QUEUE!$F$11:$N$1999,9,FALSE)),"")</f>
        <v/>
      </c>
    </row>
    <row r="172" spans="2:9" ht="30" x14ac:dyDescent="0.4">
      <c r="B172" s="36"/>
      <c r="C172" s="36" t="str">
        <f>IF($B172="","",VLOOKUP($B172,QUEUE!$F$11:$N$1999,2,FALSE))</f>
        <v/>
      </c>
      <c r="D172" s="40" t="str">
        <f>IF($B172="","",VLOOKUP($B172,QUEUE!$F$11:$N$1999,3,FALSE))</f>
        <v/>
      </c>
      <c r="E172" s="36" t="str">
        <f>IF($B172="","",VLOOKUP($B172,QUEUE!$F$11:$N$1999,4,FALSE))</f>
        <v/>
      </c>
      <c r="F172" s="36" t="str">
        <f>IF($B172="","",VLOOKUP($B172,QUEUE!$F$11:$N$1999,5,FALSE))</f>
        <v/>
      </c>
      <c r="G172" s="36" t="str">
        <f>IF($B172="","",VLOOKUP($B172,QUEUE!$F$11:$N$1999,6,FALSE))</f>
        <v/>
      </c>
      <c r="H172" s="76" t="str">
        <f>IF($B172="","",IF(VLOOKUP($B172,QUEUE!$F$11:$N$1999,8,FALSE)=0,"",VLOOKUP($B172,QUEUE!$F$11:$N$1999,8,FALSE)))</f>
        <v/>
      </c>
      <c r="I172" s="72" t="str">
        <f>IFERROR(IF($B172="","",VLOOKUP($B172,QUEUE!$F$11:$N$1999,9,FALSE)),"")</f>
        <v/>
      </c>
    </row>
    <row r="173" spans="2:9" ht="30" x14ac:dyDescent="0.4">
      <c r="C173" s="35" t="str">
        <f>IF($B173="","",VLOOKUP($B173,QUEUE!$F$11:$N$1999,2,FALSE))</f>
        <v/>
      </c>
      <c r="D173" s="39" t="str">
        <f>IF($B173="","",VLOOKUP($B173,QUEUE!$F$11:$N$1999,3,FALSE))</f>
        <v/>
      </c>
      <c r="E173" s="35" t="str">
        <f>IF($B173="","",VLOOKUP($B173,QUEUE!$F$11:$N$1999,4,FALSE))</f>
        <v/>
      </c>
      <c r="F173" s="35" t="str">
        <f>IF($B173="","",VLOOKUP($B173,QUEUE!$F$11:$N$1999,5,FALSE))</f>
        <v/>
      </c>
      <c r="G173" s="35" t="str">
        <f>IF($B173="","",VLOOKUP($B173,QUEUE!$F$11:$N$1999,6,FALSE))</f>
        <v/>
      </c>
      <c r="H173" s="75" t="str">
        <f>IF($B173="","",IF(VLOOKUP($B173,QUEUE!$F$11:$N$1999,8,FALSE)=0,"",VLOOKUP($B173,QUEUE!$F$11:$N$1999,8,FALSE)))</f>
        <v/>
      </c>
      <c r="I173" s="67" t="str">
        <f>IFERROR(IF($B173="","",VLOOKUP($B173,QUEUE!$F$11:$N$1999,9,FALSE)),"")</f>
        <v/>
      </c>
    </row>
    <row r="174" spans="2:9" ht="30" x14ac:dyDescent="0.4">
      <c r="B174" s="36"/>
      <c r="C174" s="36" t="str">
        <f>IF($B174="","",VLOOKUP($B174,QUEUE!$F$11:$N$1999,2,FALSE))</f>
        <v/>
      </c>
      <c r="D174" s="40" t="str">
        <f>IF($B174="","",VLOOKUP($B174,QUEUE!$F$11:$N$1999,3,FALSE))</f>
        <v/>
      </c>
      <c r="E174" s="36" t="str">
        <f>IF($B174="","",VLOOKUP($B174,QUEUE!$F$11:$N$1999,4,FALSE))</f>
        <v/>
      </c>
      <c r="F174" s="36" t="str">
        <f>IF($B174="","",VLOOKUP($B174,QUEUE!$F$11:$N$1999,5,FALSE))</f>
        <v/>
      </c>
      <c r="G174" s="36" t="str">
        <f>IF($B174="","",VLOOKUP($B174,QUEUE!$F$11:$N$1999,6,FALSE))</f>
        <v/>
      </c>
      <c r="H174" s="76" t="str">
        <f>IF($B174="","",IF(VLOOKUP($B174,QUEUE!$F$11:$N$1999,8,FALSE)=0,"",VLOOKUP($B174,QUEUE!$F$11:$N$1999,8,FALSE)))</f>
        <v/>
      </c>
      <c r="I174" s="72" t="str">
        <f>IFERROR(IF($B174="","",VLOOKUP($B174,QUEUE!$F$11:$N$1999,9,FALSE)),"")</f>
        <v/>
      </c>
    </row>
    <row r="175" spans="2:9" ht="30" x14ac:dyDescent="0.4">
      <c r="C175" s="35" t="str">
        <f>IF($B175="","",VLOOKUP($B175,QUEUE!$F$11:$N$1999,2,FALSE))</f>
        <v/>
      </c>
      <c r="D175" s="39" t="str">
        <f>IF($B175="","",VLOOKUP($B175,QUEUE!$F$11:$N$1999,3,FALSE))</f>
        <v/>
      </c>
      <c r="E175" s="35" t="str">
        <f>IF($B175="","",VLOOKUP($B175,QUEUE!$F$11:$N$1999,4,FALSE))</f>
        <v/>
      </c>
      <c r="F175" s="35" t="str">
        <f>IF($B175="","",VLOOKUP($B175,QUEUE!$F$11:$N$1999,5,FALSE))</f>
        <v/>
      </c>
      <c r="G175" s="35" t="str">
        <f>IF($B175="","",VLOOKUP($B175,QUEUE!$F$11:$N$1999,6,FALSE))</f>
        <v/>
      </c>
      <c r="H175" s="75" t="str">
        <f>IF($B175="","",IF(VLOOKUP($B175,QUEUE!$F$11:$N$1999,8,FALSE)=0,"",VLOOKUP($B175,QUEUE!$F$11:$N$1999,8,FALSE)))</f>
        <v/>
      </c>
      <c r="I175" s="67" t="str">
        <f>IFERROR(IF($B175="","",VLOOKUP($B175,QUEUE!$F$11:$N$1999,9,FALSE)),"")</f>
        <v/>
      </c>
    </row>
    <row r="176" spans="2:9" ht="30" x14ac:dyDescent="0.4">
      <c r="B176" s="36"/>
      <c r="C176" s="36" t="str">
        <f>IF($B176="","",VLOOKUP($B176,QUEUE!$F$11:$N$1999,2,FALSE))</f>
        <v/>
      </c>
      <c r="D176" s="40" t="str">
        <f>IF($B176="","",VLOOKUP($B176,QUEUE!$F$11:$N$1999,3,FALSE))</f>
        <v/>
      </c>
      <c r="E176" s="36" t="str">
        <f>IF($B176="","",VLOOKUP($B176,QUEUE!$F$11:$N$1999,4,FALSE))</f>
        <v/>
      </c>
      <c r="F176" s="36" t="str">
        <f>IF($B176="","",VLOOKUP($B176,QUEUE!$F$11:$N$1999,5,FALSE))</f>
        <v/>
      </c>
      <c r="G176" s="36" t="str">
        <f>IF($B176="","",VLOOKUP($B176,QUEUE!$F$11:$N$1999,6,FALSE))</f>
        <v/>
      </c>
      <c r="H176" s="76" t="str">
        <f>IF($B176="","",IF(VLOOKUP($B176,QUEUE!$F$11:$N$1999,8,FALSE)=0,"",VLOOKUP($B176,QUEUE!$F$11:$N$1999,8,FALSE)))</f>
        <v/>
      </c>
      <c r="I176" s="72" t="str">
        <f>IFERROR(IF($B176="","",VLOOKUP($B176,QUEUE!$F$11:$N$1999,9,FALSE)),"")</f>
        <v/>
      </c>
    </row>
    <row r="177" spans="2:9" ht="30" x14ac:dyDescent="0.4">
      <c r="C177" s="35" t="str">
        <f>IF($B177="","",VLOOKUP($B177,QUEUE!$F$11:$N$1999,2,FALSE))</f>
        <v/>
      </c>
      <c r="D177" s="39" t="str">
        <f>IF($B177="","",VLOOKUP($B177,QUEUE!$F$11:$N$1999,3,FALSE))</f>
        <v/>
      </c>
      <c r="E177" s="35" t="str">
        <f>IF($B177="","",VLOOKUP($B177,QUEUE!$F$11:$N$1999,4,FALSE))</f>
        <v/>
      </c>
      <c r="F177" s="35" t="str">
        <f>IF($B177="","",VLOOKUP($B177,QUEUE!$F$11:$N$1999,5,FALSE))</f>
        <v/>
      </c>
      <c r="G177" s="35" t="str">
        <f>IF($B177="","",VLOOKUP($B177,QUEUE!$F$11:$N$1999,6,FALSE))</f>
        <v/>
      </c>
      <c r="H177" s="75" t="str">
        <f>IF($B177="","",IF(VLOOKUP($B177,QUEUE!$F$11:$N$1999,8,FALSE)=0,"",VLOOKUP($B177,QUEUE!$F$11:$N$1999,8,FALSE)))</f>
        <v/>
      </c>
      <c r="I177" s="67" t="str">
        <f>IFERROR(IF($B177="","",VLOOKUP($B177,QUEUE!$F$11:$N$1999,9,FALSE)),"")</f>
        <v/>
      </c>
    </row>
    <row r="178" spans="2:9" ht="30" x14ac:dyDescent="0.4">
      <c r="B178" s="36"/>
      <c r="C178" s="36" t="str">
        <f>IF($B178="","",VLOOKUP($B178,QUEUE!$F$11:$N$1999,2,FALSE))</f>
        <v/>
      </c>
      <c r="D178" s="40" t="str">
        <f>IF($B178="","",VLOOKUP($B178,QUEUE!$F$11:$N$1999,3,FALSE))</f>
        <v/>
      </c>
      <c r="E178" s="36" t="str">
        <f>IF($B178="","",VLOOKUP($B178,QUEUE!$F$11:$N$1999,4,FALSE))</f>
        <v/>
      </c>
      <c r="F178" s="36" t="str">
        <f>IF($B178="","",VLOOKUP($B178,QUEUE!$F$11:$N$1999,5,FALSE))</f>
        <v/>
      </c>
      <c r="G178" s="36" t="str">
        <f>IF($B178="","",VLOOKUP($B178,QUEUE!$F$11:$N$1999,6,FALSE))</f>
        <v/>
      </c>
      <c r="H178" s="76" t="str">
        <f>IF($B178="","",IF(VLOOKUP($B178,QUEUE!$F$11:$N$1999,8,FALSE)=0,"",VLOOKUP($B178,QUEUE!$F$11:$N$1999,8,FALSE)))</f>
        <v/>
      </c>
      <c r="I178" s="72" t="str">
        <f>IFERROR(IF($B178="","",VLOOKUP($B178,QUEUE!$F$11:$N$1999,9,FALSE)),"")</f>
        <v/>
      </c>
    </row>
    <row r="179" spans="2:9" ht="30" x14ac:dyDescent="0.4">
      <c r="C179" s="35" t="str">
        <f>IF($B179="","",VLOOKUP($B179,QUEUE!$F$11:$N$1999,2,FALSE))</f>
        <v/>
      </c>
      <c r="D179" s="39" t="str">
        <f>IF($B179="","",VLOOKUP($B179,QUEUE!$F$11:$N$1999,3,FALSE))</f>
        <v/>
      </c>
      <c r="E179" s="35" t="str">
        <f>IF($B179="","",VLOOKUP($B179,QUEUE!$F$11:$N$1999,4,FALSE))</f>
        <v/>
      </c>
      <c r="F179" s="35" t="str">
        <f>IF($B179="","",VLOOKUP($B179,QUEUE!$F$11:$N$1999,5,FALSE))</f>
        <v/>
      </c>
      <c r="G179" s="35" t="str">
        <f>IF($B179="","",VLOOKUP($B179,QUEUE!$F$11:$N$1999,6,FALSE))</f>
        <v/>
      </c>
      <c r="H179" s="75" t="str">
        <f>IF($B179="","",IF(VLOOKUP($B179,QUEUE!$F$11:$N$1999,8,FALSE)=0,"",VLOOKUP($B179,QUEUE!$F$11:$N$1999,8,FALSE)))</f>
        <v/>
      </c>
      <c r="I179" s="67" t="str">
        <f>IFERROR(IF($B179="","",VLOOKUP($B179,QUEUE!$F$11:$N$1999,9,FALSE)),"")</f>
        <v/>
      </c>
    </row>
    <row r="180" spans="2:9" ht="30" x14ac:dyDescent="0.4">
      <c r="B180" s="36"/>
      <c r="C180" s="36" t="str">
        <f>IF($B180="","",VLOOKUP($B180,QUEUE!$F$11:$N$1999,2,FALSE))</f>
        <v/>
      </c>
      <c r="D180" s="40" t="str">
        <f>IF($B180="","",VLOOKUP($B180,QUEUE!$F$11:$N$1999,3,FALSE))</f>
        <v/>
      </c>
      <c r="E180" s="36" t="str">
        <f>IF($B180="","",VLOOKUP($B180,QUEUE!$F$11:$N$1999,4,FALSE))</f>
        <v/>
      </c>
      <c r="F180" s="36" t="str">
        <f>IF($B180="","",VLOOKUP($B180,QUEUE!$F$11:$N$1999,5,FALSE))</f>
        <v/>
      </c>
      <c r="G180" s="36" t="str">
        <f>IF($B180="","",VLOOKUP($B180,QUEUE!$F$11:$N$1999,6,FALSE))</f>
        <v/>
      </c>
      <c r="H180" s="76" t="str">
        <f>IF($B180="","",IF(VLOOKUP($B180,QUEUE!$F$11:$N$1999,8,FALSE)=0,"",VLOOKUP($B180,QUEUE!$F$11:$N$1999,8,FALSE)))</f>
        <v/>
      </c>
      <c r="I180" s="72" t="str">
        <f>IFERROR(IF($B180="","",VLOOKUP($B180,QUEUE!$F$11:$N$1999,9,FALSE)),"")</f>
        <v/>
      </c>
    </row>
    <row r="181" spans="2:9" ht="30" x14ac:dyDescent="0.4">
      <c r="C181" s="35" t="str">
        <f>IF($B181="","",VLOOKUP($B181,QUEUE!$F$11:$N$1999,2,FALSE))</f>
        <v/>
      </c>
      <c r="D181" s="39" t="str">
        <f>IF($B181="","",VLOOKUP($B181,QUEUE!$F$11:$N$1999,3,FALSE))</f>
        <v/>
      </c>
      <c r="E181" s="35" t="str">
        <f>IF($B181="","",VLOOKUP($B181,QUEUE!$F$11:$N$1999,4,FALSE))</f>
        <v/>
      </c>
      <c r="F181" s="35" t="str">
        <f>IF($B181="","",VLOOKUP($B181,QUEUE!$F$11:$N$1999,5,FALSE))</f>
        <v/>
      </c>
      <c r="G181" s="35" t="str">
        <f>IF($B181="","",VLOOKUP($B181,QUEUE!$F$11:$N$1999,6,FALSE))</f>
        <v/>
      </c>
      <c r="H181" s="75" t="str">
        <f>IF($B181="","",IF(VLOOKUP($B181,QUEUE!$F$11:$N$1999,8,FALSE)=0,"",VLOOKUP($B181,QUEUE!$F$11:$N$1999,8,FALSE)))</f>
        <v/>
      </c>
      <c r="I181" s="67" t="str">
        <f>IFERROR(IF($B181="","",VLOOKUP($B181,QUEUE!$F$11:$N$1999,9,FALSE)),"")</f>
        <v/>
      </c>
    </row>
    <row r="182" spans="2:9" ht="30" x14ac:dyDescent="0.4">
      <c r="B182" s="36"/>
      <c r="C182" s="36" t="str">
        <f>IF($B182="","",VLOOKUP($B182,QUEUE!$F$11:$N$1999,2,FALSE))</f>
        <v/>
      </c>
      <c r="D182" s="40" t="str">
        <f>IF($B182="","",VLOOKUP($B182,QUEUE!$F$11:$N$1999,3,FALSE))</f>
        <v/>
      </c>
      <c r="E182" s="36" t="str">
        <f>IF($B182="","",VLOOKUP($B182,QUEUE!$F$11:$N$1999,4,FALSE))</f>
        <v/>
      </c>
      <c r="F182" s="36" t="str">
        <f>IF($B182="","",VLOOKUP($B182,QUEUE!$F$11:$N$1999,5,FALSE))</f>
        <v/>
      </c>
      <c r="G182" s="36" t="str">
        <f>IF($B182="","",VLOOKUP($B182,QUEUE!$F$11:$N$1999,6,FALSE))</f>
        <v/>
      </c>
      <c r="H182" s="76" t="str">
        <f>IF($B182="","",IF(VLOOKUP($B182,QUEUE!$F$11:$N$1999,8,FALSE)=0,"",VLOOKUP($B182,QUEUE!$F$11:$N$1999,8,FALSE)))</f>
        <v/>
      </c>
      <c r="I182" s="72" t="str">
        <f>IFERROR(IF($B182="","",VLOOKUP($B182,QUEUE!$F$11:$N$1999,9,FALSE)),"")</f>
        <v/>
      </c>
    </row>
    <row r="183" spans="2:9" ht="30" x14ac:dyDescent="0.4">
      <c r="C183" s="35" t="str">
        <f>IF($B183="","",VLOOKUP($B183,QUEUE!$F$11:$N$1999,2,FALSE))</f>
        <v/>
      </c>
      <c r="D183" s="39" t="str">
        <f>IF($B183="","",VLOOKUP($B183,QUEUE!$F$11:$N$1999,3,FALSE))</f>
        <v/>
      </c>
      <c r="E183" s="35" t="str">
        <f>IF($B183="","",VLOOKUP($B183,QUEUE!$F$11:$N$1999,4,FALSE))</f>
        <v/>
      </c>
      <c r="F183" s="35" t="str">
        <f>IF($B183="","",VLOOKUP($B183,QUEUE!$F$11:$N$1999,5,FALSE))</f>
        <v/>
      </c>
      <c r="G183" s="35" t="str">
        <f>IF($B183="","",VLOOKUP($B183,QUEUE!$F$11:$N$1999,6,FALSE))</f>
        <v/>
      </c>
      <c r="H183" s="75" t="str">
        <f>IF($B183="","",IF(VLOOKUP($B183,QUEUE!$F$11:$N$1999,8,FALSE)=0,"",VLOOKUP($B183,QUEUE!$F$11:$N$1999,8,FALSE)))</f>
        <v/>
      </c>
      <c r="I183" s="67" t="str">
        <f>IFERROR(IF($B183="","",VLOOKUP($B183,QUEUE!$F$11:$N$1999,9,FALSE)),"")</f>
        <v/>
      </c>
    </row>
    <row r="184" spans="2:9" ht="30" x14ac:dyDescent="0.4">
      <c r="B184" s="36"/>
      <c r="C184" s="36" t="str">
        <f>IF($B184="","",VLOOKUP($B184,QUEUE!$F$11:$N$1999,2,FALSE))</f>
        <v/>
      </c>
      <c r="D184" s="40" t="str">
        <f>IF($B184="","",VLOOKUP($B184,QUEUE!$F$11:$N$1999,3,FALSE))</f>
        <v/>
      </c>
      <c r="E184" s="36" t="str">
        <f>IF($B184="","",VLOOKUP($B184,QUEUE!$F$11:$N$1999,4,FALSE))</f>
        <v/>
      </c>
      <c r="F184" s="36" t="str">
        <f>IF($B184="","",VLOOKUP($B184,QUEUE!$F$11:$N$1999,5,FALSE))</f>
        <v/>
      </c>
      <c r="G184" s="36" t="str">
        <f>IF($B184="","",VLOOKUP($B184,QUEUE!$F$11:$N$1999,6,FALSE))</f>
        <v/>
      </c>
      <c r="H184" s="76" t="str">
        <f>IF($B184="","",IF(VLOOKUP($B184,QUEUE!$F$11:$N$1999,8,FALSE)=0,"",VLOOKUP($B184,QUEUE!$F$11:$N$1999,8,FALSE)))</f>
        <v/>
      </c>
      <c r="I184" s="72" t="str">
        <f>IFERROR(IF($B184="","",VLOOKUP($B184,QUEUE!$F$11:$N$1999,9,FALSE)),"")</f>
        <v/>
      </c>
    </row>
    <row r="185" spans="2:9" ht="30" x14ac:dyDescent="0.4">
      <c r="C185" s="35" t="str">
        <f>IF($B185="","",VLOOKUP($B185,QUEUE!$F$11:$N$1999,2,FALSE))</f>
        <v/>
      </c>
      <c r="D185" s="39" t="str">
        <f>IF($B185="","",VLOOKUP($B185,QUEUE!$F$11:$N$1999,3,FALSE))</f>
        <v/>
      </c>
      <c r="E185" s="35" t="str">
        <f>IF($B185="","",VLOOKUP($B185,QUEUE!$F$11:$N$1999,4,FALSE))</f>
        <v/>
      </c>
      <c r="F185" s="35" t="str">
        <f>IF($B185="","",VLOOKUP($B185,QUEUE!$F$11:$N$1999,5,FALSE))</f>
        <v/>
      </c>
      <c r="G185" s="35" t="str">
        <f>IF($B185="","",VLOOKUP($B185,QUEUE!$F$11:$N$1999,6,FALSE))</f>
        <v/>
      </c>
      <c r="H185" s="75" t="str">
        <f>IF($B185="","",IF(VLOOKUP($B185,QUEUE!$F$11:$N$1999,8,FALSE)=0,"",VLOOKUP($B185,QUEUE!$F$11:$N$1999,8,FALSE)))</f>
        <v/>
      </c>
      <c r="I185" s="67" t="str">
        <f>IFERROR(IF($B185="","",VLOOKUP($B185,QUEUE!$F$11:$N$1999,9,FALSE)),"")</f>
        <v/>
      </c>
    </row>
    <row r="186" spans="2:9" ht="30" x14ac:dyDescent="0.4">
      <c r="B186" s="36"/>
      <c r="C186" s="36" t="str">
        <f>IF($B186="","",VLOOKUP($B186,QUEUE!$F$11:$N$1999,2,FALSE))</f>
        <v/>
      </c>
      <c r="D186" s="40" t="str">
        <f>IF($B186="","",VLOOKUP($B186,QUEUE!$F$11:$N$1999,3,FALSE))</f>
        <v/>
      </c>
      <c r="E186" s="36" t="str">
        <f>IF($B186="","",VLOOKUP($B186,QUEUE!$F$11:$N$1999,4,FALSE))</f>
        <v/>
      </c>
      <c r="F186" s="36" t="str">
        <f>IF($B186="","",VLOOKUP($B186,QUEUE!$F$11:$N$1999,5,FALSE))</f>
        <v/>
      </c>
      <c r="G186" s="36" t="str">
        <f>IF($B186="","",VLOOKUP($B186,QUEUE!$F$11:$N$1999,6,FALSE))</f>
        <v/>
      </c>
      <c r="H186" s="76" t="str">
        <f>IF($B186="","",IF(VLOOKUP($B186,QUEUE!$F$11:$N$1999,8,FALSE)=0,"",VLOOKUP($B186,QUEUE!$F$11:$N$1999,8,FALSE)))</f>
        <v/>
      </c>
      <c r="I186" s="72" t="str">
        <f>IFERROR(IF($B186="","",VLOOKUP($B186,QUEUE!$F$11:$N$1999,9,FALSE)),"")</f>
        <v/>
      </c>
    </row>
    <row r="187" spans="2:9" ht="30" x14ac:dyDescent="0.4">
      <c r="C187" s="35" t="str">
        <f>IF($B187="","",VLOOKUP($B187,QUEUE!$F$11:$N$1999,2,FALSE))</f>
        <v/>
      </c>
      <c r="D187" s="39" t="str">
        <f>IF($B187="","",VLOOKUP($B187,QUEUE!$F$11:$N$1999,3,FALSE))</f>
        <v/>
      </c>
      <c r="E187" s="35" t="str">
        <f>IF($B187="","",VLOOKUP($B187,QUEUE!$F$11:$N$1999,4,FALSE))</f>
        <v/>
      </c>
      <c r="F187" s="35" t="str">
        <f>IF($B187="","",VLOOKUP($B187,QUEUE!$F$11:$N$1999,5,FALSE))</f>
        <v/>
      </c>
      <c r="G187" s="35" t="str">
        <f>IF($B187="","",VLOOKUP($B187,QUEUE!$F$11:$N$1999,6,FALSE))</f>
        <v/>
      </c>
      <c r="H187" s="75" t="str">
        <f>IF($B187="","",IF(VLOOKUP($B187,QUEUE!$F$11:$N$1999,8,FALSE)=0,"",VLOOKUP($B187,QUEUE!$F$11:$N$1999,8,FALSE)))</f>
        <v/>
      </c>
      <c r="I187" s="67" t="str">
        <f>IFERROR(IF($B187="","",VLOOKUP($B187,QUEUE!$F$11:$N$1999,9,FALSE)),"")</f>
        <v/>
      </c>
    </row>
    <row r="188" spans="2:9" ht="30" x14ac:dyDescent="0.4">
      <c r="B188" s="36"/>
      <c r="C188" s="36" t="str">
        <f>IF($B188="","",VLOOKUP($B188,QUEUE!$F$11:$N$1999,2,FALSE))</f>
        <v/>
      </c>
      <c r="D188" s="40" t="str">
        <f>IF($B188="","",VLOOKUP($B188,QUEUE!$F$11:$N$1999,3,FALSE))</f>
        <v/>
      </c>
      <c r="E188" s="36" t="str">
        <f>IF($B188="","",VLOOKUP($B188,QUEUE!$F$11:$N$1999,4,FALSE))</f>
        <v/>
      </c>
      <c r="F188" s="36" t="str">
        <f>IF($B188="","",VLOOKUP($B188,QUEUE!$F$11:$N$1999,5,FALSE))</f>
        <v/>
      </c>
      <c r="G188" s="36" t="str">
        <f>IF($B188="","",VLOOKUP($B188,QUEUE!$F$11:$N$1999,6,FALSE))</f>
        <v/>
      </c>
      <c r="H188" s="76" t="str">
        <f>IF($B188="","",IF(VLOOKUP($B188,QUEUE!$F$11:$N$1999,8,FALSE)=0,"",VLOOKUP($B188,QUEUE!$F$11:$N$1999,8,FALSE)))</f>
        <v/>
      </c>
      <c r="I188" s="72" t="str">
        <f>IFERROR(IF($B188="","",VLOOKUP($B188,QUEUE!$F$11:$N$1999,9,FALSE)),"")</f>
        <v/>
      </c>
    </row>
    <row r="189" spans="2:9" ht="30" x14ac:dyDescent="0.4">
      <c r="C189" s="35" t="str">
        <f>IF($B189="","",VLOOKUP($B189,QUEUE!$F$11:$N$1999,2,FALSE))</f>
        <v/>
      </c>
      <c r="D189" s="39" t="str">
        <f>IF($B189="","",VLOOKUP($B189,QUEUE!$F$11:$N$1999,3,FALSE))</f>
        <v/>
      </c>
      <c r="E189" s="35" t="str">
        <f>IF($B189="","",VLOOKUP($B189,QUEUE!$F$11:$N$1999,4,FALSE))</f>
        <v/>
      </c>
      <c r="F189" s="35" t="str">
        <f>IF($B189="","",VLOOKUP($B189,QUEUE!$F$11:$N$1999,5,FALSE))</f>
        <v/>
      </c>
      <c r="G189" s="35" t="str">
        <f>IF($B189="","",VLOOKUP($B189,QUEUE!$F$11:$N$1999,6,FALSE))</f>
        <v/>
      </c>
      <c r="H189" s="75" t="str">
        <f>IF($B189="","",IF(VLOOKUP($B189,QUEUE!$F$11:$N$1999,8,FALSE)=0,"",VLOOKUP($B189,QUEUE!$F$11:$N$1999,8,FALSE)))</f>
        <v/>
      </c>
      <c r="I189" s="67" t="str">
        <f>IFERROR(IF($B189="","",VLOOKUP($B189,QUEUE!$F$11:$N$1999,9,FALSE)),"")</f>
        <v/>
      </c>
    </row>
    <row r="190" spans="2:9" ht="30" x14ac:dyDescent="0.4">
      <c r="B190" s="36"/>
      <c r="C190" s="36" t="str">
        <f>IF($B190="","",VLOOKUP($B190,QUEUE!$F$11:$N$1999,2,FALSE))</f>
        <v/>
      </c>
      <c r="D190" s="40" t="str">
        <f>IF($B190="","",VLOOKUP($B190,QUEUE!$F$11:$N$1999,3,FALSE))</f>
        <v/>
      </c>
      <c r="E190" s="36" t="str">
        <f>IF($B190="","",VLOOKUP($B190,QUEUE!$F$11:$N$1999,4,FALSE))</f>
        <v/>
      </c>
      <c r="F190" s="36" t="str">
        <f>IF($B190="","",VLOOKUP($B190,QUEUE!$F$11:$N$1999,5,FALSE))</f>
        <v/>
      </c>
      <c r="G190" s="36" t="str">
        <f>IF($B190="","",VLOOKUP($B190,QUEUE!$F$11:$N$1999,6,FALSE))</f>
        <v/>
      </c>
      <c r="H190" s="76" t="str">
        <f>IF($B190="","",IF(VLOOKUP($B190,QUEUE!$F$11:$N$1999,8,FALSE)=0,"",VLOOKUP($B190,QUEUE!$F$11:$N$1999,8,FALSE)))</f>
        <v/>
      </c>
      <c r="I190" s="72" t="str">
        <f>IFERROR(IF($B190="","",VLOOKUP($B190,QUEUE!$F$11:$N$1999,9,FALSE)),"")</f>
        <v/>
      </c>
    </row>
    <row r="191" spans="2:9" ht="30" x14ac:dyDescent="0.4">
      <c r="C191" s="35" t="str">
        <f>IF($B191="","",VLOOKUP($B191,QUEUE!$F$11:$N$1999,2,FALSE))</f>
        <v/>
      </c>
      <c r="D191" s="39" t="str">
        <f>IF($B191="","",VLOOKUP($B191,QUEUE!$F$11:$N$1999,3,FALSE))</f>
        <v/>
      </c>
      <c r="E191" s="35" t="str">
        <f>IF($B191="","",VLOOKUP($B191,QUEUE!$F$11:$N$1999,4,FALSE))</f>
        <v/>
      </c>
      <c r="F191" s="35" t="str">
        <f>IF($B191="","",VLOOKUP($B191,QUEUE!$F$11:$N$1999,5,FALSE))</f>
        <v/>
      </c>
      <c r="G191" s="35" t="str">
        <f>IF($B191="","",VLOOKUP($B191,QUEUE!$F$11:$N$1999,6,FALSE))</f>
        <v/>
      </c>
      <c r="H191" s="75" t="str">
        <f>IF($B191="","",IF(VLOOKUP($B191,QUEUE!$F$11:$N$1999,8,FALSE)=0,"",VLOOKUP($B191,QUEUE!$F$11:$N$1999,8,FALSE)))</f>
        <v/>
      </c>
      <c r="I191" s="67" t="str">
        <f>IFERROR(IF($B191="","",VLOOKUP($B191,QUEUE!$F$11:$N$1999,9,FALSE)),"")</f>
        <v/>
      </c>
    </row>
    <row r="192" spans="2:9" ht="30" x14ac:dyDescent="0.4">
      <c r="B192" s="36"/>
      <c r="C192" s="36" t="str">
        <f>IF($B192="","",VLOOKUP($B192,QUEUE!$F$11:$N$1999,2,FALSE))</f>
        <v/>
      </c>
      <c r="D192" s="40" t="str">
        <f>IF($B192="","",VLOOKUP($B192,QUEUE!$F$11:$N$1999,3,FALSE))</f>
        <v/>
      </c>
      <c r="E192" s="36" t="str">
        <f>IF($B192="","",VLOOKUP($B192,QUEUE!$F$11:$N$1999,4,FALSE))</f>
        <v/>
      </c>
      <c r="F192" s="36" t="str">
        <f>IF($B192="","",VLOOKUP($B192,QUEUE!$F$11:$N$1999,5,FALSE))</f>
        <v/>
      </c>
      <c r="G192" s="36" t="str">
        <f>IF($B192="","",VLOOKUP($B192,QUEUE!$F$11:$N$1999,6,FALSE))</f>
        <v/>
      </c>
      <c r="H192" s="76" t="str">
        <f>IF($B192="","",IF(VLOOKUP($B192,QUEUE!$F$11:$N$1999,8,FALSE)=0,"",VLOOKUP($B192,QUEUE!$F$11:$N$1999,8,FALSE)))</f>
        <v/>
      </c>
      <c r="I192" s="72" t="str">
        <f>IFERROR(IF($B192="","",VLOOKUP($B192,QUEUE!$F$11:$N$1999,9,FALSE)),"")</f>
        <v/>
      </c>
    </row>
    <row r="193" spans="2:9" ht="30" x14ac:dyDescent="0.4">
      <c r="C193" s="35" t="str">
        <f>IF($B193="","",VLOOKUP($B193,QUEUE!$F$11:$N$1999,2,FALSE))</f>
        <v/>
      </c>
      <c r="D193" s="39" t="str">
        <f>IF($B193="","",VLOOKUP($B193,QUEUE!$F$11:$N$1999,3,FALSE))</f>
        <v/>
      </c>
      <c r="E193" s="35" t="str">
        <f>IF($B193="","",VLOOKUP($B193,QUEUE!$F$11:$N$1999,4,FALSE))</f>
        <v/>
      </c>
      <c r="F193" s="35" t="str">
        <f>IF($B193="","",VLOOKUP($B193,QUEUE!$F$11:$N$1999,5,FALSE))</f>
        <v/>
      </c>
      <c r="G193" s="35" t="str">
        <f>IF($B193="","",VLOOKUP($B193,QUEUE!$F$11:$N$1999,6,FALSE))</f>
        <v/>
      </c>
      <c r="H193" s="75" t="str">
        <f>IF($B193="","",IF(VLOOKUP($B193,QUEUE!$F$11:$N$1999,8,FALSE)=0,"",VLOOKUP($B193,QUEUE!$F$11:$N$1999,8,FALSE)))</f>
        <v/>
      </c>
      <c r="I193" s="67" t="str">
        <f>IFERROR(IF($B193="","",VLOOKUP($B193,QUEUE!$F$11:$N$1999,9,FALSE)),"")</f>
        <v/>
      </c>
    </row>
    <row r="194" spans="2:9" ht="30" x14ac:dyDescent="0.4">
      <c r="B194" s="36"/>
      <c r="C194" s="36" t="str">
        <f>IF($B194="","",VLOOKUP($B194,QUEUE!$F$11:$N$1999,2,FALSE))</f>
        <v/>
      </c>
      <c r="D194" s="40" t="str">
        <f>IF($B194="","",VLOOKUP($B194,QUEUE!$F$11:$N$1999,3,FALSE))</f>
        <v/>
      </c>
      <c r="E194" s="36" t="str">
        <f>IF($B194="","",VLOOKUP($B194,QUEUE!$F$11:$N$1999,4,FALSE))</f>
        <v/>
      </c>
      <c r="F194" s="36" t="str">
        <f>IF($B194="","",VLOOKUP($B194,QUEUE!$F$11:$N$1999,5,FALSE))</f>
        <v/>
      </c>
      <c r="G194" s="36" t="str">
        <f>IF($B194="","",VLOOKUP($B194,QUEUE!$F$11:$N$1999,6,FALSE))</f>
        <v/>
      </c>
      <c r="H194" s="76" t="str">
        <f>IF($B194="","",IF(VLOOKUP($B194,QUEUE!$F$11:$N$1999,8,FALSE)=0,"",VLOOKUP($B194,QUEUE!$F$11:$N$1999,8,FALSE)))</f>
        <v/>
      </c>
      <c r="I194" s="72" t="str">
        <f>IFERROR(IF($B194="","",VLOOKUP($B194,QUEUE!$F$11:$N$1999,9,FALSE)),"")</f>
        <v/>
      </c>
    </row>
    <row r="195" spans="2:9" ht="30" x14ac:dyDescent="0.4">
      <c r="C195" s="35" t="str">
        <f>IF($B195="","",VLOOKUP($B195,QUEUE!$F$11:$N$1999,2,FALSE))</f>
        <v/>
      </c>
      <c r="D195" s="39" t="str">
        <f>IF($B195="","",VLOOKUP($B195,QUEUE!$F$11:$N$1999,3,FALSE))</f>
        <v/>
      </c>
      <c r="E195" s="35" t="str">
        <f>IF($B195="","",VLOOKUP($B195,QUEUE!$F$11:$N$1999,4,FALSE))</f>
        <v/>
      </c>
      <c r="F195" s="35" t="str">
        <f>IF($B195="","",VLOOKUP($B195,QUEUE!$F$11:$N$1999,5,FALSE))</f>
        <v/>
      </c>
      <c r="G195" s="35" t="str">
        <f>IF($B195="","",VLOOKUP($B195,QUEUE!$F$11:$N$1999,6,FALSE))</f>
        <v/>
      </c>
      <c r="H195" s="75" t="str">
        <f>IF($B195="","",IF(VLOOKUP($B195,QUEUE!$F$11:$N$1999,8,FALSE)=0,"",VLOOKUP($B195,QUEUE!$F$11:$N$1999,8,FALSE)))</f>
        <v/>
      </c>
      <c r="I195" s="67" t="str">
        <f>IFERROR(IF($B195="","",VLOOKUP($B195,QUEUE!$F$11:$N$1999,9,FALSE)),"")</f>
        <v/>
      </c>
    </row>
    <row r="196" spans="2:9" ht="30" x14ac:dyDescent="0.4">
      <c r="B196" s="36"/>
      <c r="C196" s="36" t="str">
        <f>IF($B196="","",VLOOKUP($B196,QUEUE!$F$11:$N$1999,2,FALSE))</f>
        <v/>
      </c>
      <c r="D196" s="40" t="str">
        <f>IF($B196="","",VLOOKUP($B196,QUEUE!$F$11:$N$1999,3,FALSE))</f>
        <v/>
      </c>
      <c r="E196" s="36" t="str">
        <f>IF($B196="","",VLOOKUP($B196,QUEUE!$F$11:$N$1999,4,FALSE))</f>
        <v/>
      </c>
      <c r="F196" s="36" t="str">
        <f>IF($B196="","",VLOOKUP($B196,QUEUE!$F$11:$N$1999,5,FALSE))</f>
        <v/>
      </c>
      <c r="G196" s="36" t="str">
        <f>IF($B196="","",VLOOKUP($B196,QUEUE!$F$11:$N$1999,6,FALSE))</f>
        <v/>
      </c>
      <c r="H196" s="76" t="str">
        <f>IF($B196="","",IF(VLOOKUP($B196,QUEUE!$F$11:$N$1999,8,FALSE)=0,"",VLOOKUP($B196,QUEUE!$F$11:$N$1999,8,FALSE)))</f>
        <v/>
      </c>
      <c r="I196" s="72" t="str">
        <f>IFERROR(IF($B196="","",VLOOKUP($B196,QUEUE!$F$11:$N$1999,9,FALSE)),"")</f>
        <v/>
      </c>
    </row>
    <row r="197" spans="2:9" ht="30" x14ac:dyDescent="0.4">
      <c r="C197" s="35" t="str">
        <f>IF($B197="","",VLOOKUP($B197,QUEUE!$F$11:$N$1999,2,FALSE))</f>
        <v/>
      </c>
      <c r="D197" s="39" t="str">
        <f>IF($B197="","",VLOOKUP($B197,QUEUE!$F$11:$N$1999,3,FALSE))</f>
        <v/>
      </c>
      <c r="E197" s="35" t="str">
        <f>IF($B197="","",VLOOKUP($B197,QUEUE!$F$11:$N$1999,4,FALSE))</f>
        <v/>
      </c>
      <c r="F197" s="35" t="str">
        <f>IF($B197="","",VLOOKUP($B197,QUEUE!$F$11:$N$1999,5,FALSE))</f>
        <v/>
      </c>
      <c r="G197" s="35" t="str">
        <f>IF($B197="","",VLOOKUP($B197,QUEUE!$F$11:$N$1999,6,FALSE))</f>
        <v/>
      </c>
      <c r="H197" s="75" t="str">
        <f>IF($B197="","",IF(VLOOKUP($B197,QUEUE!$F$11:$N$1999,8,FALSE)=0,"",VLOOKUP($B197,QUEUE!$F$11:$N$1999,8,FALSE)))</f>
        <v/>
      </c>
      <c r="I197" s="67" t="str">
        <f>IFERROR(IF($B197="","",VLOOKUP($B197,QUEUE!$F$11:$N$1999,9,FALSE)),"")</f>
        <v/>
      </c>
    </row>
    <row r="198" spans="2:9" ht="30" x14ac:dyDescent="0.4">
      <c r="B198" s="36"/>
      <c r="C198" s="36" t="str">
        <f>IF($B198="","",VLOOKUP($B198,QUEUE!$F$11:$N$1999,2,FALSE))</f>
        <v/>
      </c>
      <c r="D198" s="40" t="str">
        <f>IF($B198="","",VLOOKUP($B198,QUEUE!$F$11:$N$1999,3,FALSE))</f>
        <v/>
      </c>
      <c r="E198" s="36" t="str">
        <f>IF($B198="","",VLOOKUP($B198,QUEUE!$F$11:$N$1999,4,FALSE))</f>
        <v/>
      </c>
      <c r="F198" s="36" t="str">
        <f>IF($B198="","",VLOOKUP($B198,QUEUE!$F$11:$N$1999,5,FALSE))</f>
        <v/>
      </c>
      <c r="G198" s="36" t="str">
        <f>IF($B198="","",VLOOKUP($B198,QUEUE!$F$11:$N$1999,6,FALSE))</f>
        <v/>
      </c>
      <c r="H198" s="76" t="str">
        <f>IF($B198="","",IF(VLOOKUP($B198,QUEUE!$F$11:$N$1999,8,FALSE)=0,"",VLOOKUP($B198,QUEUE!$F$11:$N$1999,8,FALSE)))</f>
        <v/>
      </c>
      <c r="I198" s="72" t="str">
        <f>IFERROR(IF($B198="","",VLOOKUP($B198,QUEUE!$F$11:$N$1999,9,FALSE)),"")</f>
        <v/>
      </c>
    </row>
    <row r="199" spans="2:9" ht="30" x14ac:dyDescent="0.4">
      <c r="C199" s="35" t="str">
        <f>IF($B199="","",VLOOKUP($B199,QUEUE!$F$11:$N$1999,2,FALSE))</f>
        <v/>
      </c>
      <c r="D199" s="39" t="str">
        <f>IF($B199="","",VLOOKUP($B199,QUEUE!$F$11:$N$1999,3,FALSE))</f>
        <v/>
      </c>
      <c r="E199" s="35" t="str">
        <f>IF($B199="","",VLOOKUP($B199,QUEUE!$F$11:$N$1999,4,FALSE))</f>
        <v/>
      </c>
      <c r="F199" s="35" t="str">
        <f>IF($B199="","",VLOOKUP($B199,QUEUE!$F$11:$N$1999,5,FALSE))</f>
        <v/>
      </c>
      <c r="G199" s="35" t="str">
        <f>IF($B199="","",VLOOKUP($B199,QUEUE!$F$11:$N$1999,6,FALSE))</f>
        <v/>
      </c>
      <c r="H199" s="75" t="str">
        <f>IF($B199="","",IF(VLOOKUP($B199,QUEUE!$F$11:$N$1999,8,FALSE)=0,"",VLOOKUP($B199,QUEUE!$F$11:$N$1999,8,FALSE)))</f>
        <v/>
      </c>
      <c r="I199" s="67" t="str">
        <f>IFERROR(IF($B199="","",VLOOKUP($B199,QUEUE!$F$11:$N$1999,9,FALSE)),"")</f>
        <v/>
      </c>
    </row>
    <row r="200" spans="2:9" ht="30" x14ac:dyDescent="0.4">
      <c r="B200" s="36"/>
      <c r="C200" s="36" t="str">
        <f>IF($B200="","",VLOOKUP($B200,QUEUE!$F$11:$N$1999,2,FALSE))</f>
        <v/>
      </c>
      <c r="D200" s="40" t="str">
        <f>IF($B200="","",VLOOKUP($B200,QUEUE!$F$11:$N$1999,3,FALSE))</f>
        <v/>
      </c>
      <c r="E200" s="36" t="str">
        <f>IF($B200="","",VLOOKUP($B200,QUEUE!$F$11:$N$1999,4,FALSE))</f>
        <v/>
      </c>
      <c r="F200" s="36" t="str">
        <f>IF($B200="","",VLOOKUP($B200,QUEUE!$F$11:$N$1999,5,FALSE))</f>
        <v/>
      </c>
      <c r="G200" s="36" t="str">
        <f>IF($B200="","",VLOOKUP($B200,QUEUE!$F$11:$N$1999,6,FALSE))</f>
        <v/>
      </c>
      <c r="H200" s="76" t="str">
        <f>IF($B200="","",IF(VLOOKUP($B200,QUEUE!$F$11:$N$1999,8,FALSE)=0,"",VLOOKUP($B200,QUEUE!$F$11:$N$1999,8,FALSE)))</f>
        <v/>
      </c>
      <c r="I200" s="72" t="str">
        <f>IFERROR(IF($B200="","",VLOOKUP($B200,QUEUE!$F$11:$N$1999,9,FALSE)),"")</f>
        <v/>
      </c>
    </row>
    <row r="201" spans="2:9" ht="30" x14ac:dyDescent="0.4">
      <c r="C201" s="35" t="str">
        <f>IF($B201="","",VLOOKUP($B201,QUEUE!$F$11:$N$1999,2,FALSE))</f>
        <v/>
      </c>
      <c r="D201" s="39" t="str">
        <f>IF($B201="","",VLOOKUP($B201,QUEUE!$F$11:$N$1999,3,FALSE))</f>
        <v/>
      </c>
      <c r="E201" s="35" t="str">
        <f>IF($B201="","",VLOOKUP($B201,QUEUE!$F$11:$N$1999,4,FALSE))</f>
        <v/>
      </c>
      <c r="F201" s="35" t="str">
        <f>IF($B201="","",VLOOKUP($B201,QUEUE!$F$11:$N$1999,5,FALSE))</f>
        <v/>
      </c>
      <c r="G201" s="35" t="str">
        <f>IF($B201="","",VLOOKUP($B201,QUEUE!$F$11:$N$1999,6,FALSE))</f>
        <v/>
      </c>
      <c r="H201" s="75" t="str">
        <f>IF($B201="","",IF(VLOOKUP($B201,QUEUE!$F$11:$N$1999,8,FALSE)=0,"",VLOOKUP($B201,QUEUE!$F$11:$N$1999,8,FALSE)))</f>
        <v/>
      </c>
      <c r="I201" s="67" t="str">
        <f>IFERROR(IF($B201="","",VLOOKUP($B201,QUEUE!$F$11:$N$1999,9,FALSE)),"")</f>
        <v/>
      </c>
    </row>
    <row r="202" spans="2:9" ht="30" x14ac:dyDescent="0.4">
      <c r="B202" s="36"/>
      <c r="C202" s="36" t="str">
        <f>IF($B202="","",VLOOKUP($B202,QUEUE!$F$11:$N$1999,2,FALSE))</f>
        <v/>
      </c>
      <c r="D202" s="40" t="str">
        <f>IF($B202="","",VLOOKUP($B202,QUEUE!$F$11:$N$1999,3,FALSE))</f>
        <v/>
      </c>
      <c r="E202" s="36" t="str">
        <f>IF($B202="","",VLOOKUP($B202,QUEUE!$F$11:$N$1999,4,FALSE))</f>
        <v/>
      </c>
      <c r="F202" s="36" t="str">
        <f>IF($B202="","",VLOOKUP($B202,QUEUE!$F$11:$N$1999,5,FALSE))</f>
        <v/>
      </c>
      <c r="G202" s="36" t="str">
        <f>IF($B202="","",VLOOKUP($B202,QUEUE!$F$11:$N$1999,6,FALSE))</f>
        <v/>
      </c>
      <c r="H202" s="76" t="str">
        <f>IF($B202="","",IF(VLOOKUP($B202,QUEUE!$F$11:$N$1999,8,FALSE)=0,"",VLOOKUP($B202,QUEUE!$F$11:$N$1999,8,FALSE)))</f>
        <v/>
      </c>
      <c r="I202" s="72" t="str">
        <f>IFERROR(IF($B202="","",VLOOKUP($B202,QUEUE!$F$11:$N$1999,9,FALSE)),"")</f>
        <v/>
      </c>
    </row>
    <row r="203" spans="2:9" ht="30" x14ac:dyDescent="0.4">
      <c r="C203" s="35" t="str">
        <f>IF($B203="","",VLOOKUP($B203,QUEUE!$F$11:$N$1999,2,FALSE))</f>
        <v/>
      </c>
      <c r="D203" s="39" t="str">
        <f>IF($B203="","",VLOOKUP($B203,QUEUE!$F$11:$N$1999,3,FALSE))</f>
        <v/>
      </c>
      <c r="E203" s="35" t="str">
        <f>IF($B203="","",VLOOKUP($B203,QUEUE!$F$11:$N$1999,4,FALSE))</f>
        <v/>
      </c>
      <c r="F203" s="35" t="str">
        <f>IF($B203="","",VLOOKUP($B203,QUEUE!$F$11:$N$1999,5,FALSE))</f>
        <v/>
      </c>
      <c r="G203" s="35" t="str">
        <f>IF($B203="","",VLOOKUP($B203,QUEUE!$F$11:$N$1999,6,FALSE))</f>
        <v/>
      </c>
      <c r="H203" s="75" t="str">
        <f>IF($B203="","",IF(VLOOKUP($B203,QUEUE!$F$11:$N$1999,8,FALSE)=0,"",VLOOKUP($B203,QUEUE!$F$11:$N$1999,8,FALSE)))</f>
        <v/>
      </c>
      <c r="I203" s="67" t="str">
        <f>IFERROR(IF($B203="","",VLOOKUP($B203,QUEUE!$F$11:$N$1999,9,FALSE)),"")</f>
        <v/>
      </c>
    </row>
    <row r="204" spans="2:9" ht="30" x14ac:dyDescent="0.4">
      <c r="B204" s="36"/>
      <c r="C204" s="36" t="str">
        <f>IF($B204="","",VLOOKUP($B204,QUEUE!$F$11:$N$1999,2,FALSE))</f>
        <v/>
      </c>
      <c r="D204" s="40" t="str">
        <f>IF($B204="","",VLOOKUP($B204,QUEUE!$F$11:$N$1999,3,FALSE))</f>
        <v/>
      </c>
      <c r="E204" s="36" t="str">
        <f>IF($B204="","",VLOOKUP($B204,QUEUE!$F$11:$N$1999,4,FALSE))</f>
        <v/>
      </c>
      <c r="F204" s="36" t="str">
        <f>IF($B204="","",VLOOKUP($B204,QUEUE!$F$11:$N$1999,5,FALSE))</f>
        <v/>
      </c>
      <c r="G204" s="36" t="str">
        <f>IF($B204="","",VLOOKUP($B204,QUEUE!$F$11:$N$1999,6,FALSE))</f>
        <v/>
      </c>
      <c r="H204" s="76" t="str">
        <f>IF($B204="","",IF(VLOOKUP($B204,QUEUE!$F$11:$N$1999,8,FALSE)=0,"",VLOOKUP($B204,QUEUE!$F$11:$N$1999,8,FALSE)))</f>
        <v/>
      </c>
      <c r="I204" s="72" t="str">
        <f>IFERROR(IF($B204="","",VLOOKUP($B204,QUEUE!$F$11:$N$1999,9,FALSE)),"")</f>
        <v/>
      </c>
    </row>
    <row r="205" spans="2:9" ht="30" x14ac:dyDescent="0.4">
      <c r="C205" s="35" t="str">
        <f>IF($B205="","",VLOOKUP($B205,QUEUE!$F$11:$N$1999,2,FALSE))</f>
        <v/>
      </c>
      <c r="D205" s="39" t="str">
        <f>IF($B205="","",VLOOKUP($B205,QUEUE!$F$11:$N$1999,3,FALSE))</f>
        <v/>
      </c>
      <c r="E205" s="35" t="str">
        <f>IF($B205="","",VLOOKUP($B205,QUEUE!$F$11:$N$1999,4,FALSE))</f>
        <v/>
      </c>
      <c r="F205" s="35" t="str">
        <f>IF($B205="","",VLOOKUP($B205,QUEUE!$F$11:$N$1999,5,FALSE))</f>
        <v/>
      </c>
      <c r="G205" s="35" t="str">
        <f>IF($B205="","",VLOOKUP($B205,QUEUE!$F$11:$N$1999,6,FALSE))</f>
        <v/>
      </c>
      <c r="H205" s="75" t="str">
        <f>IF($B205="","",IF(VLOOKUP($B205,QUEUE!$F$11:$N$1999,8,FALSE)=0,"",VLOOKUP($B205,QUEUE!$F$11:$N$1999,8,FALSE)))</f>
        <v/>
      </c>
      <c r="I205" s="67" t="str">
        <f>IFERROR(IF($B205="","",VLOOKUP($B205,QUEUE!$F$11:$N$1999,9,FALSE)),"")</f>
        <v/>
      </c>
    </row>
    <row r="206" spans="2:9" ht="30" x14ac:dyDescent="0.4">
      <c r="B206" s="36"/>
      <c r="C206" s="36" t="str">
        <f>IF($B206="","",VLOOKUP($B206,QUEUE!$F$11:$N$1999,2,FALSE))</f>
        <v/>
      </c>
      <c r="D206" s="40" t="str">
        <f>IF($B206="","",VLOOKUP($B206,QUEUE!$F$11:$N$1999,3,FALSE))</f>
        <v/>
      </c>
      <c r="E206" s="36" t="str">
        <f>IF($B206="","",VLOOKUP($B206,QUEUE!$F$11:$N$1999,4,FALSE))</f>
        <v/>
      </c>
      <c r="F206" s="36" t="str">
        <f>IF($B206="","",VLOOKUP($B206,QUEUE!$F$11:$N$1999,5,FALSE))</f>
        <v/>
      </c>
      <c r="G206" s="36" t="str">
        <f>IF($B206="","",VLOOKUP($B206,QUEUE!$F$11:$N$1999,6,FALSE))</f>
        <v/>
      </c>
      <c r="H206" s="76" t="str">
        <f>IF($B206="","",IF(VLOOKUP($B206,QUEUE!$F$11:$N$1999,8,FALSE)=0,"",VLOOKUP($B206,QUEUE!$F$11:$N$1999,8,FALSE)))</f>
        <v/>
      </c>
      <c r="I206" s="72" t="str">
        <f>IFERROR(IF($B206="","",VLOOKUP($B206,QUEUE!$F$11:$N$1999,9,FALSE)),"")</f>
        <v/>
      </c>
    </row>
    <row r="207" spans="2:9" ht="30" x14ac:dyDescent="0.4">
      <c r="C207" s="35" t="str">
        <f>IF($B207="","",VLOOKUP($B207,QUEUE!$F$11:$N$1999,2,FALSE))</f>
        <v/>
      </c>
      <c r="D207" s="39" t="str">
        <f>IF($B207="","",VLOOKUP($B207,QUEUE!$F$11:$N$1999,3,FALSE))</f>
        <v/>
      </c>
      <c r="E207" s="35" t="str">
        <f>IF($B207="","",VLOOKUP($B207,QUEUE!$F$11:$N$1999,4,FALSE))</f>
        <v/>
      </c>
      <c r="F207" s="35" t="str">
        <f>IF($B207="","",VLOOKUP($B207,QUEUE!$F$11:$N$1999,5,FALSE))</f>
        <v/>
      </c>
      <c r="G207" s="35" t="str">
        <f>IF($B207="","",VLOOKUP($B207,QUEUE!$F$11:$N$1999,6,FALSE))</f>
        <v/>
      </c>
      <c r="H207" s="75" t="str">
        <f>IF($B207="","",IF(VLOOKUP($B207,QUEUE!$F$11:$N$1999,8,FALSE)=0,"",VLOOKUP($B207,QUEUE!$F$11:$N$1999,8,FALSE)))</f>
        <v/>
      </c>
      <c r="I207" s="67" t="str">
        <f>IFERROR(IF($B207="","",VLOOKUP($B207,QUEUE!$F$11:$N$1999,9,FALSE)),"")</f>
        <v/>
      </c>
    </row>
    <row r="208" spans="2:9" ht="30" x14ac:dyDescent="0.4">
      <c r="B208" s="36"/>
      <c r="C208" s="36" t="str">
        <f>IF($B208="","",VLOOKUP($B208,QUEUE!$F$11:$N$1999,2,FALSE))</f>
        <v/>
      </c>
      <c r="D208" s="40" t="str">
        <f>IF($B208="","",VLOOKUP($B208,QUEUE!$F$11:$N$1999,3,FALSE))</f>
        <v/>
      </c>
      <c r="E208" s="36" t="str">
        <f>IF($B208="","",VLOOKUP($B208,QUEUE!$F$11:$N$1999,4,FALSE))</f>
        <v/>
      </c>
      <c r="F208" s="36" t="str">
        <f>IF($B208="","",VLOOKUP($B208,QUEUE!$F$11:$N$1999,5,FALSE))</f>
        <v/>
      </c>
      <c r="G208" s="36" t="str">
        <f>IF($B208="","",VLOOKUP($B208,QUEUE!$F$11:$N$1999,6,FALSE))</f>
        <v/>
      </c>
      <c r="H208" s="76" t="str">
        <f>IF($B208="","",IF(VLOOKUP($B208,QUEUE!$F$11:$N$1999,8,FALSE)=0,"",VLOOKUP($B208,QUEUE!$F$11:$N$1999,8,FALSE)))</f>
        <v/>
      </c>
      <c r="I208" s="72" t="str">
        <f>IFERROR(IF($B208="","",VLOOKUP($B208,QUEUE!$F$11:$N$1999,9,FALSE)),"")</f>
        <v/>
      </c>
    </row>
    <row r="209" spans="2:9" ht="30" x14ac:dyDescent="0.4">
      <c r="C209" s="35" t="str">
        <f>IF($B209="","",VLOOKUP($B209,QUEUE!$F$11:$N$1999,2,FALSE))</f>
        <v/>
      </c>
      <c r="D209" s="39" t="str">
        <f>IF($B209="","",VLOOKUP($B209,QUEUE!$F$11:$N$1999,3,FALSE))</f>
        <v/>
      </c>
      <c r="E209" s="35" t="str">
        <f>IF($B209="","",VLOOKUP($B209,QUEUE!$F$11:$N$1999,4,FALSE))</f>
        <v/>
      </c>
      <c r="F209" s="35" t="str">
        <f>IF($B209="","",VLOOKUP($B209,QUEUE!$F$11:$N$1999,5,FALSE))</f>
        <v/>
      </c>
      <c r="G209" s="35" t="str">
        <f>IF($B209="","",VLOOKUP($B209,QUEUE!$F$11:$N$1999,6,FALSE))</f>
        <v/>
      </c>
      <c r="H209" s="75" t="str">
        <f>IF($B209="","",IF(VLOOKUP($B209,QUEUE!$F$11:$N$1999,8,FALSE)=0,"",VLOOKUP($B209,QUEUE!$F$11:$N$1999,8,FALSE)))</f>
        <v/>
      </c>
      <c r="I209" s="67" t="str">
        <f>IFERROR(IF($B209="","",VLOOKUP($B209,QUEUE!$F$11:$N$1999,9,FALSE)),"")</f>
        <v/>
      </c>
    </row>
    <row r="210" spans="2:9" ht="30" x14ac:dyDescent="0.4">
      <c r="B210" s="36"/>
      <c r="C210" s="36" t="str">
        <f>IF($B210="","",VLOOKUP($B210,QUEUE!$F$11:$N$1999,2,FALSE))</f>
        <v/>
      </c>
      <c r="D210" s="40" t="str">
        <f>IF($B210="","",VLOOKUP($B210,QUEUE!$F$11:$N$1999,3,FALSE))</f>
        <v/>
      </c>
      <c r="E210" s="36" t="str">
        <f>IF($B210="","",VLOOKUP($B210,QUEUE!$F$11:$N$1999,4,FALSE))</f>
        <v/>
      </c>
      <c r="F210" s="36" t="str">
        <f>IF($B210="","",VLOOKUP($B210,QUEUE!$F$11:$N$1999,5,FALSE))</f>
        <v/>
      </c>
      <c r="G210" s="36" t="str">
        <f>IF($B210="","",VLOOKUP($B210,QUEUE!$F$11:$N$1999,6,FALSE))</f>
        <v/>
      </c>
      <c r="H210" s="76" t="str">
        <f>IF($B210="","",IF(VLOOKUP($B210,QUEUE!$F$11:$N$1999,8,FALSE)=0,"",VLOOKUP($B210,QUEUE!$F$11:$N$1999,8,FALSE)))</f>
        <v/>
      </c>
      <c r="I210" s="72" t="str">
        <f>IFERROR(IF($B210="","",VLOOKUP($B210,QUEUE!$F$11:$N$1999,9,FALSE)),"")</f>
        <v/>
      </c>
    </row>
    <row r="211" spans="2:9" ht="30" x14ac:dyDescent="0.4">
      <c r="C211" s="35" t="str">
        <f>IF($B211="","",VLOOKUP($B211,QUEUE!$F$11:$N$1999,2,FALSE))</f>
        <v/>
      </c>
      <c r="D211" s="39" t="str">
        <f>IF($B211="","",VLOOKUP($B211,QUEUE!$F$11:$N$1999,3,FALSE))</f>
        <v/>
      </c>
      <c r="E211" s="35" t="str">
        <f>IF($B211="","",VLOOKUP($B211,QUEUE!$F$11:$N$1999,4,FALSE))</f>
        <v/>
      </c>
      <c r="F211" s="35" t="str">
        <f>IF($B211="","",VLOOKUP($B211,QUEUE!$F$11:$N$1999,5,FALSE))</f>
        <v/>
      </c>
      <c r="G211" s="35" t="str">
        <f>IF($B211="","",VLOOKUP($B211,QUEUE!$F$11:$N$1999,6,FALSE))</f>
        <v/>
      </c>
      <c r="H211" s="75" t="str">
        <f>IF($B211="","",IF(VLOOKUP($B211,QUEUE!$F$11:$N$1999,8,FALSE)=0,"",VLOOKUP($B211,QUEUE!$F$11:$N$1999,8,FALSE)))</f>
        <v/>
      </c>
      <c r="I211" s="67" t="str">
        <f>IFERROR(IF($B211="","",VLOOKUP($B211,QUEUE!$F$11:$N$1999,9,FALSE)),"")</f>
        <v/>
      </c>
    </row>
    <row r="212" spans="2:9" ht="30" x14ac:dyDescent="0.4">
      <c r="B212" s="36"/>
      <c r="C212" s="36" t="str">
        <f>IF($B212="","",VLOOKUP($B212,QUEUE!$F$11:$N$1999,2,FALSE))</f>
        <v/>
      </c>
      <c r="D212" s="40" t="str">
        <f>IF($B212="","",VLOOKUP($B212,QUEUE!$F$11:$N$1999,3,FALSE))</f>
        <v/>
      </c>
      <c r="E212" s="36" t="str">
        <f>IF($B212="","",VLOOKUP($B212,QUEUE!$F$11:$N$1999,4,FALSE))</f>
        <v/>
      </c>
      <c r="F212" s="36" t="str">
        <f>IF($B212="","",VLOOKUP($B212,QUEUE!$F$11:$N$1999,5,FALSE))</f>
        <v/>
      </c>
      <c r="G212" s="36" t="str">
        <f>IF($B212="","",VLOOKUP($B212,QUEUE!$F$11:$N$1999,6,FALSE))</f>
        <v/>
      </c>
      <c r="H212" s="76" t="str">
        <f>IF($B212="","",IF(VLOOKUP($B212,QUEUE!$F$11:$N$1999,8,FALSE)=0,"",VLOOKUP($B212,QUEUE!$F$11:$N$1999,8,FALSE)))</f>
        <v/>
      </c>
      <c r="I212" s="72" t="str">
        <f>IFERROR(IF($B212="","",VLOOKUP($B212,QUEUE!$F$11:$N$1999,9,FALSE)),"")</f>
        <v/>
      </c>
    </row>
    <row r="213" spans="2:9" ht="30" x14ac:dyDescent="0.4">
      <c r="C213" s="35" t="str">
        <f>IF($B213="","",VLOOKUP($B213,QUEUE!$F$11:$N$1999,2,FALSE))</f>
        <v/>
      </c>
      <c r="D213" s="39" t="str">
        <f>IF($B213="","",VLOOKUP($B213,QUEUE!$F$11:$N$1999,3,FALSE))</f>
        <v/>
      </c>
      <c r="E213" s="35" t="str">
        <f>IF($B213="","",VLOOKUP($B213,QUEUE!$F$11:$N$1999,4,FALSE))</f>
        <v/>
      </c>
      <c r="F213" s="35" t="str">
        <f>IF($B213="","",VLOOKUP($B213,QUEUE!$F$11:$N$1999,5,FALSE))</f>
        <v/>
      </c>
      <c r="G213" s="35" t="str">
        <f>IF($B213="","",VLOOKUP($B213,QUEUE!$F$11:$N$1999,6,FALSE))</f>
        <v/>
      </c>
      <c r="H213" s="75" t="str">
        <f>IF($B213="","",IF(VLOOKUP($B213,QUEUE!$F$11:$N$1999,8,FALSE)=0,"",VLOOKUP($B213,QUEUE!$F$11:$N$1999,8,FALSE)))</f>
        <v/>
      </c>
      <c r="I213" s="67" t="str">
        <f>IFERROR(IF($B213="","",VLOOKUP($B213,QUEUE!$F$11:$N$1999,9,FALSE)),"")</f>
        <v/>
      </c>
    </row>
    <row r="214" spans="2:9" ht="30" x14ac:dyDescent="0.4">
      <c r="B214" s="36"/>
      <c r="C214" s="36" t="str">
        <f>IF($B214="","",VLOOKUP($B214,QUEUE!$F$11:$N$1999,2,FALSE))</f>
        <v/>
      </c>
      <c r="D214" s="40" t="str">
        <f>IF($B214="","",VLOOKUP($B214,QUEUE!$F$11:$N$1999,3,FALSE))</f>
        <v/>
      </c>
      <c r="E214" s="36" t="str">
        <f>IF($B214="","",VLOOKUP($B214,QUEUE!$F$11:$N$1999,4,FALSE))</f>
        <v/>
      </c>
      <c r="F214" s="36" t="str">
        <f>IF($B214="","",VLOOKUP($B214,QUEUE!$F$11:$N$1999,5,FALSE))</f>
        <v/>
      </c>
      <c r="G214" s="36" t="str">
        <f>IF($B214="","",VLOOKUP($B214,QUEUE!$F$11:$N$1999,6,FALSE))</f>
        <v/>
      </c>
      <c r="H214" s="76" t="str">
        <f>IF($B214="","",IF(VLOOKUP($B214,QUEUE!$F$11:$N$1999,8,FALSE)=0,"",VLOOKUP($B214,QUEUE!$F$11:$N$1999,8,FALSE)))</f>
        <v/>
      </c>
      <c r="I214" s="72" t="str">
        <f>IFERROR(IF($B214="","",VLOOKUP($B214,QUEUE!$F$11:$N$1999,9,FALSE)),"")</f>
        <v/>
      </c>
    </row>
    <row r="215" spans="2:9" ht="30" x14ac:dyDescent="0.4">
      <c r="C215" s="35" t="str">
        <f>IF($B215="","",VLOOKUP($B215,QUEUE!$F$11:$N$1999,2,FALSE))</f>
        <v/>
      </c>
      <c r="D215" s="39" t="str">
        <f>IF($B215="","",VLOOKUP($B215,QUEUE!$F$11:$N$1999,3,FALSE))</f>
        <v/>
      </c>
      <c r="E215" s="35" t="str">
        <f>IF($B215="","",VLOOKUP($B215,QUEUE!$F$11:$N$1999,4,FALSE))</f>
        <v/>
      </c>
      <c r="F215" s="35" t="str">
        <f>IF($B215="","",VLOOKUP($B215,QUEUE!$F$11:$N$1999,5,FALSE))</f>
        <v/>
      </c>
      <c r="G215" s="35" t="str">
        <f>IF($B215="","",VLOOKUP($B215,QUEUE!$F$11:$N$1999,6,FALSE))</f>
        <v/>
      </c>
      <c r="H215" s="75" t="str">
        <f>IF($B215="","",IF(VLOOKUP($B215,QUEUE!$F$11:$N$1999,8,FALSE)=0,"",VLOOKUP($B215,QUEUE!$F$11:$N$1999,8,FALSE)))</f>
        <v/>
      </c>
      <c r="I215" s="67" t="str">
        <f>IFERROR(IF($B215="","",VLOOKUP($B215,QUEUE!$F$11:$N$1999,9,FALSE)),"")</f>
        <v/>
      </c>
    </row>
    <row r="216" spans="2:9" ht="30" x14ac:dyDescent="0.4">
      <c r="B216" s="36"/>
      <c r="C216" s="36" t="str">
        <f>IF($B216="","",VLOOKUP($B216,QUEUE!$F$11:$N$1999,2,FALSE))</f>
        <v/>
      </c>
      <c r="D216" s="40" t="str">
        <f>IF($B216="","",VLOOKUP($B216,QUEUE!$F$11:$N$1999,3,FALSE))</f>
        <v/>
      </c>
      <c r="E216" s="36" t="str">
        <f>IF($B216="","",VLOOKUP($B216,QUEUE!$F$11:$N$1999,4,FALSE))</f>
        <v/>
      </c>
      <c r="F216" s="36" t="str">
        <f>IF($B216="","",VLOOKUP($B216,QUEUE!$F$11:$N$1999,5,FALSE))</f>
        <v/>
      </c>
      <c r="G216" s="36" t="str">
        <f>IF($B216="","",VLOOKUP($B216,QUEUE!$F$11:$N$1999,6,FALSE))</f>
        <v/>
      </c>
      <c r="H216" s="76" t="str">
        <f>IF($B216="","",IF(VLOOKUP($B216,QUEUE!$F$11:$N$1999,8,FALSE)=0,"",VLOOKUP($B216,QUEUE!$F$11:$N$1999,8,FALSE)))</f>
        <v/>
      </c>
      <c r="I216" s="72" t="str">
        <f>IFERROR(IF($B216="","",VLOOKUP($B216,QUEUE!$F$11:$N$1999,9,FALSE)),"")</f>
        <v/>
      </c>
    </row>
    <row r="217" spans="2:9" ht="30" x14ac:dyDescent="0.4">
      <c r="C217" s="35" t="str">
        <f>IF($B217="","",VLOOKUP($B217,QUEUE!$F$11:$N$1999,2,FALSE))</f>
        <v/>
      </c>
      <c r="D217" s="39" t="str">
        <f>IF($B217="","",VLOOKUP($B217,QUEUE!$F$11:$N$1999,3,FALSE))</f>
        <v/>
      </c>
      <c r="E217" s="35" t="str">
        <f>IF($B217="","",VLOOKUP($B217,QUEUE!$F$11:$N$1999,4,FALSE))</f>
        <v/>
      </c>
      <c r="F217" s="35" t="str">
        <f>IF($B217="","",VLOOKUP($B217,QUEUE!$F$11:$N$1999,5,FALSE))</f>
        <v/>
      </c>
      <c r="G217" s="35" t="str">
        <f>IF($B217="","",VLOOKUP($B217,QUEUE!$F$11:$N$1999,6,FALSE))</f>
        <v/>
      </c>
      <c r="H217" s="75" t="str">
        <f>IF($B217="","",IF(VLOOKUP($B217,QUEUE!$F$11:$N$1999,8,FALSE)=0,"",VLOOKUP($B217,QUEUE!$F$11:$N$1999,8,FALSE)))</f>
        <v/>
      </c>
      <c r="I217" s="67" t="str">
        <f>IFERROR(IF($B217="","",VLOOKUP($B217,QUEUE!$F$11:$N$1999,9,FALSE)),"")</f>
        <v/>
      </c>
    </row>
    <row r="218" spans="2:9" ht="30" x14ac:dyDescent="0.4">
      <c r="B218" s="36"/>
      <c r="C218" s="36" t="str">
        <f>IF($B218="","",VLOOKUP($B218,QUEUE!$F$11:$N$1999,2,FALSE))</f>
        <v/>
      </c>
      <c r="D218" s="40" t="str">
        <f>IF($B218="","",VLOOKUP($B218,QUEUE!$F$11:$N$1999,3,FALSE))</f>
        <v/>
      </c>
      <c r="E218" s="36" t="str">
        <f>IF($B218="","",VLOOKUP($B218,QUEUE!$F$11:$N$1999,4,FALSE))</f>
        <v/>
      </c>
      <c r="F218" s="36" t="str">
        <f>IF($B218="","",VLOOKUP($B218,QUEUE!$F$11:$N$1999,5,FALSE))</f>
        <v/>
      </c>
      <c r="G218" s="36" t="str">
        <f>IF($B218="","",VLOOKUP($B218,QUEUE!$F$11:$N$1999,6,FALSE))</f>
        <v/>
      </c>
      <c r="H218" s="76" t="str">
        <f>IF($B218="","",IF(VLOOKUP($B218,QUEUE!$F$11:$N$1999,8,FALSE)=0,"",VLOOKUP($B218,QUEUE!$F$11:$N$1999,8,FALSE)))</f>
        <v/>
      </c>
      <c r="I218" s="72" t="str">
        <f>IFERROR(IF($B218="","",VLOOKUP($B218,QUEUE!$F$11:$N$1999,9,FALSE)),"")</f>
        <v/>
      </c>
    </row>
    <row r="219" spans="2:9" ht="30" x14ac:dyDescent="0.4">
      <c r="C219" s="35" t="str">
        <f>IF($B219="","",VLOOKUP($B219,QUEUE!$F$11:$N$1999,2,FALSE))</f>
        <v/>
      </c>
      <c r="D219" s="39" t="str">
        <f>IF($B219="","",VLOOKUP($B219,QUEUE!$F$11:$N$1999,3,FALSE))</f>
        <v/>
      </c>
      <c r="E219" s="35" t="str">
        <f>IF($B219="","",VLOOKUP($B219,QUEUE!$F$11:$N$1999,4,FALSE))</f>
        <v/>
      </c>
      <c r="F219" s="35" t="str">
        <f>IF($B219="","",VLOOKUP($B219,QUEUE!$F$11:$N$1999,5,FALSE))</f>
        <v/>
      </c>
      <c r="G219" s="35" t="str">
        <f>IF($B219="","",VLOOKUP($B219,QUEUE!$F$11:$N$1999,6,FALSE))</f>
        <v/>
      </c>
      <c r="H219" s="75" t="str">
        <f>IF($B219="","",IF(VLOOKUP($B219,QUEUE!$F$11:$N$1999,8,FALSE)=0,"",VLOOKUP($B219,QUEUE!$F$11:$N$1999,8,FALSE)))</f>
        <v/>
      </c>
      <c r="I219" s="67" t="str">
        <f>IFERROR(IF($B219="","",VLOOKUP($B219,QUEUE!$F$11:$N$1999,9,FALSE)),"")</f>
        <v/>
      </c>
    </row>
    <row r="220" spans="2:9" ht="30" x14ac:dyDescent="0.4">
      <c r="B220" s="36"/>
      <c r="C220" s="36" t="str">
        <f>IF($B220="","",VLOOKUP($B220,QUEUE!$F$11:$N$1999,2,FALSE))</f>
        <v/>
      </c>
      <c r="D220" s="40" t="str">
        <f>IF($B220="","",VLOOKUP($B220,QUEUE!$F$11:$N$1999,3,FALSE))</f>
        <v/>
      </c>
      <c r="E220" s="36" t="str">
        <f>IF($B220="","",VLOOKUP($B220,QUEUE!$F$11:$N$1999,4,FALSE))</f>
        <v/>
      </c>
      <c r="F220" s="36" t="str">
        <f>IF($B220="","",VLOOKUP($B220,QUEUE!$F$11:$N$1999,5,FALSE))</f>
        <v/>
      </c>
      <c r="G220" s="36" t="str">
        <f>IF($B220="","",VLOOKUP($B220,QUEUE!$F$11:$N$1999,6,FALSE))</f>
        <v/>
      </c>
      <c r="H220" s="76" t="str">
        <f>IF($B220="","",IF(VLOOKUP($B220,QUEUE!$F$11:$N$1999,8,FALSE)=0,"",VLOOKUP($B220,QUEUE!$F$11:$N$1999,8,FALSE)))</f>
        <v/>
      </c>
      <c r="I220" s="72" t="str">
        <f>IFERROR(IF($B220="","",VLOOKUP($B220,QUEUE!$F$11:$N$1999,9,FALSE)),"")</f>
        <v/>
      </c>
    </row>
    <row r="221" spans="2:9" ht="30" x14ac:dyDescent="0.4">
      <c r="C221" s="35" t="str">
        <f>IF($B221="","",VLOOKUP($B221,QUEUE!$F$11:$N$1999,2,FALSE))</f>
        <v/>
      </c>
      <c r="D221" s="39" t="str">
        <f>IF($B221="","",VLOOKUP($B221,QUEUE!$F$11:$N$1999,3,FALSE))</f>
        <v/>
      </c>
      <c r="E221" s="35" t="str">
        <f>IF($B221="","",VLOOKUP($B221,QUEUE!$F$11:$N$1999,4,FALSE))</f>
        <v/>
      </c>
      <c r="F221" s="35" t="str">
        <f>IF($B221="","",VLOOKUP($B221,QUEUE!$F$11:$N$1999,5,FALSE))</f>
        <v/>
      </c>
      <c r="G221" s="35" t="str">
        <f>IF($B221="","",VLOOKUP($B221,QUEUE!$F$11:$N$1999,6,FALSE))</f>
        <v/>
      </c>
      <c r="H221" s="75" t="str">
        <f>IF($B221="","",IF(VLOOKUP($B221,QUEUE!$F$11:$N$1999,8,FALSE)=0,"",VLOOKUP($B221,QUEUE!$F$11:$N$1999,8,FALSE)))</f>
        <v/>
      </c>
      <c r="I221" s="67" t="str">
        <f>IFERROR(IF($B221="","",VLOOKUP($B221,QUEUE!$F$11:$N$1999,9,FALSE)),"")</f>
        <v/>
      </c>
    </row>
    <row r="222" spans="2:9" ht="30" x14ac:dyDescent="0.4">
      <c r="B222" s="36"/>
      <c r="C222" s="36" t="str">
        <f>IF($B222="","",VLOOKUP($B222,QUEUE!$F$11:$N$1999,2,FALSE))</f>
        <v/>
      </c>
      <c r="D222" s="40" t="str">
        <f>IF($B222="","",VLOOKUP($B222,QUEUE!$F$11:$N$1999,3,FALSE))</f>
        <v/>
      </c>
      <c r="E222" s="36" t="str">
        <f>IF($B222="","",VLOOKUP($B222,QUEUE!$F$11:$N$1999,4,FALSE))</f>
        <v/>
      </c>
      <c r="F222" s="36" t="str">
        <f>IF($B222="","",VLOOKUP($B222,QUEUE!$F$11:$N$1999,5,FALSE))</f>
        <v/>
      </c>
      <c r="G222" s="36" t="str">
        <f>IF($B222="","",VLOOKUP($B222,QUEUE!$F$11:$N$1999,6,FALSE))</f>
        <v/>
      </c>
      <c r="H222" s="76" t="str">
        <f>IF($B222="","",IF(VLOOKUP($B222,QUEUE!$F$11:$N$1999,8,FALSE)=0,"",VLOOKUP($B222,QUEUE!$F$11:$N$1999,8,FALSE)))</f>
        <v/>
      </c>
      <c r="I222" s="72" t="str">
        <f>IFERROR(IF($B222="","",VLOOKUP($B222,QUEUE!$F$11:$N$1999,9,FALSE)),"")</f>
        <v/>
      </c>
    </row>
    <row r="223" spans="2:9" ht="30" x14ac:dyDescent="0.4">
      <c r="C223" s="35" t="str">
        <f>IF($B223="","",VLOOKUP($B223,QUEUE!$F$11:$N$1999,2,FALSE))</f>
        <v/>
      </c>
      <c r="D223" s="39" t="str">
        <f>IF($B223="","",VLOOKUP($B223,QUEUE!$F$11:$N$1999,3,FALSE))</f>
        <v/>
      </c>
      <c r="E223" s="35" t="str">
        <f>IF($B223="","",VLOOKUP($B223,QUEUE!$F$11:$N$1999,4,FALSE))</f>
        <v/>
      </c>
      <c r="F223" s="35" t="str">
        <f>IF($B223="","",VLOOKUP($B223,QUEUE!$F$11:$N$1999,5,FALSE))</f>
        <v/>
      </c>
      <c r="G223" s="35" t="str">
        <f>IF($B223="","",VLOOKUP($B223,QUEUE!$F$11:$N$1999,6,FALSE))</f>
        <v/>
      </c>
      <c r="H223" s="75" t="str">
        <f>IF($B223="","",IF(VLOOKUP($B223,QUEUE!$F$11:$N$1999,8,FALSE)=0,"",VLOOKUP($B223,QUEUE!$F$11:$N$1999,8,FALSE)))</f>
        <v/>
      </c>
      <c r="I223" s="67" t="str">
        <f>IFERROR(IF($B223="","",VLOOKUP($B223,QUEUE!$F$11:$N$1999,9,FALSE)),"")</f>
        <v/>
      </c>
    </row>
    <row r="224" spans="2:9" ht="30" x14ac:dyDescent="0.4">
      <c r="B224" s="36"/>
      <c r="C224" s="36" t="str">
        <f>IF($B224="","",VLOOKUP($B224,QUEUE!$F$11:$N$1999,2,FALSE))</f>
        <v/>
      </c>
      <c r="D224" s="40" t="str">
        <f>IF($B224="","",VLOOKUP($B224,QUEUE!$F$11:$N$1999,3,FALSE))</f>
        <v/>
      </c>
      <c r="E224" s="36" t="str">
        <f>IF($B224="","",VLOOKUP($B224,QUEUE!$F$11:$N$1999,4,FALSE))</f>
        <v/>
      </c>
      <c r="F224" s="36" t="str">
        <f>IF($B224="","",VLOOKUP($B224,QUEUE!$F$11:$N$1999,5,FALSE))</f>
        <v/>
      </c>
      <c r="G224" s="36" t="str">
        <f>IF($B224="","",VLOOKUP($B224,QUEUE!$F$11:$N$1999,6,FALSE))</f>
        <v/>
      </c>
      <c r="H224" s="76" t="str">
        <f>IF($B224="","",IF(VLOOKUP($B224,QUEUE!$F$11:$N$1999,8,FALSE)=0,"",VLOOKUP($B224,QUEUE!$F$11:$N$1999,8,FALSE)))</f>
        <v/>
      </c>
      <c r="I224" s="72" t="str">
        <f>IFERROR(IF($B224="","",VLOOKUP($B224,QUEUE!$F$11:$N$1999,9,FALSE)),"")</f>
        <v/>
      </c>
    </row>
    <row r="225" spans="2:9" ht="30" x14ac:dyDescent="0.4">
      <c r="C225" s="35" t="str">
        <f>IF($B225="","",VLOOKUP($B225,QUEUE!$F$11:$N$1999,2,FALSE))</f>
        <v/>
      </c>
      <c r="D225" s="39" t="str">
        <f>IF($B225="","",VLOOKUP($B225,QUEUE!$F$11:$N$1999,3,FALSE))</f>
        <v/>
      </c>
      <c r="E225" s="35" t="str">
        <f>IF($B225="","",VLOOKUP($B225,QUEUE!$F$11:$N$1999,4,FALSE))</f>
        <v/>
      </c>
      <c r="F225" s="35" t="str">
        <f>IF($B225="","",VLOOKUP($B225,QUEUE!$F$11:$N$1999,5,FALSE))</f>
        <v/>
      </c>
      <c r="G225" s="35" t="str">
        <f>IF($B225="","",VLOOKUP($B225,QUEUE!$F$11:$N$1999,6,FALSE))</f>
        <v/>
      </c>
      <c r="H225" s="75" t="str">
        <f>IF($B225="","",IF(VLOOKUP($B225,QUEUE!$F$11:$N$1999,8,FALSE)=0,"",VLOOKUP($B225,QUEUE!$F$11:$N$1999,8,FALSE)))</f>
        <v/>
      </c>
      <c r="I225" s="67" t="str">
        <f>IFERROR(IF($B225="","",VLOOKUP($B225,QUEUE!$F$11:$N$1999,9,FALSE)),"")</f>
        <v/>
      </c>
    </row>
    <row r="226" spans="2:9" ht="30" x14ac:dyDescent="0.4">
      <c r="B226" s="36"/>
      <c r="C226" s="36" t="str">
        <f>IF($B226="","",VLOOKUP($B226,QUEUE!$F$11:$N$1999,2,FALSE))</f>
        <v/>
      </c>
      <c r="D226" s="40" t="str">
        <f>IF($B226="","",VLOOKUP($B226,QUEUE!$F$11:$N$1999,3,FALSE))</f>
        <v/>
      </c>
      <c r="E226" s="36" t="str">
        <f>IF($B226="","",VLOOKUP($B226,QUEUE!$F$11:$N$1999,4,FALSE))</f>
        <v/>
      </c>
      <c r="F226" s="36" t="str">
        <f>IF($B226="","",VLOOKUP($B226,QUEUE!$F$11:$N$1999,5,FALSE))</f>
        <v/>
      </c>
      <c r="G226" s="36" t="str">
        <f>IF($B226="","",VLOOKUP($B226,QUEUE!$F$11:$N$1999,6,FALSE))</f>
        <v/>
      </c>
      <c r="H226" s="76" t="str">
        <f>IF($B226="","",IF(VLOOKUP($B226,QUEUE!$F$11:$N$1999,8,FALSE)=0,"",VLOOKUP($B226,QUEUE!$F$11:$N$1999,8,FALSE)))</f>
        <v/>
      </c>
      <c r="I226" s="72" t="str">
        <f>IFERROR(IF($B226="","",VLOOKUP($B226,QUEUE!$F$11:$N$1999,9,FALSE)),"")</f>
        <v/>
      </c>
    </row>
    <row r="227" spans="2:9" ht="30" x14ac:dyDescent="0.4">
      <c r="C227" s="35" t="str">
        <f>IF($B227="","",VLOOKUP($B227,QUEUE!$F$11:$N$1999,2,FALSE))</f>
        <v/>
      </c>
      <c r="D227" s="39" t="str">
        <f>IF($B227="","",VLOOKUP($B227,QUEUE!$F$11:$N$1999,3,FALSE))</f>
        <v/>
      </c>
      <c r="E227" s="35" t="str">
        <f>IF($B227="","",VLOOKUP($B227,QUEUE!$F$11:$N$1999,4,FALSE))</f>
        <v/>
      </c>
      <c r="F227" s="35" t="str">
        <f>IF($B227="","",VLOOKUP($B227,QUEUE!$F$11:$N$1999,5,FALSE))</f>
        <v/>
      </c>
      <c r="G227" s="35" t="str">
        <f>IF($B227="","",VLOOKUP($B227,QUEUE!$F$11:$N$1999,6,FALSE))</f>
        <v/>
      </c>
      <c r="H227" s="75" t="str">
        <f>IF($B227="","",IF(VLOOKUP($B227,QUEUE!$F$11:$N$1999,8,FALSE)=0,"",VLOOKUP($B227,QUEUE!$F$11:$N$1999,8,FALSE)))</f>
        <v/>
      </c>
      <c r="I227" s="67" t="str">
        <f>IFERROR(IF($B227="","",VLOOKUP($B227,QUEUE!$F$11:$N$1999,9,FALSE)),"")</f>
        <v/>
      </c>
    </row>
    <row r="228" spans="2:9" ht="30" x14ac:dyDescent="0.4">
      <c r="B228" s="36"/>
      <c r="C228" s="36" t="str">
        <f>IF($B228="","",VLOOKUP($B228,QUEUE!$F$11:$N$1999,2,FALSE))</f>
        <v/>
      </c>
      <c r="D228" s="40" t="str">
        <f>IF($B228="","",VLOOKUP($B228,QUEUE!$F$11:$N$1999,3,FALSE))</f>
        <v/>
      </c>
      <c r="E228" s="36" t="str">
        <f>IF($B228="","",VLOOKUP($B228,QUEUE!$F$11:$N$1999,4,FALSE))</f>
        <v/>
      </c>
      <c r="F228" s="36" t="str">
        <f>IF($B228="","",VLOOKUP($B228,QUEUE!$F$11:$N$1999,5,FALSE))</f>
        <v/>
      </c>
      <c r="G228" s="36" t="str">
        <f>IF($B228="","",VLOOKUP($B228,QUEUE!$F$11:$N$1999,6,FALSE))</f>
        <v/>
      </c>
      <c r="H228" s="76" t="str">
        <f>IF($B228="","",IF(VLOOKUP($B228,QUEUE!$F$11:$N$1999,8,FALSE)=0,"",VLOOKUP($B228,QUEUE!$F$11:$N$1999,8,FALSE)))</f>
        <v/>
      </c>
      <c r="I228" s="72" t="str">
        <f>IFERROR(IF($B228="","",VLOOKUP($B228,QUEUE!$F$11:$N$1999,9,FALSE)),"")</f>
        <v/>
      </c>
    </row>
    <row r="229" spans="2:9" ht="30" x14ac:dyDescent="0.4">
      <c r="C229" s="35" t="str">
        <f>IF($B229="","",VLOOKUP($B229,QUEUE!$F$11:$N$1999,2,FALSE))</f>
        <v/>
      </c>
      <c r="D229" s="39" t="str">
        <f>IF($B229="","",VLOOKUP($B229,QUEUE!$F$11:$N$1999,3,FALSE))</f>
        <v/>
      </c>
      <c r="E229" s="35" t="str">
        <f>IF($B229="","",VLOOKUP($B229,QUEUE!$F$11:$N$1999,4,FALSE))</f>
        <v/>
      </c>
      <c r="F229" s="35" t="str">
        <f>IF($B229="","",VLOOKUP($B229,QUEUE!$F$11:$N$1999,5,FALSE))</f>
        <v/>
      </c>
      <c r="G229" s="35" t="str">
        <f>IF($B229="","",VLOOKUP($B229,QUEUE!$F$11:$N$1999,6,FALSE))</f>
        <v/>
      </c>
      <c r="H229" s="75" t="str">
        <f>IF($B229="","",IF(VLOOKUP($B229,QUEUE!$F$11:$N$1999,8,FALSE)=0,"",VLOOKUP($B229,QUEUE!$F$11:$N$1999,8,FALSE)))</f>
        <v/>
      </c>
      <c r="I229" s="67" t="str">
        <f>IFERROR(IF($B229="","",VLOOKUP($B229,QUEUE!$F$11:$N$1999,9,FALSE)),"")</f>
        <v/>
      </c>
    </row>
    <row r="230" spans="2:9" ht="30" x14ac:dyDescent="0.4">
      <c r="B230" s="36"/>
      <c r="C230" s="36" t="str">
        <f>IF($B230="","",VLOOKUP($B230,QUEUE!$F$11:$N$1999,2,FALSE))</f>
        <v/>
      </c>
      <c r="D230" s="40" t="str">
        <f>IF($B230="","",VLOOKUP($B230,QUEUE!$F$11:$N$1999,3,FALSE))</f>
        <v/>
      </c>
      <c r="E230" s="36" t="str">
        <f>IF($B230="","",VLOOKUP($B230,QUEUE!$F$11:$N$1999,4,FALSE))</f>
        <v/>
      </c>
      <c r="F230" s="36" t="str">
        <f>IF($B230="","",VLOOKUP($B230,QUEUE!$F$11:$N$1999,5,FALSE))</f>
        <v/>
      </c>
      <c r="G230" s="36" t="str">
        <f>IF($B230="","",VLOOKUP($B230,QUEUE!$F$11:$N$1999,6,FALSE))</f>
        <v/>
      </c>
      <c r="H230" s="76" t="str">
        <f>IF($B230="","",IF(VLOOKUP($B230,QUEUE!$F$11:$N$1999,8,FALSE)=0,"",VLOOKUP($B230,QUEUE!$F$11:$N$1999,8,FALSE)))</f>
        <v/>
      </c>
      <c r="I230" s="72" t="str">
        <f>IFERROR(IF($B230="","",VLOOKUP($B230,QUEUE!$F$11:$N$1999,9,FALSE)),"")</f>
        <v/>
      </c>
    </row>
    <row r="231" spans="2:9" ht="30" x14ac:dyDescent="0.4">
      <c r="C231" s="35" t="str">
        <f>IF($B231="","",VLOOKUP($B231,QUEUE!$F$11:$N$1999,2,FALSE))</f>
        <v/>
      </c>
      <c r="D231" s="39" t="str">
        <f>IF($B231="","",VLOOKUP($B231,QUEUE!$F$11:$N$1999,3,FALSE))</f>
        <v/>
      </c>
      <c r="E231" s="35" t="str">
        <f>IF($B231="","",VLOOKUP($B231,QUEUE!$F$11:$N$1999,4,FALSE))</f>
        <v/>
      </c>
      <c r="F231" s="35" t="str">
        <f>IF($B231="","",VLOOKUP($B231,QUEUE!$F$11:$N$1999,5,FALSE))</f>
        <v/>
      </c>
      <c r="G231" s="35" t="str">
        <f>IF($B231="","",VLOOKUP($B231,QUEUE!$F$11:$N$1999,6,FALSE))</f>
        <v/>
      </c>
      <c r="H231" s="75" t="str">
        <f>IF($B231="","",IF(VLOOKUP($B231,QUEUE!$F$11:$N$1999,8,FALSE)=0,"",VLOOKUP($B231,QUEUE!$F$11:$N$1999,8,FALSE)))</f>
        <v/>
      </c>
      <c r="I231" s="67" t="str">
        <f>IFERROR(IF($B231="","",VLOOKUP($B231,QUEUE!$F$11:$N$1999,9,FALSE)),"")</f>
        <v/>
      </c>
    </row>
    <row r="232" spans="2:9" ht="30" x14ac:dyDescent="0.4">
      <c r="B232" s="36"/>
      <c r="C232" s="36" t="str">
        <f>IF($B232="","",VLOOKUP($B232,QUEUE!$F$11:$N$1999,2,FALSE))</f>
        <v/>
      </c>
      <c r="D232" s="40" t="str">
        <f>IF($B232="","",VLOOKUP($B232,QUEUE!$F$11:$N$1999,3,FALSE))</f>
        <v/>
      </c>
      <c r="E232" s="36" t="str">
        <f>IF($B232="","",VLOOKUP($B232,QUEUE!$F$11:$N$1999,4,FALSE))</f>
        <v/>
      </c>
      <c r="F232" s="36" t="str">
        <f>IF($B232="","",VLOOKUP($B232,QUEUE!$F$11:$N$1999,5,FALSE))</f>
        <v/>
      </c>
      <c r="G232" s="36" t="str">
        <f>IF($B232="","",VLOOKUP($B232,QUEUE!$F$11:$N$1999,6,FALSE))</f>
        <v/>
      </c>
      <c r="H232" s="76" t="str">
        <f>IF($B232="","",IF(VLOOKUP($B232,QUEUE!$F$11:$N$1999,8,FALSE)=0,"",VLOOKUP($B232,QUEUE!$F$11:$N$1999,8,FALSE)))</f>
        <v/>
      </c>
      <c r="I232" s="72" t="str">
        <f>IFERROR(IF($B232="","",VLOOKUP($B232,QUEUE!$F$11:$N$1999,9,FALSE)),"")</f>
        <v/>
      </c>
    </row>
    <row r="233" spans="2:9" ht="30" x14ac:dyDescent="0.4">
      <c r="C233" s="35" t="str">
        <f>IF($B233="","",VLOOKUP($B233,QUEUE!$F$11:$N$1999,2,FALSE))</f>
        <v/>
      </c>
      <c r="D233" s="39" t="str">
        <f>IF($B233="","",VLOOKUP($B233,QUEUE!$F$11:$N$1999,3,FALSE))</f>
        <v/>
      </c>
      <c r="E233" s="35" t="str">
        <f>IF($B233="","",VLOOKUP($B233,QUEUE!$F$11:$N$1999,4,FALSE))</f>
        <v/>
      </c>
      <c r="F233" s="35" t="str">
        <f>IF($B233="","",VLOOKUP($B233,QUEUE!$F$11:$N$1999,5,FALSE))</f>
        <v/>
      </c>
      <c r="G233" s="35" t="str">
        <f>IF($B233="","",VLOOKUP($B233,QUEUE!$F$11:$N$1999,6,FALSE))</f>
        <v/>
      </c>
      <c r="H233" s="75" t="str">
        <f>IF($B233="","",IF(VLOOKUP($B233,QUEUE!$F$11:$N$1999,8,FALSE)=0,"",VLOOKUP($B233,QUEUE!$F$11:$N$1999,8,FALSE)))</f>
        <v/>
      </c>
      <c r="I233" s="67" t="str">
        <f>IFERROR(IF($B233="","",VLOOKUP($B233,QUEUE!$F$11:$N$1999,9,FALSE)),"")</f>
        <v/>
      </c>
    </row>
    <row r="234" spans="2:9" ht="30" x14ac:dyDescent="0.4">
      <c r="B234" s="36"/>
      <c r="C234" s="36" t="str">
        <f>IF($B234="","",VLOOKUP($B234,QUEUE!$F$11:$N$1999,2,FALSE))</f>
        <v/>
      </c>
      <c r="D234" s="40" t="str">
        <f>IF($B234="","",VLOOKUP($B234,QUEUE!$F$11:$N$1999,3,FALSE))</f>
        <v/>
      </c>
      <c r="E234" s="36" t="str">
        <f>IF($B234="","",VLOOKUP($B234,QUEUE!$F$11:$N$1999,4,FALSE))</f>
        <v/>
      </c>
      <c r="F234" s="36" t="str">
        <f>IF($B234="","",VLOOKUP($B234,QUEUE!$F$11:$N$1999,5,FALSE))</f>
        <v/>
      </c>
      <c r="G234" s="36" t="str">
        <f>IF($B234="","",VLOOKUP($B234,QUEUE!$F$11:$N$1999,6,FALSE))</f>
        <v/>
      </c>
      <c r="H234" s="76" t="str">
        <f>IF($B234="","",IF(VLOOKUP($B234,QUEUE!$F$11:$N$1999,8,FALSE)=0,"",VLOOKUP($B234,QUEUE!$F$11:$N$1999,8,FALSE)))</f>
        <v/>
      </c>
      <c r="I234" s="72" t="str">
        <f>IFERROR(IF($B234="","",VLOOKUP($B234,QUEUE!$F$11:$N$1999,9,FALSE)),"")</f>
        <v/>
      </c>
    </row>
    <row r="235" spans="2:9" ht="30" x14ac:dyDescent="0.4">
      <c r="C235" s="35" t="str">
        <f>IF($B235="","",VLOOKUP($B235,QUEUE!$F$11:$N$1999,2,FALSE))</f>
        <v/>
      </c>
      <c r="D235" s="39" t="str">
        <f>IF($B235="","",VLOOKUP($B235,QUEUE!$F$11:$N$1999,3,FALSE))</f>
        <v/>
      </c>
      <c r="E235" s="35" t="str">
        <f>IF($B235="","",VLOOKUP($B235,QUEUE!$F$11:$N$1999,4,FALSE))</f>
        <v/>
      </c>
      <c r="F235" s="35" t="str">
        <f>IF($B235="","",VLOOKUP($B235,QUEUE!$F$11:$N$1999,5,FALSE))</f>
        <v/>
      </c>
      <c r="G235" s="35" t="str">
        <f>IF($B235="","",VLOOKUP($B235,QUEUE!$F$11:$N$1999,6,FALSE))</f>
        <v/>
      </c>
      <c r="H235" s="75" t="str">
        <f>IF($B235="","",IF(VLOOKUP($B235,QUEUE!$F$11:$N$1999,8,FALSE)=0,"",VLOOKUP($B235,QUEUE!$F$11:$N$1999,8,FALSE)))</f>
        <v/>
      </c>
      <c r="I235" s="67" t="str">
        <f>IFERROR(IF($B235="","",VLOOKUP($B235,QUEUE!$F$11:$N$1999,9,FALSE)),"")</f>
        <v/>
      </c>
    </row>
    <row r="236" spans="2:9" ht="30" x14ac:dyDescent="0.4">
      <c r="B236" s="36"/>
      <c r="C236" s="36" t="str">
        <f>IF($B236="","",VLOOKUP($B236,QUEUE!$F$11:$N$1999,2,FALSE))</f>
        <v/>
      </c>
      <c r="D236" s="40" t="str">
        <f>IF($B236="","",VLOOKUP($B236,QUEUE!$F$11:$N$1999,3,FALSE))</f>
        <v/>
      </c>
      <c r="E236" s="36" t="str">
        <f>IF($B236="","",VLOOKUP($B236,QUEUE!$F$11:$N$1999,4,FALSE))</f>
        <v/>
      </c>
      <c r="F236" s="36" t="str">
        <f>IF($B236="","",VLOOKUP($B236,QUEUE!$F$11:$N$1999,5,FALSE))</f>
        <v/>
      </c>
      <c r="G236" s="36" t="str">
        <f>IF($B236="","",VLOOKUP($B236,QUEUE!$F$11:$N$1999,6,FALSE))</f>
        <v/>
      </c>
      <c r="H236" s="76" t="str">
        <f>IF($B236="","",IF(VLOOKUP($B236,QUEUE!$F$11:$N$1999,8,FALSE)=0,"",VLOOKUP($B236,QUEUE!$F$11:$N$1999,8,FALSE)))</f>
        <v/>
      </c>
      <c r="I236" s="72" t="str">
        <f>IFERROR(IF($B236="","",VLOOKUP($B236,QUEUE!$F$11:$N$1999,9,FALSE)),"")</f>
        <v/>
      </c>
    </row>
    <row r="237" spans="2:9" ht="30" x14ac:dyDescent="0.4">
      <c r="C237" s="35" t="str">
        <f>IF($B237="","",VLOOKUP($B237,QUEUE!$F$11:$N$1999,2,FALSE))</f>
        <v/>
      </c>
      <c r="D237" s="39" t="str">
        <f>IF($B237="","",VLOOKUP($B237,QUEUE!$F$11:$N$1999,3,FALSE))</f>
        <v/>
      </c>
      <c r="E237" s="35" t="str">
        <f>IF($B237="","",VLOOKUP($B237,QUEUE!$F$11:$N$1999,4,FALSE))</f>
        <v/>
      </c>
      <c r="F237" s="35" t="str">
        <f>IF($B237="","",VLOOKUP($B237,QUEUE!$F$11:$N$1999,5,FALSE))</f>
        <v/>
      </c>
      <c r="G237" s="35" t="str">
        <f>IF($B237="","",VLOOKUP($B237,QUEUE!$F$11:$N$1999,6,FALSE))</f>
        <v/>
      </c>
      <c r="H237" s="75" t="str">
        <f>IF($B237="","",IF(VLOOKUP($B237,QUEUE!$F$11:$N$1999,8,FALSE)=0,"",VLOOKUP($B237,QUEUE!$F$11:$N$1999,8,FALSE)))</f>
        <v/>
      </c>
      <c r="I237" s="67" t="str">
        <f>IFERROR(IF($B237="","",VLOOKUP($B237,QUEUE!$F$11:$N$1999,9,FALSE)),"")</f>
        <v/>
      </c>
    </row>
    <row r="238" spans="2:9" ht="30" x14ac:dyDescent="0.4">
      <c r="B238" s="36"/>
      <c r="C238" s="36" t="str">
        <f>IF($B238="","",VLOOKUP($B238,QUEUE!$F$11:$N$1999,2,FALSE))</f>
        <v/>
      </c>
      <c r="D238" s="40" t="str">
        <f>IF($B238="","",VLOOKUP($B238,QUEUE!$F$11:$N$1999,3,FALSE))</f>
        <v/>
      </c>
      <c r="E238" s="36" t="str">
        <f>IF($B238="","",VLOOKUP($B238,QUEUE!$F$11:$N$1999,4,FALSE))</f>
        <v/>
      </c>
      <c r="F238" s="36" t="str">
        <f>IF($B238="","",VLOOKUP($B238,QUEUE!$F$11:$N$1999,5,FALSE))</f>
        <v/>
      </c>
      <c r="G238" s="36" t="str">
        <f>IF($B238="","",VLOOKUP($B238,QUEUE!$F$11:$N$1999,6,FALSE))</f>
        <v/>
      </c>
      <c r="H238" s="76" t="str">
        <f>IF($B238="","",IF(VLOOKUP($B238,QUEUE!$F$11:$N$1999,8,FALSE)=0,"",VLOOKUP($B238,QUEUE!$F$11:$N$1999,8,FALSE)))</f>
        <v/>
      </c>
      <c r="I238" s="72" t="str">
        <f>IFERROR(IF($B238="","",VLOOKUP($B238,QUEUE!$F$11:$N$1999,9,FALSE)),"")</f>
        <v/>
      </c>
    </row>
    <row r="239" spans="2:9" ht="30" x14ac:dyDescent="0.4">
      <c r="C239" s="35" t="str">
        <f>IF($B239="","",VLOOKUP($B239,QUEUE!$F$11:$N$1999,2,FALSE))</f>
        <v/>
      </c>
      <c r="D239" s="39" t="str">
        <f>IF($B239="","",VLOOKUP($B239,QUEUE!$F$11:$N$1999,3,FALSE))</f>
        <v/>
      </c>
      <c r="E239" s="35" t="str">
        <f>IF($B239="","",VLOOKUP($B239,QUEUE!$F$11:$N$1999,4,FALSE))</f>
        <v/>
      </c>
      <c r="F239" s="35" t="str">
        <f>IF($B239="","",VLOOKUP($B239,QUEUE!$F$11:$N$1999,5,FALSE))</f>
        <v/>
      </c>
      <c r="G239" s="35" t="str">
        <f>IF($B239="","",VLOOKUP($B239,QUEUE!$F$11:$N$1999,6,FALSE))</f>
        <v/>
      </c>
      <c r="H239" s="75" t="str">
        <f>IF($B239="","",IF(VLOOKUP($B239,QUEUE!$F$11:$N$1999,8,FALSE)=0,"",VLOOKUP($B239,QUEUE!$F$11:$N$1999,8,FALSE)))</f>
        <v/>
      </c>
      <c r="I239" s="67" t="str">
        <f>IFERROR(IF($B239="","",VLOOKUP($B239,QUEUE!$F$11:$N$1999,9,FALSE)),"")</f>
        <v/>
      </c>
    </row>
    <row r="240" spans="2:9" ht="30" x14ac:dyDescent="0.4">
      <c r="B240" s="36"/>
      <c r="C240" s="36" t="str">
        <f>IF($B240="","",VLOOKUP($B240,QUEUE!$F$11:$N$1999,2,FALSE))</f>
        <v/>
      </c>
      <c r="D240" s="40" t="str">
        <f>IF($B240="","",VLOOKUP($B240,QUEUE!$F$11:$N$1999,3,FALSE))</f>
        <v/>
      </c>
      <c r="E240" s="36" t="str">
        <f>IF($B240="","",VLOOKUP($B240,QUEUE!$F$11:$N$1999,4,FALSE))</f>
        <v/>
      </c>
      <c r="F240" s="36" t="str">
        <f>IF($B240="","",VLOOKUP($B240,QUEUE!$F$11:$N$1999,5,FALSE))</f>
        <v/>
      </c>
      <c r="G240" s="36" t="str">
        <f>IF($B240="","",VLOOKUP($B240,QUEUE!$F$11:$N$1999,6,FALSE))</f>
        <v/>
      </c>
      <c r="H240" s="76" t="str">
        <f>IF($B240="","",IF(VLOOKUP($B240,QUEUE!$F$11:$N$1999,8,FALSE)=0,"",VLOOKUP($B240,QUEUE!$F$11:$N$1999,8,FALSE)))</f>
        <v/>
      </c>
      <c r="I240" s="72" t="str">
        <f>IFERROR(IF($B240="","",VLOOKUP($B240,QUEUE!$F$11:$N$1999,9,FALSE)),"")</f>
        <v/>
      </c>
    </row>
    <row r="241" spans="2:9" ht="30" x14ac:dyDescent="0.4">
      <c r="C241" s="35" t="str">
        <f>IF($B241="","",VLOOKUP($B241,QUEUE!$F$11:$N$1999,2,FALSE))</f>
        <v/>
      </c>
      <c r="D241" s="39" t="str">
        <f>IF($B241="","",VLOOKUP($B241,QUEUE!$F$11:$N$1999,3,FALSE))</f>
        <v/>
      </c>
      <c r="E241" s="35" t="str">
        <f>IF($B241="","",VLOOKUP($B241,QUEUE!$F$11:$N$1999,4,FALSE))</f>
        <v/>
      </c>
      <c r="F241" s="35" t="str">
        <f>IF($B241="","",VLOOKUP($B241,QUEUE!$F$11:$N$1999,5,FALSE))</f>
        <v/>
      </c>
      <c r="G241" s="35" t="str">
        <f>IF($B241="","",VLOOKUP($B241,QUEUE!$F$11:$N$1999,6,FALSE))</f>
        <v/>
      </c>
      <c r="H241" s="75" t="str">
        <f>IF($B241="","",IF(VLOOKUP($B241,QUEUE!$F$11:$N$1999,8,FALSE)=0,"",VLOOKUP($B241,QUEUE!$F$11:$N$1999,8,FALSE)))</f>
        <v/>
      </c>
      <c r="I241" s="67" t="str">
        <f>IFERROR(IF($B241="","",VLOOKUP($B241,QUEUE!$F$11:$N$1999,9,FALSE)),"")</f>
        <v/>
      </c>
    </row>
    <row r="242" spans="2:9" ht="30" x14ac:dyDescent="0.4">
      <c r="B242" s="36"/>
      <c r="C242" s="36" t="str">
        <f>IF($B242="","",VLOOKUP($B242,QUEUE!$F$11:$N$1999,2,FALSE))</f>
        <v/>
      </c>
      <c r="D242" s="40" t="str">
        <f>IF($B242="","",VLOOKUP($B242,QUEUE!$F$11:$N$1999,3,FALSE))</f>
        <v/>
      </c>
      <c r="E242" s="36" t="str">
        <f>IF($B242="","",VLOOKUP($B242,QUEUE!$F$11:$N$1999,4,FALSE))</f>
        <v/>
      </c>
      <c r="F242" s="36" t="str">
        <f>IF($B242="","",VLOOKUP($B242,QUEUE!$F$11:$N$1999,5,FALSE))</f>
        <v/>
      </c>
      <c r="G242" s="36" t="str">
        <f>IF($B242="","",VLOOKUP($B242,QUEUE!$F$11:$N$1999,6,FALSE))</f>
        <v/>
      </c>
      <c r="H242" s="76" t="str">
        <f>IF($B242="","",IF(VLOOKUP($B242,QUEUE!$F$11:$N$1999,8,FALSE)=0,"",VLOOKUP($B242,QUEUE!$F$11:$N$1999,8,FALSE)))</f>
        <v/>
      </c>
      <c r="I242" s="72" t="str">
        <f>IFERROR(IF($B242="","",VLOOKUP($B242,QUEUE!$F$11:$N$1999,9,FALSE)),"")</f>
        <v/>
      </c>
    </row>
    <row r="243" spans="2:9" ht="30" x14ac:dyDescent="0.4">
      <c r="C243" s="35" t="str">
        <f>IF($B243="","",VLOOKUP($B243,QUEUE!$F$11:$N$1999,2,FALSE))</f>
        <v/>
      </c>
      <c r="D243" s="39" t="str">
        <f>IF($B243="","",VLOOKUP($B243,QUEUE!$F$11:$N$1999,3,FALSE))</f>
        <v/>
      </c>
      <c r="E243" s="35" t="str">
        <f>IF($B243="","",VLOOKUP($B243,QUEUE!$F$11:$N$1999,4,FALSE))</f>
        <v/>
      </c>
      <c r="F243" s="35" t="str">
        <f>IF($B243="","",VLOOKUP($B243,QUEUE!$F$11:$N$1999,5,FALSE))</f>
        <v/>
      </c>
      <c r="G243" s="35" t="str">
        <f>IF($B243="","",VLOOKUP($B243,QUEUE!$F$11:$N$1999,6,FALSE))</f>
        <v/>
      </c>
      <c r="H243" s="75" t="str">
        <f>IF($B243="","",IF(VLOOKUP($B243,QUEUE!$F$11:$N$1999,8,FALSE)=0,"",VLOOKUP($B243,QUEUE!$F$11:$N$1999,8,FALSE)))</f>
        <v/>
      </c>
      <c r="I243" s="67" t="str">
        <f>IFERROR(IF($B243="","",VLOOKUP($B243,QUEUE!$F$11:$N$1999,9,FALSE)),"")</f>
        <v/>
      </c>
    </row>
    <row r="244" spans="2:9" ht="30" x14ac:dyDescent="0.4">
      <c r="B244" s="36"/>
      <c r="C244" s="36" t="str">
        <f>IF($B244="","",VLOOKUP($B244,QUEUE!$F$11:$N$1999,2,FALSE))</f>
        <v/>
      </c>
      <c r="D244" s="40" t="str">
        <f>IF($B244="","",VLOOKUP($B244,QUEUE!$F$11:$N$1999,3,FALSE))</f>
        <v/>
      </c>
      <c r="E244" s="36" t="str">
        <f>IF($B244="","",VLOOKUP($B244,QUEUE!$F$11:$N$1999,4,FALSE))</f>
        <v/>
      </c>
      <c r="F244" s="36" t="str">
        <f>IF($B244="","",VLOOKUP($B244,QUEUE!$F$11:$N$1999,5,FALSE))</f>
        <v/>
      </c>
      <c r="G244" s="36" t="str">
        <f>IF($B244="","",VLOOKUP($B244,QUEUE!$F$11:$N$1999,6,FALSE))</f>
        <v/>
      </c>
      <c r="H244" s="76" t="str">
        <f>IF($B244="","",IF(VLOOKUP($B244,QUEUE!$F$11:$N$1999,8,FALSE)=0,"",VLOOKUP($B244,QUEUE!$F$11:$N$1999,8,FALSE)))</f>
        <v/>
      </c>
      <c r="I244" s="72" t="str">
        <f>IFERROR(IF($B244="","",VLOOKUP($B244,QUEUE!$F$11:$N$1999,9,FALSE)),"")</f>
        <v/>
      </c>
    </row>
    <row r="245" spans="2:9" ht="30" x14ac:dyDescent="0.4">
      <c r="C245" s="35" t="str">
        <f>IF($B245="","",VLOOKUP($B245,QUEUE!$F$11:$N$1999,2,FALSE))</f>
        <v/>
      </c>
      <c r="D245" s="39" t="str">
        <f>IF($B245="","",VLOOKUP($B245,QUEUE!$F$11:$N$1999,3,FALSE))</f>
        <v/>
      </c>
      <c r="E245" s="35" t="str">
        <f>IF($B245="","",VLOOKUP($B245,QUEUE!$F$11:$N$1999,4,FALSE))</f>
        <v/>
      </c>
      <c r="F245" s="35" t="str">
        <f>IF($B245="","",VLOOKUP($B245,QUEUE!$F$11:$N$1999,5,FALSE))</f>
        <v/>
      </c>
      <c r="G245" s="35" t="str">
        <f>IF($B245="","",VLOOKUP($B245,QUEUE!$F$11:$N$1999,6,FALSE))</f>
        <v/>
      </c>
      <c r="H245" s="75" t="str">
        <f>IF($B245="","",IF(VLOOKUP($B245,QUEUE!$F$11:$N$1999,8,FALSE)=0,"",VLOOKUP($B245,QUEUE!$F$11:$N$1999,8,FALSE)))</f>
        <v/>
      </c>
      <c r="I245" s="67" t="str">
        <f>IFERROR(IF($B245="","",VLOOKUP($B245,QUEUE!$F$11:$N$1999,9,FALSE)),"")</f>
        <v/>
      </c>
    </row>
    <row r="246" spans="2:9" ht="30" x14ac:dyDescent="0.4">
      <c r="B246" s="36"/>
      <c r="C246" s="36" t="str">
        <f>IF($B246="","",VLOOKUP($B246,QUEUE!$F$11:$N$1999,2,FALSE))</f>
        <v/>
      </c>
      <c r="D246" s="40" t="str">
        <f>IF($B246="","",VLOOKUP($B246,QUEUE!$F$11:$N$1999,3,FALSE))</f>
        <v/>
      </c>
      <c r="E246" s="36" t="str">
        <f>IF($B246="","",VLOOKUP($B246,QUEUE!$F$11:$N$1999,4,FALSE))</f>
        <v/>
      </c>
      <c r="F246" s="36" t="str">
        <f>IF($B246="","",VLOOKUP($B246,QUEUE!$F$11:$N$1999,5,FALSE))</f>
        <v/>
      </c>
      <c r="G246" s="36" t="str">
        <f>IF($B246="","",VLOOKUP($B246,QUEUE!$F$11:$N$1999,6,FALSE))</f>
        <v/>
      </c>
      <c r="H246" s="76" t="str">
        <f>IF($B246="","",IF(VLOOKUP($B246,QUEUE!$F$11:$N$1999,8,FALSE)=0,"",VLOOKUP($B246,QUEUE!$F$11:$N$1999,8,FALSE)))</f>
        <v/>
      </c>
      <c r="I246" s="72" t="str">
        <f>IFERROR(IF($B246="","",VLOOKUP($B246,QUEUE!$F$11:$N$1999,9,FALSE)),"")</f>
        <v/>
      </c>
    </row>
    <row r="247" spans="2:9" ht="30" x14ac:dyDescent="0.4">
      <c r="C247" s="35" t="str">
        <f>IF($B247="","",VLOOKUP($B247,QUEUE!$F$11:$N$1999,2,FALSE))</f>
        <v/>
      </c>
      <c r="D247" s="39" t="str">
        <f>IF($B247="","",VLOOKUP($B247,QUEUE!$F$11:$N$1999,3,FALSE))</f>
        <v/>
      </c>
      <c r="E247" s="35" t="str">
        <f>IF($B247="","",VLOOKUP($B247,QUEUE!$F$11:$N$1999,4,FALSE))</f>
        <v/>
      </c>
      <c r="F247" s="35" t="str">
        <f>IF($B247="","",VLOOKUP($B247,QUEUE!$F$11:$N$1999,5,FALSE))</f>
        <v/>
      </c>
      <c r="G247" s="35" t="str">
        <f>IF($B247="","",VLOOKUP($B247,QUEUE!$F$11:$N$1999,6,FALSE))</f>
        <v/>
      </c>
      <c r="H247" s="75" t="str">
        <f>IF($B247="","",IF(VLOOKUP($B247,QUEUE!$F$11:$N$1999,8,FALSE)=0,"",VLOOKUP($B247,QUEUE!$F$11:$N$1999,8,FALSE)))</f>
        <v/>
      </c>
      <c r="I247" s="67" t="str">
        <f>IFERROR(IF($B247="","",VLOOKUP($B247,QUEUE!$F$11:$N$1999,9,FALSE)),"")</f>
        <v/>
      </c>
    </row>
    <row r="248" spans="2:9" ht="30" x14ac:dyDescent="0.4">
      <c r="B248" s="36"/>
      <c r="C248" s="36" t="str">
        <f>IF($B248="","",VLOOKUP($B248,QUEUE!$F$11:$N$1999,2,FALSE))</f>
        <v/>
      </c>
      <c r="D248" s="40" t="str">
        <f>IF($B248="","",VLOOKUP($B248,QUEUE!$F$11:$N$1999,3,FALSE))</f>
        <v/>
      </c>
      <c r="E248" s="36" t="str">
        <f>IF($B248="","",VLOOKUP($B248,QUEUE!$F$11:$N$1999,4,FALSE))</f>
        <v/>
      </c>
      <c r="F248" s="36" t="str">
        <f>IF($B248="","",VLOOKUP($B248,QUEUE!$F$11:$N$1999,5,FALSE))</f>
        <v/>
      </c>
      <c r="G248" s="36" t="str">
        <f>IF($B248="","",VLOOKUP($B248,QUEUE!$F$11:$N$1999,6,FALSE))</f>
        <v/>
      </c>
      <c r="H248" s="76" t="str">
        <f>IF($B248="","",IF(VLOOKUP($B248,QUEUE!$F$11:$N$1999,8,FALSE)=0,"",VLOOKUP($B248,QUEUE!$F$11:$N$1999,8,FALSE)))</f>
        <v/>
      </c>
      <c r="I248" s="72" t="str">
        <f>IFERROR(IF($B248="","",VLOOKUP($B248,QUEUE!$F$11:$N$1999,9,FALSE)),"")</f>
        <v/>
      </c>
    </row>
    <row r="249" spans="2:9" ht="30" x14ac:dyDescent="0.4">
      <c r="C249" s="35" t="str">
        <f>IF($B249="","",VLOOKUP($B249,QUEUE!$F$11:$N$1999,2,FALSE))</f>
        <v/>
      </c>
      <c r="D249" s="39" t="str">
        <f>IF($B249="","",VLOOKUP($B249,QUEUE!$F$11:$N$1999,3,FALSE))</f>
        <v/>
      </c>
      <c r="E249" s="35" t="str">
        <f>IF($B249="","",VLOOKUP($B249,QUEUE!$F$11:$N$1999,4,FALSE))</f>
        <v/>
      </c>
      <c r="F249" s="35" t="str">
        <f>IF($B249="","",VLOOKUP($B249,QUEUE!$F$11:$N$1999,5,FALSE))</f>
        <v/>
      </c>
      <c r="G249" s="35" t="str">
        <f>IF($B249="","",VLOOKUP($B249,QUEUE!$F$11:$N$1999,6,FALSE))</f>
        <v/>
      </c>
      <c r="H249" s="75" t="str">
        <f>IF($B249="","",IF(VLOOKUP($B249,QUEUE!$F$11:$N$1999,8,FALSE)=0,"",VLOOKUP($B249,QUEUE!$F$11:$N$1999,8,FALSE)))</f>
        <v/>
      </c>
      <c r="I249" s="67" t="str">
        <f>IFERROR(IF($B249="","",VLOOKUP($B249,QUEUE!$F$11:$N$1999,9,FALSE)),"")</f>
        <v/>
      </c>
    </row>
    <row r="250" spans="2:9" ht="30" x14ac:dyDescent="0.4">
      <c r="B250" s="36"/>
      <c r="C250" s="36" t="str">
        <f>IF($B250="","",VLOOKUP($B250,QUEUE!$F$11:$N$1999,2,FALSE))</f>
        <v/>
      </c>
      <c r="D250" s="40" t="str">
        <f>IF($B250="","",VLOOKUP($B250,QUEUE!$F$11:$N$1999,3,FALSE))</f>
        <v/>
      </c>
      <c r="E250" s="36" t="str">
        <f>IF($B250="","",VLOOKUP($B250,QUEUE!$F$11:$N$1999,4,FALSE))</f>
        <v/>
      </c>
      <c r="F250" s="36" t="str">
        <f>IF($B250="","",VLOOKUP($B250,QUEUE!$F$11:$N$1999,5,FALSE))</f>
        <v/>
      </c>
      <c r="G250" s="36" t="str">
        <f>IF($B250="","",VLOOKUP($B250,QUEUE!$F$11:$N$1999,6,FALSE))</f>
        <v/>
      </c>
      <c r="H250" s="76" t="str">
        <f>IF($B250="","",IF(VLOOKUP($B250,QUEUE!$F$11:$N$1999,8,FALSE)=0,"",VLOOKUP($B250,QUEUE!$F$11:$N$1999,8,FALSE)))</f>
        <v/>
      </c>
      <c r="I250" s="72" t="str">
        <f>IFERROR(IF($B250="","",VLOOKUP($B250,QUEUE!$F$11:$N$1999,9,FALSE)),"")</f>
        <v/>
      </c>
    </row>
    <row r="251" spans="2:9" ht="30" x14ac:dyDescent="0.4">
      <c r="C251" s="35" t="str">
        <f>IF($B251="","",VLOOKUP($B251,QUEUE!$F$11:$N$1999,2,FALSE))</f>
        <v/>
      </c>
      <c r="D251" s="39" t="str">
        <f>IF($B251="","",VLOOKUP($B251,QUEUE!$F$11:$N$1999,3,FALSE))</f>
        <v/>
      </c>
      <c r="E251" s="35" t="str">
        <f>IF($B251="","",VLOOKUP($B251,QUEUE!$F$11:$N$1999,4,FALSE))</f>
        <v/>
      </c>
      <c r="F251" s="35" t="str">
        <f>IF($B251="","",VLOOKUP($B251,QUEUE!$F$11:$N$1999,5,FALSE))</f>
        <v/>
      </c>
      <c r="G251" s="35" t="str">
        <f>IF($B251="","",VLOOKUP($B251,QUEUE!$F$11:$N$1999,6,FALSE))</f>
        <v/>
      </c>
      <c r="H251" s="75" t="str">
        <f>IF($B251="","",IF(VLOOKUP($B251,QUEUE!$F$11:$N$1999,8,FALSE)=0,"",VLOOKUP($B251,QUEUE!$F$11:$N$1999,8,FALSE)))</f>
        <v/>
      </c>
      <c r="I251" s="67" t="str">
        <f>IFERROR(IF($B251="","",VLOOKUP($B251,QUEUE!$F$11:$N$1999,9,FALSE)),"")</f>
        <v/>
      </c>
    </row>
    <row r="252" spans="2:9" ht="30" x14ac:dyDescent="0.4">
      <c r="B252" s="36"/>
      <c r="C252" s="36" t="str">
        <f>IF($B252="","",VLOOKUP($B252,QUEUE!$F$11:$N$1999,2,FALSE))</f>
        <v/>
      </c>
      <c r="D252" s="40" t="str">
        <f>IF($B252="","",VLOOKUP($B252,QUEUE!$F$11:$N$1999,3,FALSE))</f>
        <v/>
      </c>
      <c r="E252" s="36" t="str">
        <f>IF($B252="","",VLOOKUP($B252,QUEUE!$F$11:$N$1999,4,FALSE))</f>
        <v/>
      </c>
      <c r="F252" s="36" t="str">
        <f>IF($B252="","",VLOOKUP($B252,QUEUE!$F$11:$N$1999,5,FALSE))</f>
        <v/>
      </c>
      <c r="G252" s="36" t="str">
        <f>IF($B252="","",VLOOKUP($B252,QUEUE!$F$11:$N$1999,6,FALSE))</f>
        <v/>
      </c>
      <c r="H252" s="76" t="str">
        <f>IF($B252="","",IF(VLOOKUP($B252,QUEUE!$F$11:$N$1999,8,FALSE)=0,"",VLOOKUP($B252,QUEUE!$F$11:$N$1999,8,FALSE)))</f>
        <v/>
      </c>
      <c r="I252" s="72" t="str">
        <f>IFERROR(IF($B252="","",VLOOKUP($B252,QUEUE!$F$11:$N$1999,9,FALSE)),"")</f>
        <v/>
      </c>
    </row>
    <row r="253" spans="2:9" ht="30" x14ac:dyDescent="0.4">
      <c r="C253" s="35" t="str">
        <f>IF($B253="","",VLOOKUP($B253,QUEUE!$F$11:$N$1999,2,FALSE))</f>
        <v/>
      </c>
      <c r="D253" s="39" t="str">
        <f>IF($B253="","",VLOOKUP($B253,QUEUE!$F$11:$N$1999,3,FALSE))</f>
        <v/>
      </c>
      <c r="E253" s="35" t="str">
        <f>IF($B253="","",VLOOKUP($B253,QUEUE!$F$11:$N$1999,4,FALSE))</f>
        <v/>
      </c>
      <c r="F253" s="35" t="str">
        <f>IF($B253="","",VLOOKUP($B253,QUEUE!$F$11:$N$1999,5,FALSE))</f>
        <v/>
      </c>
      <c r="G253" s="35" t="str">
        <f>IF($B253="","",VLOOKUP($B253,QUEUE!$F$11:$N$1999,6,FALSE))</f>
        <v/>
      </c>
      <c r="H253" s="75" t="str">
        <f>IF($B253="","",IF(VLOOKUP($B253,QUEUE!$F$11:$N$1999,8,FALSE)=0,"",VLOOKUP($B253,QUEUE!$F$11:$N$1999,8,FALSE)))</f>
        <v/>
      </c>
      <c r="I253" s="67" t="str">
        <f>IFERROR(IF($B253="","",VLOOKUP($B253,QUEUE!$F$11:$N$1999,9,FALSE)),"")</f>
        <v/>
      </c>
    </row>
    <row r="254" spans="2:9" ht="30" x14ac:dyDescent="0.4">
      <c r="B254" s="36"/>
      <c r="C254" s="36" t="str">
        <f>IF($B254="","",VLOOKUP($B254,QUEUE!$F$11:$N$1999,2,FALSE))</f>
        <v/>
      </c>
      <c r="D254" s="40" t="str">
        <f>IF($B254="","",VLOOKUP($B254,QUEUE!$F$11:$N$1999,3,FALSE))</f>
        <v/>
      </c>
      <c r="E254" s="36" t="str">
        <f>IF($B254="","",VLOOKUP($B254,QUEUE!$F$11:$N$1999,4,FALSE))</f>
        <v/>
      </c>
      <c r="F254" s="36" t="str">
        <f>IF($B254="","",VLOOKUP($B254,QUEUE!$F$11:$N$1999,5,FALSE))</f>
        <v/>
      </c>
      <c r="G254" s="36" t="str">
        <f>IF($B254="","",VLOOKUP($B254,QUEUE!$F$11:$N$1999,6,FALSE))</f>
        <v/>
      </c>
      <c r="H254" s="76" t="str">
        <f>IF($B254="","",IF(VLOOKUP($B254,QUEUE!$F$11:$N$1999,8,FALSE)=0,"",VLOOKUP($B254,QUEUE!$F$11:$N$1999,8,FALSE)))</f>
        <v/>
      </c>
      <c r="I254" s="72" t="str">
        <f>IFERROR(IF($B254="","",VLOOKUP($B254,QUEUE!$F$11:$N$1999,9,FALSE)),"")</f>
        <v/>
      </c>
    </row>
    <row r="255" spans="2:9" ht="30" x14ac:dyDescent="0.4">
      <c r="C255" s="35" t="str">
        <f>IF($B255="","",VLOOKUP($B255,QUEUE!$F$11:$N$1999,2,FALSE))</f>
        <v/>
      </c>
      <c r="D255" s="39" t="str">
        <f>IF($B255="","",VLOOKUP($B255,QUEUE!$F$11:$N$1999,3,FALSE))</f>
        <v/>
      </c>
      <c r="E255" s="35" t="str">
        <f>IF($B255="","",VLOOKUP($B255,QUEUE!$F$11:$N$1999,4,FALSE))</f>
        <v/>
      </c>
      <c r="F255" s="35" t="str">
        <f>IF($B255="","",VLOOKUP($B255,QUEUE!$F$11:$N$1999,5,FALSE))</f>
        <v/>
      </c>
      <c r="G255" s="35" t="str">
        <f>IF($B255="","",VLOOKUP($B255,QUEUE!$F$11:$N$1999,6,FALSE))</f>
        <v/>
      </c>
      <c r="H255" s="75" t="str">
        <f>IF($B255="","",IF(VLOOKUP($B255,QUEUE!$F$11:$N$1999,8,FALSE)=0,"",VLOOKUP($B255,QUEUE!$F$11:$N$1999,8,FALSE)))</f>
        <v/>
      </c>
      <c r="I255" s="67" t="str">
        <f>IFERROR(IF($B255="","",VLOOKUP($B255,QUEUE!$F$11:$N$1999,9,FALSE)),"")</f>
        <v/>
      </c>
    </row>
    <row r="256" spans="2:9" ht="30" x14ac:dyDescent="0.4">
      <c r="B256" s="36"/>
      <c r="C256" s="36" t="str">
        <f>IF($B256="","",VLOOKUP($B256,QUEUE!$F$11:$N$1999,2,FALSE))</f>
        <v/>
      </c>
      <c r="D256" s="40" t="str">
        <f>IF($B256="","",VLOOKUP($B256,QUEUE!$F$11:$N$1999,3,FALSE))</f>
        <v/>
      </c>
      <c r="E256" s="36" t="str">
        <f>IF($B256="","",VLOOKUP($B256,QUEUE!$F$11:$N$1999,4,FALSE))</f>
        <v/>
      </c>
      <c r="F256" s="36" t="str">
        <f>IF($B256="","",VLOOKUP($B256,QUEUE!$F$11:$N$1999,5,FALSE))</f>
        <v/>
      </c>
      <c r="G256" s="36" t="str">
        <f>IF($B256="","",VLOOKUP($B256,QUEUE!$F$11:$N$1999,6,FALSE))</f>
        <v/>
      </c>
      <c r="H256" s="76" t="str">
        <f>IF($B256="","",IF(VLOOKUP($B256,QUEUE!$F$11:$N$1999,8,FALSE)=0,"",VLOOKUP($B256,QUEUE!$F$11:$N$1999,8,FALSE)))</f>
        <v/>
      </c>
      <c r="I256" s="72" t="str">
        <f>IFERROR(IF($B256="","",VLOOKUP($B256,QUEUE!$F$11:$N$1999,9,FALSE)),"")</f>
        <v/>
      </c>
    </row>
    <row r="257" spans="2:9" ht="30" x14ac:dyDescent="0.4">
      <c r="C257" s="35" t="str">
        <f>IF($B257="","",VLOOKUP($B257,QUEUE!$F$11:$N$1999,2,FALSE))</f>
        <v/>
      </c>
      <c r="D257" s="39" t="str">
        <f>IF($B257="","",VLOOKUP($B257,QUEUE!$F$11:$N$1999,3,FALSE))</f>
        <v/>
      </c>
      <c r="E257" s="35" t="str">
        <f>IF($B257="","",VLOOKUP($B257,QUEUE!$F$11:$N$1999,4,FALSE))</f>
        <v/>
      </c>
      <c r="F257" s="35" t="str">
        <f>IF($B257="","",VLOOKUP($B257,QUEUE!$F$11:$N$1999,5,FALSE))</f>
        <v/>
      </c>
      <c r="G257" s="35" t="str">
        <f>IF($B257="","",VLOOKUP($B257,QUEUE!$F$11:$N$1999,6,FALSE))</f>
        <v/>
      </c>
      <c r="H257" s="75" t="str">
        <f>IF($B257="","",IF(VLOOKUP($B257,QUEUE!$F$11:$N$1999,8,FALSE)=0,"",VLOOKUP($B257,QUEUE!$F$11:$N$1999,8,FALSE)))</f>
        <v/>
      </c>
      <c r="I257" s="67" t="str">
        <f>IFERROR(IF($B257="","",VLOOKUP($B257,QUEUE!$F$11:$N$1999,9,FALSE)),"")</f>
        <v/>
      </c>
    </row>
    <row r="258" spans="2:9" ht="30" x14ac:dyDescent="0.4">
      <c r="B258" s="36"/>
      <c r="C258" s="36" t="str">
        <f>IF($B258="","",VLOOKUP($B258,QUEUE!$F$11:$N$1999,2,FALSE))</f>
        <v/>
      </c>
      <c r="D258" s="40" t="str">
        <f>IF($B258="","",VLOOKUP($B258,QUEUE!$F$11:$N$1999,3,FALSE))</f>
        <v/>
      </c>
      <c r="E258" s="36" t="str">
        <f>IF($B258="","",VLOOKUP($B258,QUEUE!$F$11:$N$1999,4,FALSE))</f>
        <v/>
      </c>
      <c r="F258" s="36" t="str">
        <f>IF($B258="","",VLOOKUP($B258,QUEUE!$F$11:$N$1999,5,FALSE))</f>
        <v/>
      </c>
      <c r="G258" s="36" t="str">
        <f>IF($B258="","",VLOOKUP($B258,QUEUE!$F$11:$N$1999,6,FALSE))</f>
        <v/>
      </c>
      <c r="H258" s="76" t="str">
        <f>IF($B258="","",IF(VLOOKUP($B258,QUEUE!$F$11:$N$1999,8,FALSE)=0,"",VLOOKUP($B258,QUEUE!$F$11:$N$1999,8,FALSE)))</f>
        <v/>
      </c>
      <c r="I258" s="72" t="str">
        <f>IFERROR(IF($B258="","",VLOOKUP($B258,QUEUE!$F$11:$N$1999,9,FALSE)),"")</f>
        <v/>
      </c>
    </row>
    <row r="259" spans="2:9" ht="30" x14ac:dyDescent="0.4">
      <c r="C259" s="35" t="str">
        <f>IF($B259="","",VLOOKUP($B259,QUEUE!$F$11:$N$1999,2,FALSE))</f>
        <v/>
      </c>
      <c r="D259" s="39" t="str">
        <f>IF($B259="","",VLOOKUP($B259,QUEUE!$F$11:$N$1999,3,FALSE))</f>
        <v/>
      </c>
      <c r="E259" s="35" t="str">
        <f>IF($B259="","",VLOOKUP($B259,QUEUE!$F$11:$N$1999,4,FALSE))</f>
        <v/>
      </c>
      <c r="F259" s="35" t="str">
        <f>IF($B259="","",VLOOKUP($B259,QUEUE!$F$11:$N$1999,5,FALSE))</f>
        <v/>
      </c>
      <c r="G259" s="35" t="str">
        <f>IF($B259="","",VLOOKUP($B259,QUEUE!$F$11:$N$1999,6,FALSE))</f>
        <v/>
      </c>
      <c r="H259" s="75" t="str">
        <f>IF($B259="","",IF(VLOOKUP($B259,QUEUE!$F$11:$N$1999,8,FALSE)=0,"",VLOOKUP($B259,QUEUE!$F$11:$N$1999,8,FALSE)))</f>
        <v/>
      </c>
      <c r="I259" s="67" t="str">
        <f>IFERROR(IF($B259="","",VLOOKUP($B259,QUEUE!$F$11:$N$1999,9,FALSE)),"")</f>
        <v/>
      </c>
    </row>
    <row r="260" spans="2:9" ht="30" x14ac:dyDescent="0.4">
      <c r="B260" s="36"/>
      <c r="C260" s="36" t="str">
        <f>IF($B260="","",VLOOKUP($B260,QUEUE!$F$11:$N$1999,2,FALSE))</f>
        <v/>
      </c>
      <c r="D260" s="40" t="str">
        <f>IF($B260="","",VLOOKUP($B260,QUEUE!$F$11:$N$1999,3,FALSE))</f>
        <v/>
      </c>
      <c r="E260" s="36" t="str">
        <f>IF($B260="","",VLOOKUP($B260,QUEUE!$F$11:$N$1999,4,FALSE))</f>
        <v/>
      </c>
      <c r="F260" s="36" t="str">
        <f>IF($B260="","",VLOOKUP($B260,QUEUE!$F$11:$N$1999,5,FALSE))</f>
        <v/>
      </c>
      <c r="G260" s="36" t="str">
        <f>IF($B260="","",VLOOKUP($B260,QUEUE!$F$11:$N$1999,6,FALSE))</f>
        <v/>
      </c>
      <c r="H260" s="76" t="str">
        <f>IF($B260="","",IF(VLOOKUP($B260,QUEUE!$F$11:$N$1999,8,FALSE)=0,"",VLOOKUP($B260,QUEUE!$F$11:$N$1999,8,FALSE)))</f>
        <v/>
      </c>
      <c r="I260" s="72" t="str">
        <f>IFERROR(IF($B260="","",VLOOKUP($B260,QUEUE!$F$11:$N$1999,9,FALSE)),"")</f>
        <v/>
      </c>
    </row>
    <row r="261" spans="2:9" ht="30" x14ac:dyDescent="0.4">
      <c r="C261" s="35" t="str">
        <f>IF($B261="","",VLOOKUP($B261,QUEUE!$F$11:$N$1999,2,FALSE))</f>
        <v/>
      </c>
      <c r="D261" s="39" t="str">
        <f>IF($B261="","",VLOOKUP($B261,QUEUE!$F$11:$N$1999,3,FALSE))</f>
        <v/>
      </c>
      <c r="E261" s="35" t="str">
        <f>IF($B261="","",VLOOKUP($B261,QUEUE!$F$11:$N$1999,4,FALSE))</f>
        <v/>
      </c>
      <c r="F261" s="35" t="str">
        <f>IF($B261="","",VLOOKUP($B261,QUEUE!$F$11:$N$1999,5,FALSE))</f>
        <v/>
      </c>
      <c r="G261" s="35" t="str">
        <f>IF($B261="","",VLOOKUP($B261,QUEUE!$F$11:$N$1999,6,FALSE))</f>
        <v/>
      </c>
      <c r="H261" s="75" t="str">
        <f>IF($B261="","",IF(VLOOKUP($B261,QUEUE!$F$11:$N$1999,8,FALSE)=0,"",VLOOKUP($B261,QUEUE!$F$11:$N$1999,8,FALSE)))</f>
        <v/>
      </c>
      <c r="I261" s="67" t="str">
        <f>IFERROR(IF($B261="","",VLOOKUP($B261,QUEUE!$F$11:$N$1999,9,FALSE)),"")</f>
        <v/>
      </c>
    </row>
    <row r="262" spans="2:9" ht="30" x14ac:dyDescent="0.4">
      <c r="B262" s="36"/>
      <c r="C262" s="36" t="str">
        <f>IF($B262="","",VLOOKUP($B262,QUEUE!$F$11:$N$1999,2,FALSE))</f>
        <v/>
      </c>
      <c r="D262" s="40" t="str">
        <f>IF($B262="","",VLOOKUP($B262,QUEUE!$F$11:$N$1999,3,FALSE))</f>
        <v/>
      </c>
      <c r="E262" s="36" t="str">
        <f>IF($B262="","",VLOOKUP($B262,QUEUE!$F$11:$N$1999,4,FALSE))</f>
        <v/>
      </c>
      <c r="F262" s="36" t="str">
        <f>IF($B262="","",VLOOKUP($B262,QUEUE!$F$11:$N$1999,5,FALSE))</f>
        <v/>
      </c>
      <c r="G262" s="36" t="str">
        <f>IF($B262="","",VLOOKUP($B262,QUEUE!$F$11:$N$1999,6,FALSE))</f>
        <v/>
      </c>
      <c r="H262" s="76" t="str">
        <f>IF($B262="","",IF(VLOOKUP($B262,QUEUE!$F$11:$N$1999,8,FALSE)=0,"",VLOOKUP($B262,QUEUE!$F$11:$N$1999,8,FALSE)))</f>
        <v/>
      </c>
      <c r="I262" s="72" t="str">
        <f>IFERROR(IF($B262="","",VLOOKUP($B262,QUEUE!$F$11:$N$1999,9,FALSE)),"")</f>
        <v/>
      </c>
    </row>
    <row r="263" spans="2:9" ht="30" x14ac:dyDescent="0.4">
      <c r="C263" s="35" t="str">
        <f>IF($B263="","",VLOOKUP($B263,QUEUE!$F$11:$N$1999,2,FALSE))</f>
        <v/>
      </c>
      <c r="D263" s="39" t="str">
        <f>IF($B263="","",VLOOKUP($B263,QUEUE!$F$11:$N$1999,3,FALSE))</f>
        <v/>
      </c>
      <c r="E263" s="35" t="str">
        <f>IF($B263="","",VLOOKUP($B263,QUEUE!$F$11:$N$1999,4,FALSE))</f>
        <v/>
      </c>
      <c r="F263" s="35" t="str">
        <f>IF($B263="","",VLOOKUP($B263,QUEUE!$F$11:$N$1999,5,FALSE))</f>
        <v/>
      </c>
      <c r="G263" s="35" t="str">
        <f>IF($B263="","",VLOOKUP($B263,QUEUE!$F$11:$N$1999,6,FALSE))</f>
        <v/>
      </c>
      <c r="H263" s="75" t="str">
        <f>IF($B263="","",IF(VLOOKUP($B263,QUEUE!$F$11:$N$1999,8,FALSE)=0,"",VLOOKUP($B263,QUEUE!$F$11:$N$1999,8,FALSE)))</f>
        <v/>
      </c>
      <c r="I263" s="67" t="str">
        <f>IFERROR(IF($B263="","",VLOOKUP($B263,QUEUE!$F$11:$N$1999,9,FALSE)),"")</f>
        <v/>
      </c>
    </row>
    <row r="264" spans="2:9" ht="30" x14ac:dyDescent="0.4">
      <c r="B264" s="36"/>
      <c r="C264" s="36" t="str">
        <f>IF($B264="","",VLOOKUP($B264,QUEUE!$F$11:$N$1999,2,FALSE))</f>
        <v/>
      </c>
      <c r="D264" s="40" t="str">
        <f>IF($B264="","",VLOOKUP($B264,QUEUE!$F$11:$N$1999,3,FALSE))</f>
        <v/>
      </c>
      <c r="E264" s="36" t="str">
        <f>IF($B264="","",VLOOKUP($B264,QUEUE!$F$11:$N$1999,4,FALSE))</f>
        <v/>
      </c>
      <c r="F264" s="36" t="str">
        <f>IF($B264="","",VLOOKUP($B264,QUEUE!$F$11:$N$1999,5,FALSE))</f>
        <v/>
      </c>
      <c r="G264" s="36" t="str">
        <f>IF($B264="","",VLOOKUP($B264,QUEUE!$F$11:$N$1999,6,FALSE))</f>
        <v/>
      </c>
      <c r="H264" s="76" t="str">
        <f>IF($B264="","",IF(VLOOKUP($B264,QUEUE!$F$11:$N$1999,8,FALSE)=0,"",VLOOKUP($B264,QUEUE!$F$11:$N$1999,8,FALSE)))</f>
        <v/>
      </c>
      <c r="I264" s="72" t="str">
        <f>IFERROR(IF($B264="","",VLOOKUP($B264,QUEUE!$F$11:$N$1999,9,FALSE)),"")</f>
        <v/>
      </c>
    </row>
    <row r="265" spans="2:9" ht="30" x14ac:dyDescent="0.4">
      <c r="C265" s="35" t="str">
        <f>IF($B265="","",VLOOKUP($B265,QUEUE!$F$11:$N$1999,2,FALSE))</f>
        <v/>
      </c>
      <c r="D265" s="39" t="str">
        <f>IF($B265="","",VLOOKUP($B265,QUEUE!$F$11:$N$1999,3,FALSE))</f>
        <v/>
      </c>
      <c r="E265" s="35" t="str">
        <f>IF($B265="","",VLOOKUP($B265,QUEUE!$F$11:$N$1999,4,FALSE))</f>
        <v/>
      </c>
      <c r="F265" s="35" t="str">
        <f>IF($B265="","",VLOOKUP($B265,QUEUE!$F$11:$N$1999,5,FALSE))</f>
        <v/>
      </c>
      <c r="G265" s="35" t="str">
        <f>IF($B265="","",VLOOKUP($B265,QUEUE!$F$11:$N$1999,6,FALSE))</f>
        <v/>
      </c>
      <c r="H265" s="75" t="str">
        <f>IF($B265="","",IF(VLOOKUP($B265,QUEUE!$F$11:$N$1999,8,FALSE)=0,"",VLOOKUP($B265,QUEUE!$F$11:$N$1999,8,FALSE)))</f>
        <v/>
      </c>
      <c r="I265" s="67" t="str">
        <f>IFERROR(IF($B265="","",VLOOKUP($B265,QUEUE!$F$11:$N$1999,9,FALSE)),"")</f>
        <v/>
      </c>
    </row>
    <row r="266" spans="2:9" ht="30" x14ac:dyDescent="0.4">
      <c r="B266" s="36"/>
      <c r="C266" s="36" t="str">
        <f>IF($B266="","",VLOOKUP($B266,QUEUE!$F$11:$N$1999,2,FALSE))</f>
        <v/>
      </c>
      <c r="D266" s="40" t="str">
        <f>IF($B266="","",VLOOKUP($B266,QUEUE!$F$11:$N$1999,3,FALSE))</f>
        <v/>
      </c>
      <c r="E266" s="36" t="str">
        <f>IF($B266="","",VLOOKUP($B266,QUEUE!$F$11:$N$1999,4,FALSE))</f>
        <v/>
      </c>
      <c r="F266" s="36" t="str">
        <f>IF($B266="","",VLOOKUP($B266,QUEUE!$F$11:$N$1999,5,FALSE))</f>
        <v/>
      </c>
      <c r="G266" s="36" t="str">
        <f>IF($B266="","",VLOOKUP($B266,QUEUE!$F$11:$N$1999,6,FALSE))</f>
        <v/>
      </c>
      <c r="H266" s="76" t="str">
        <f>IF($B266="","",IF(VLOOKUP($B266,QUEUE!$F$11:$N$1999,8,FALSE)=0,"",VLOOKUP($B266,QUEUE!$F$11:$N$1999,8,FALSE)))</f>
        <v/>
      </c>
      <c r="I266" s="72" t="str">
        <f>IFERROR(IF($B266="","",VLOOKUP($B266,QUEUE!$F$11:$N$1999,9,FALSE)),"")</f>
        <v/>
      </c>
    </row>
    <row r="267" spans="2:9" ht="30" x14ac:dyDescent="0.4">
      <c r="C267" s="35" t="str">
        <f>IF($B267="","",VLOOKUP($B267,QUEUE!$F$11:$N$1999,2,FALSE))</f>
        <v/>
      </c>
      <c r="D267" s="39" t="str">
        <f>IF($B267="","",VLOOKUP($B267,QUEUE!$F$11:$N$1999,3,FALSE))</f>
        <v/>
      </c>
      <c r="E267" s="35" t="str">
        <f>IF($B267="","",VLOOKUP($B267,QUEUE!$F$11:$N$1999,4,FALSE))</f>
        <v/>
      </c>
      <c r="F267" s="35" t="str">
        <f>IF($B267="","",VLOOKUP($B267,QUEUE!$F$11:$N$1999,5,FALSE))</f>
        <v/>
      </c>
      <c r="G267" s="35" t="str">
        <f>IF($B267="","",VLOOKUP($B267,QUEUE!$F$11:$N$1999,6,FALSE))</f>
        <v/>
      </c>
      <c r="H267" s="75" t="str">
        <f>IF($B267="","",IF(VLOOKUP($B267,QUEUE!$F$11:$N$1999,8,FALSE)=0,"",VLOOKUP($B267,QUEUE!$F$11:$N$1999,8,FALSE)))</f>
        <v/>
      </c>
      <c r="I267" s="67" t="str">
        <f>IFERROR(IF($B267="","",VLOOKUP($B267,QUEUE!$F$11:$N$1999,9,FALSE)),"")</f>
        <v/>
      </c>
    </row>
    <row r="268" spans="2:9" ht="30" x14ac:dyDescent="0.4">
      <c r="B268" s="36"/>
      <c r="C268" s="36" t="str">
        <f>IF($B268="","",VLOOKUP($B268,QUEUE!$F$11:$N$1999,2,FALSE))</f>
        <v/>
      </c>
      <c r="D268" s="40" t="str">
        <f>IF($B268="","",VLOOKUP($B268,QUEUE!$F$11:$N$1999,3,FALSE))</f>
        <v/>
      </c>
      <c r="E268" s="36" t="str">
        <f>IF($B268="","",VLOOKUP($B268,QUEUE!$F$11:$N$1999,4,FALSE))</f>
        <v/>
      </c>
      <c r="F268" s="36" t="str">
        <f>IF($B268="","",VLOOKUP($B268,QUEUE!$F$11:$N$1999,5,FALSE))</f>
        <v/>
      </c>
      <c r="G268" s="36" t="str">
        <f>IF($B268="","",VLOOKUP($B268,QUEUE!$F$11:$N$1999,6,FALSE))</f>
        <v/>
      </c>
      <c r="H268" s="76" t="str">
        <f>IF($B268="","",IF(VLOOKUP($B268,QUEUE!$F$11:$N$1999,8,FALSE)=0,"",VLOOKUP($B268,QUEUE!$F$11:$N$1999,8,FALSE)))</f>
        <v/>
      </c>
      <c r="I268" s="72" t="str">
        <f>IFERROR(IF($B268="","",VLOOKUP($B268,QUEUE!$F$11:$N$1999,9,FALSE)),"")</f>
        <v/>
      </c>
    </row>
    <row r="269" spans="2:9" ht="30" x14ac:dyDescent="0.4">
      <c r="C269" s="35" t="str">
        <f>IF($B269="","",VLOOKUP($B269,QUEUE!$F$11:$N$1999,2,FALSE))</f>
        <v/>
      </c>
      <c r="D269" s="39" t="str">
        <f>IF($B269="","",VLOOKUP($B269,QUEUE!$F$11:$N$1999,3,FALSE))</f>
        <v/>
      </c>
      <c r="E269" s="35" t="str">
        <f>IF($B269="","",VLOOKUP($B269,QUEUE!$F$11:$N$1999,4,FALSE))</f>
        <v/>
      </c>
      <c r="F269" s="35" t="str">
        <f>IF($B269="","",VLOOKUP($B269,QUEUE!$F$11:$N$1999,5,FALSE))</f>
        <v/>
      </c>
      <c r="G269" s="35" t="str">
        <f>IF($B269="","",VLOOKUP($B269,QUEUE!$F$11:$N$1999,6,FALSE))</f>
        <v/>
      </c>
      <c r="H269" s="75" t="str">
        <f>IF($B269="","",IF(VLOOKUP($B269,QUEUE!$F$11:$N$1999,8,FALSE)=0,"",VLOOKUP($B269,QUEUE!$F$11:$N$1999,8,FALSE)))</f>
        <v/>
      </c>
      <c r="I269" s="67" t="str">
        <f>IFERROR(IF($B269="","",VLOOKUP($B269,QUEUE!$F$11:$N$1999,9,FALSE)),"")</f>
        <v/>
      </c>
    </row>
    <row r="270" spans="2:9" ht="30" x14ac:dyDescent="0.4">
      <c r="B270" s="36"/>
      <c r="C270" s="36" t="str">
        <f>IF($B270="","",VLOOKUP($B270,QUEUE!$F$11:$N$1999,2,FALSE))</f>
        <v/>
      </c>
      <c r="D270" s="40" t="str">
        <f>IF($B270="","",VLOOKUP($B270,QUEUE!$F$11:$N$1999,3,FALSE))</f>
        <v/>
      </c>
      <c r="E270" s="36" t="str">
        <f>IF($B270="","",VLOOKUP($B270,QUEUE!$F$11:$N$1999,4,FALSE))</f>
        <v/>
      </c>
      <c r="F270" s="36" t="str">
        <f>IF($B270="","",VLOOKUP($B270,QUEUE!$F$11:$N$1999,5,FALSE))</f>
        <v/>
      </c>
      <c r="G270" s="36" t="str">
        <f>IF($B270="","",VLOOKUP($B270,QUEUE!$F$11:$N$1999,6,FALSE))</f>
        <v/>
      </c>
      <c r="H270" s="76" t="str">
        <f>IF($B270="","",IF(VLOOKUP($B270,QUEUE!$F$11:$N$1999,8,FALSE)=0,"",VLOOKUP($B270,QUEUE!$F$11:$N$1999,8,FALSE)))</f>
        <v/>
      </c>
      <c r="I270" s="72" t="str">
        <f>IFERROR(IF($B270="","",VLOOKUP($B270,QUEUE!$F$11:$N$1999,9,FALSE)),"")</f>
        <v/>
      </c>
    </row>
    <row r="271" spans="2:9" ht="30" x14ac:dyDescent="0.4">
      <c r="C271" s="35" t="str">
        <f>IF($B271="","",VLOOKUP($B271,QUEUE!$F$11:$N$1999,2,FALSE))</f>
        <v/>
      </c>
      <c r="D271" s="39" t="str">
        <f>IF($B271="","",VLOOKUP($B271,QUEUE!$F$11:$N$1999,3,FALSE))</f>
        <v/>
      </c>
      <c r="E271" s="35" t="str">
        <f>IF($B271="","",VLOOKUP($B271,QUEUE!$F$11:$N$1999,4,FALSE))</f>
        <v/>
      </c>
      <c r="F271" s="35" t="str">
        <f>IF($B271="","",VLOOKUP($B271,QUEUE!$F$11:$N$1999,5,FALSE))</f>
        <v/>
      </c>
      <c r="G271" s="35" t="str">
        <f>IF($B271="","",VLOOKUP($B271,QUEUE!$F$11:$N$1999,6,FALSE))</f>
        <v/>
      </c>
      <c r="H271" s="75" t="str">
        <f>IF($B271="","",IF(VLOOKUP($B271,QUEUE!$F$11:$N$1999,8,FALSE)=0,"",VLOOKUP($B271,QUEUE!$F$11:$N$1999,8,FALSE)))</f>
        <v/>
      </c>
      <c r="I271" s="67" t="str">
        <f>IFERROR(IF($B271="","",VLOOKUP($B271,QUEUE!$F$11:$N$1999,9,FALSE)),"")</f>
        <v/>
      </c>
    </row>
    <row r="272" spans="2:9" ht="30" x14ac:dyDescent="0.4">
      <c r="B272" s="36"/>
      <c r="C272" s="36" t="str">
        <f>IF($B272="","",VLOOKUP($B272,QUEUE!$F$11:$N$1999,2,FALSE))</f>
        <v/>
      </c>
      <c r="D272" s="40" t="str">
        <f>IF($B272="","",VLOOKUP($B272,QUEUE!$F$11:$N$1999,3,FALSE))</f>
        <v/>
      </c>
      <c r="E272" s="36" t="str">
        <f>IF($B272="","",VLOOKUP($B272,QUEUE!$F$11:$N$1999,4,FALSE))</f>
        <v/>
      </c>
      <c r="F272" s="36" t="str">
        <f>IF($B272="","",VLOOKUP($B272,QUEUE!$F$11:$N$1999,5,FALSE))</f>
        <v/>
      </c>
      <c r="G272" s="36" t="str">
        <f>IF($B272="","",VLOOKUP($B272,QUEUE!$F$11:$N$1999,6,FALSE))</f>
        <v/>
      </c>
      <c r="H272" s="76" t="str">
        <f>IF($B272="","",IF(VLOOKUP($B272,QUEUE!$F$11:$N$1999,8,FALSE)=0,"",VLOOKUP($B272,QUEUE!$F$11:$N$1999,8,FALSE)))</f>
        <v/>
      </c>
      <c r="I272" s="72" t="str">
        <f>IFERROR(IF($B272="","",VLOOKUP($B272,QUEUE!$F$11:$N$1999,9,FALSE)),"")</f>
        <v/>
      </c>
    </row>
    <row r="273" spans="2:9" ht="30" x14ac:dyDescent="0.4">
      <c r="C273" s="35" t="str">
        <f>IF($B273="","",VLOOKUP($B273,QUEUE!$F$11:$N$1999,2,FALSE))</f>
        <v/>
      </c>
      <c r="D273" s="39" t="str">
        <f>IF($B273="","",VLOOKUP($B273,QUEUE!$F$11:$N$1999,3,FALSE))</f>
        <v/>
      </c>
      <c r="E273" s="35" t="str">
        <f>IF($B273="","",VLOOKUP($B273,QUEUE!$F$11:$N$1999,4,FALSE))</f>
        <v/>
      </c>
      <c r="F273" s="35" t="str">
        <f>IF($B273="","",VLOOKUP($B273,QUEUE!$F$11:$N$1999,5,FALSE))</f>
        <v/>
      </c>
      <c r="G273" s="35" t="str">
        <f>IF($B273="","",VLOOKUP($B273,QUEUE!$F$11:$N$1999,6,FALSE))</f>
        <v/>
      </c>
      <c r="H273" s="75" t="str">
        <f>IF($B273="","",IF(VLOOKUP($B273,QUEUE!$F$11:$N$1999,8,FALSE)=0,"",VLOOKUP($B273,QUEUE!$F$11:$N$1999,8,FALSE)))</f>
        <v/>
      </c>
      <c r="I273" s="67" t="str">
        <f>IFERROR(IF($B273="","",VLOOKUP($B273,QUEUE!$F$11:$N$1999,9,FALSE)),"")</f>
        <v/>
      </c>
    </row>
    <row r="274" spans="2:9" ht="30" x14ac:dyDescent="0.4">
      <c r="B274" s="36"/>
      <c r="C274" s="36" t="str">
        <f>IF($B274="","",VLOOKUP($B274,QUEUE!$F$11:$N$1999,2,FALSE))</f>
        <v/>
      </c>
      <c r="D274" s="40" t="str">
        <f>IF($B274="","",VLOOKUP($B274,QUEUE!$F$11:$N$1999,3,FALSE))</f>
        <v/>
      </c>
      <c r="E274" s="36" t="str">
        <f>IF($B274="","",VLOOKUP($B274,QUEUE!$F$11:$N$1999,4,FALSE))</f>
        <v/>
      </c>
      <c r="F274" s="36" t="str">
        <f>IF($B274="","",VLOOKUP($B274,QUEUE!$F$11:$N$1999,5,FALSE))</f>
        <v/>
      </c>
      <c r="G274" s="36" t="str">
        <f>IF($B274="","",VLOOKUP($B274,QUEUE!$F$11:$N$1999,6,FALSE))</f>
        <v/>
      </c>
      <c r="H274" s="76" t="str">
        <f>IF($B274="","",IF(VLOOKUP($B274,QUEUE!$F$11:$N$1999,8,FALSE)=0,"",VLOOKUP($B274,QUEUE!$F$11:$N$1999,8,FALSE)))</f>
        <v/>
      </c>
      <c r="I274" s="72" t="str">
        <f>IFERROR(IF($B274="","",VLOOKUP($B274,QUEUE!$F$11:$N$1999,9,FALSE)),"")</f>
        <v/>
      </c>
    </row>
    <row r="275" spans="2:9" ht="30" x14ac:dyDescent="0.4">
      <c r="C275" s="35" t="str">
        <f>IF($B275="","",VLOOKUP($B275,QUEUE!$F$11:$N$1999,2,FALSE))</f>
        <v/>
      </c>
      <c r="D275" s="39" t="str">
        <f>IF($B275="","",VLOOKUP($B275,QUEUE!$F$11:$N$1999,3,FALSE))</f>
        <v/>
      </c>
      <c r="E275" s="35" t="str">
        <f>IF($B275="","",VLOOKUP($B275,QUEUE!$F$11:$N$1999,4,FALSE))</f>
        <v/>
      </c>
      <c r="F275" s="35" t="str">
        <f>IF($B275="","",VLOOKUP($B275,QUEUE!$F$11:$N$1999,5,FALSE))</f>
        <v/>
      </c>
      <c r="G275" s="35" t="str">
        <f>IF($B275="","",VLOOKUP($B275,QUEUE!$F$11:$N$1999,6,FALSE))</f>
        <v/>
      </c>
      <c r="H275" s="75" t="str">
        <f>IF($B275="","",IF(VLOOKUP($B275,QUEUE!$F$11:$N$1999,8,FALSE)=0,"",VLOOKUP($B275,QUEUE!$F$11:$N$1999,8,FALSE)))</f>
        <v/>
      </c>
      <c r="I275" s="67" t="str">
        <f>IFERROR(IF($B275="","",VLOOKUP($B275,QUEUE!$F$11:$N$1999,9,FALSE)),"")</f>
        <v/>
      </c>
    </row>
    <row r="276" spans="2:9" ht="30" x14ac:dyDescent="0.4">
      <c r="B276" s="36"/>
      <c r="C276" s="36" t="str">
        <f>IF($B276="","",VLOOKUP($B276,QUEUE!$F$11:$N$1999,2,FALSE))</f>
        <v/>
      </c>
      <c r="D276" s="40" t="str">
        <f>IF($B276="","",VLOOKUP($B276,QUEUE!$F$11:$N$1999,3,FALSE))</f>
        <v/>
      </c>
      <c r="E276" s="36" t="str">
        <f>IF($B276="","",VLOOKUP($B276,QUEUE!$F$11:$N$1999,4,FALSE))</f>
        <v/>
      </c>
      <c r="F276" s="36" t="str">
        <f>IF($B276="","",VLOOKUP($B276,QUEUE!$F$11:$N$1999,5,FALSE))</f>
        <v/>
      </c>
      <c r="G276" s="36" t="str">
        <f>IF($B276="","",VLOOKUP($B276,QUEUE!$F$11:$N$1999,6,FALSE))</f>
        <v/>
      </c>
      <c r="H276" s="76" t="str">
        <f>IF($B276="","",IF(VLOOKUP($B276,QUEUE!$F$11:$N$1999,8,FALSE)=0,"",VLOOKUP($B276,QUEUE!$F$11:$N$1999,8,FALSE)))</f>
        <v/>
      </c>
      <c r="I276" s="72" t="str">
        <f>IFERROR(IF($B276="","",VLOOKUP($B276,QUEUE!$F$11:$N$1999,9,FALSE)),"")</f>
        <v/>
      </c>
    </row>
    <row r="277" spans="2:9" ht="30" x14ac:dyDescent="0.4">
      <c r="C277" s="35" t="str">
        <f>IF($B277="","",VLOOKUP($B277,QUEUE!$F$11:$N$1999,2,FALSE))</f>
        <v/>
      </c>
      <c r="D277" s="39" t="str">
        <f>IF($B277="","",VLOOKUP($B277,QUEUE!$F$11:$N$1999,3,FALSE))</f>
        <v/>
      </c>
      <c r="E277" s="35" t="str">
        <f>IF($B277="","",VLOOKUP($B277,QUEUE!$F$11:$N$1999,4,FALSE))</f>
        <v/>
      </c>
      <c r="F277" s="35" t="str">
        <f>IF($B277="","",VLOOKUP($B277,QUEUE!$F$11:$N$1999,5,FALSE))</f>
        <v/>
      </c>
      <c r="G277" s="35" t="str">
        <f>IF($B277="","",VLOOKUP($B277,QUEUE!$F$11:$N$1999,6,FALSE))</f>
        <v/>
      </c>
      <c r="H277" s="75" t="str">
        <f>IF($B277="","",IF(VLOOKUP($B277,QUEUE!$F$11:$N$1999,8,FALSE)=0,"",VLOOKUP($B277,QUEUE!$F$11:$N$1999,8,FALSE)))</f>
        <v/>
      </c>
      <c r="I277" s="67" t="str">
        <f>IFERROR(IF($B277="","",VLOOKUP($B277,QUEUE!$F$11:$N$1999,9,FALSE)),"")</f>
        <v/>
      </c>
    </row>
    <row r="278" spans="2:9" ht="30" x14ac:dyDescent="0.4">
      <c r="B278" s="36"/>
      <c r="C278" s="36" t="str">
        <f>IF($B278="","",VLOOKUP($B278,QUEUE!$F$11:$N$1999,2,FALSE))</f>
        <v/>
      </c>
      <c r="D278" s="40" t="str">
        <f>IF($B278="","",VLOOKUP($B278,QUEUE!$F$11:$N$1999,3,FALSE))</f>
        <v/>
      </c>
      <c r="E278" s="36" t="str">
        <f>IF($B278="","",VLOOKUP($B278,QUEUE!$F$11:$N$1999,4,FALSE))</f>
        <v/>
      </c>
      <c r="F278" s="36" t="str">
        <f>IF($B278="","",VLOOKUP($B278,QUEUE!$F$11:$N$1999,5,FALSE))</f>
        <v/>
      </c>
      <c r="G278" s="36" t="str">
        <f>IF($B278="","",VLOOKUP($B278,QUEUE!$F$11:$N$1999,6,FALSE))</f>
        <v/>
      </c>
      <c r="H278" s="76" t="str">
        <f>IF($B278="","",IF(VLOOKUP($B278,QUEUE!$F$11:$N$1999,8,FALSE)=0,"",VLOOKUP($B278,QUEUE!$F$11:$N$1999,8,FALSE)))</f>
        <v/>
      </c>
      <c r="I278" s="72" t="str">
        <f>IFERROR(IF($B278="","",VLOOKUP($B278,QUEUE!$F$11:$N$1999,9,FALSE)),"")</f>
        <v/>
      </c>
    </row>
    <row r="279" spans="2:9" ht="30" x14ac:dyDescent="0.4">
      <c r="C279" s="35" t="str">
        <f>IF($B279="","",VLOOKUP($B279,QUEUE!$F$11:$N$1999,2,FALSE))</f>
        <v/>
      </c>
      <c r="D279" s="39" t="str">
        <f>IF($B279="","",VLOOKUP($B279,QUEUE!$F$11:$N$1999,3,FALSE))</f>
        <v/>
      </c>
      <c r="E279" s="35" t="str">
        <f>IF($B279="","",VLOOKUP($B279,QUEUE!$F$11:$N$1999,4,FALSE))</f>
        <v/>
      </c>
      <c r="F279" s="35" t="str">
        <f>IF($B279="","",VLOOKUP($B279,QUEUE!$F$11:$N$1999,5,FALSE))</f>
        <v/>
      </c>
      <c r="G279" s="35" t="str">
        <f>IF($B279="","",VLOOKUP($B279,QUEUE!$F$11:$N$1999,6,FALSE))</f>
        <v/>
      </c>
      <c r="H279" s="75" t="str">
        <f>IF($B279="","",IF(VLOOKUP($B279,QUEUE!$F$11:$N$1999,8,FALSE)=0,"",VLOOKUP($B279,QUEUE!$F$11:$N$1999,8,FALSE)))</f>
        <v/>
      </c>
      <c r="I279" s="67" t="str">
        <f>IFERROR(IF($B279="","",VLOOKUP($B279,QUEUE!$F$11:$N$1999,9,FALSE)),"")</f>
        <v/>
      </c>
    </row>
    <row r="280" spans="2:9" ht="30" x14ac:dyDescent="0.4">
      <c r="B280" s="36"/>
      <c r="C280" s="36" t="str">
        <f>IF($B280="","",VLOOKUP($B280,QUEUE!$F$11:$N$1999,2,FALSE))</f>
        <v/>
      </c>
      <c r="D280" s="40" t="str">
        <f>IF($B280="","",VLOOKUP($B280,QUEUE!$F$11:$N$1999,3,FALSE))</f>
        <v/>
      </c>
      <c r="E280" s="36" t="str">
        <f>IF($B280="","",VLOOKUP($B280,QUEUE!$F$11:$N$1999,4,FALSE))</f>
        <v/>
      </c>
      <c r="F280" s="36" t="str">
        <f>IF($B280="","",VLOOKUP($B280,QUEUE!$F$11:$N$1999,5,FALSE))</f>
        <v/>
      </c>
      <c r="G280" s="36" t="str">
        <f>IF($B280="","",VLOOKUP($B280,QUEUE!$F$11:$N$1999,6,FALSE))</f>
        <v/>
      </c>
      <c r="H280" s="76" t="str">
        <f>IF($B280="","",IF(VLOOKUP($B280,QUEUE!$F$11:$N$1999,8,FALSE)=0,"",VLOOKUP($B280,QUEUE!$F$11:$N$1999,8,FALSE)))</f>
        <v/>
      </c>
      <c r="I280" s="72" t="str">
        <f>IFERROR(IF($B280="","",VLOOKUP($B280,QUEUE!$F$11:$N$1999,9,FALSE)),"")</f>
        <v/>
      </c>
    </row>
    <row r="281" spans="2:9" ht="30" x14ac:dyDescent="0.4">
      <c r="C281" s="35" t="str">
        <f>IF($B281="","",VLOOKUP($B281,QUEUE!$F$11:$N$1999,2,FALSE))</f>
        <v/>
      </c>
      <c r="D281" s="39" t="str">
        <f>IF($B281="","",VLOOKUP($B281,QUEUE!$F$11:$N$1999,3,FALSE))</f>
        <v/>
      </c>
      <c r="E281" s="35" t="str">
        <f>IF($B281="","",VLOOKUP($B281,QUEUE!$F$11:$N$1999,4,FALSE))</f>
        <v/>
      </c>
      <c r="F281" s="35" t="str">
        <f>IF($B281="","",VLOOKUP($B281,QUEUE!$F$11:$N$1999,5,FALSE))</f>
        <v/>
      </c>
      <c r="G281" s="35" t="str">
        <f>IF($B281="","",VLOOKUP($B281,QUEUE!$F$11:$N$1999,6,FALSE))</f>
        <v/>
      </c>
      <c r="H281" s="75" t="str">
        <f>IF($B281="","",IF(VLOOKUP($B281,QUEUE!$F$11:$N$1999,8,FALSE)=0,"",VLOOKUP($B281,QUEUE!$F$11:$N$1999,8,FALSE)))</f>
        <v/>
      </c>
      <c r="I281" s="67" t="str">
        <f>IFERROR(IF($B281="","",VLOOKUP($B281,QUEUE!$F$11:$N$1999,9,FALSE)),"")</f>
        <v/>
      </c>
    </row>
    <row r="282" spans="2:9" ht="30" x14ac:dyDescent="0.4">
      <c r="B282" s="36"/>
      <c r="C282" s="36" t="str">
        <f>IF($B282="","",VLOOKUP($B282,QUEUE!$F$11:$N$1999,2,FALSE))</f>
        <v/>
      </c>
      <c r="D282" s="40" t="str">
        <f>IF($B282="","",VLOOKUP($B282,QUEUE!$F$11:$N$1999,3,FALSE))</f>
        <v/>
      </c>
      <c r="E282" s="36" t="str">
        <f>IF($B282="","",VLOOKUP($B282,QUEUE!$F$11:$N$1999,4,FALSE))</f>
        <v/>
      </c>
      <c r="F282" s="36" t="str">
        <f>IF($B282="","",VLOOKUP($B282,QUEUE!$F$11:$N$1999,5,FALSE))</f>
        <v/>
      </c>
      <c r="G282" s="36" t="str">
        <f>IF($B282="","",VLOOKUP($B282,QUEUE!$F$11:$N$1999,6,FALSE))</f>
        <v/>
      </c>
      <c r="H282" s="76" t="str">
        <f>IF($B282="","",IF(VLOOKUP($B282,QUEUE!$F$11:$N$1999,8,FALSE)=0,"",VLOOKUP($B282,QUEUE!$F$11:$N$1999,8,FALSE)))</f>
        <v/>
      </c>
      <c r="I282" s="72" t="str">
        <f>IFERROR(IF($B282="","",VLOOKUP($B282,QUEUE!$F$11:$N$1999,9,FALSE)),"")</f>
        <v/>
      </c>
    </row>
    <row r="283" spans="2:9" ht="30" x14ac:dyDescent="0.4">
      <c r="C283" s="35" t="str">
        <f>IF($B283="","",VLOOKUP($B283,QUEUE!$F$11:$N$1999,2,FALSE))</f>
        <v/>
      </c>
      <c r="D283" s="39" t="str">
        <f>IF($B283="","",VLOOKUP($B283,QUEUE!$F$11:$N$1999,3,FALSE))</f>
        <v/>
      </c>
      <c r="E283" s="35" t="str">
        <f>IF($B283="","",VLOOKUP($B283,QUEUE!$F$11:$N$1999,4,FALSE))</f>
        <v/>
      </c>
      <c r="F283" s="35" t="str">
        <f>IF($B283="","",VLOOKUP($B283,QUEUE!$F$11:$N$1999,5,FALSE))</f>
        <v/>
      </c>
      <c r="G283" s="35" t="str">
        <f>IF($B283="","",VLOOKUP($B283,QUEUE!$F$11:$N$1999,6,FALSE))</f>
        <v/>
      </c>
      <c r="H283" s="75" t="str">
        <f>IF($B283="","",IF(VLOOKUP($B283,QUEUE!$F$11:$N$1999,8,FALSE)=0,"",VLOOKUP($B283,QUEUE!$F$11:$N$1999,8,FALSE)))</f>
        <v/>
      </c>
      <c r="I283" s="67" t="str">
        <f>IFERROR(IF($B283="","",VLOOKUP($B283,QUEUE!$F$11:$N$1999,9,FALSE)),"")</f>
        <v/>
      </c>
    </row>
    <row r="284" spans="2:9" ht="30" x14ac:dyDescent="0.4">
      <c r="B284" s="36"/>
      <c r="C284" s="36" t="str">
        <f>IF($B284="","",VLOOKUP($B284,QUEUE!$F$11:$N$1999,2,FALSE))</f>
        <v/>
      </c>
      <c r="D284" s="40" t="str">
        <f>IF($B284="","",VLOOKUP($B284,QUEUE!$F$11:$N$1999,3,FALSE))</f>
        <v/>
      </c>
      <c r="E284" s="36" t="str">
        <f>IF($B284="","",VLOOKUP($B284,QUEUE!$F$11:$N$1999,4,FALSE))</f>
        <v/>
      </c>
      <c r="F284" s="36" t="str">
        <f>IF($B284="","",VLOOKUP($B284,QUEUE!$F$11:$N$1999,5,FALSE))</f>
        <v/>
      </c>
      <c r="G284" s="36" t="str">
        <f>IF($B284="","",VLOOKUP($B284,QUEUE!$F$11:$N$1999,6,FALSE))</f>
        <v/>
      </c>
      <c r="H284" s="76" t="str">
        <f>IF($B284="","",IF(VLOOKUP($B284,QUEUE!$F$11:$N$1999,8,FALSE)=0,"",VLOOKUP($B284,QUEUE!$F$11:$N$1999,8,FALSE)))</f>
        <v/>
      </c>
      <c r="I284" s="72" t="str">
        <f>IFERROR(IF($B284="","",VLOOKUP($B284,QUEUE!$F$11:$N$1999,9,FALSE)),"")</f>
        <v/>
      </c>
    </row>
    <row r="285" spans="2:9" ht="30" x14ac:dyDescent="0.4">
      <c r="C285" s="35" t="str">
        <f>IF($B285="","",VLOOKUP($B285,QUEUE!$F$11:$N$1999,2,FALSE))</f>
        <v/>
      </c>
      <c r="D285" s="39" t="str">
        <f>IF($B285="","",VLOOKUP($B285,QUEUE!$F$11:$N$1999,3,FALSE))</f>
        <v/>
      </c>
      <c r="E285" s="35" t="str">
        <f>IF($B285="","",VLOOKUP($B285,QUEUE!$F$11:$N$1999,4,FALSE))</f>
        <v/>
      </c>
      <c r="F285" s="35" t="str">
        <f>IF($B285="","",VLOOKUP($B285,QUEUE!$F$11:$N$1999,5,FALSE))</f>
        <v/>
      </c>
      <c r="G285" s="35" t="str">
        <f>IF($B285="","",VLOOKUP($B285,QUEUE!$F$11:$N$1999,6,FALSE))</f>
        <v/>
      </c>
      <c r="H285" s="75" t="str">
        <f>IF($B285="","",IF(VLOOKUP($B285,QUEUE!$F$11:$N$1999,8,FALSE)=0,"",VLOOKUP($B285,QUEUE!$F$11:$N$1999,8,FALSE)))</f>
        <v/>
      </c>
      <c r="I285" s="67" t="str">
        <f>IFERROR(IF($B285="","",VLOOKUP($B285,QUEUE!$F$11:$N$1999,9,FALSE)),"")</f>
        <v/>
      </c>
    </row>
    <row r="286" spans="2:9" ht="30" x14ac:dyDescent="0.4">
      <c r="B286" s="36"/>
      <c r="C286" s="36" t="str">
        <f>IF($B286="","",VLOOKUP($B286,QUEUE!$F$11:$N$1999,2,FALSE))</f>
        <v/>
      </c>
      <c r="D286" s="40" t="str">
        <f>IF($B286="","",VLOOKUP($B286,QUEUE!$F$11:$N$1999,3,FALSE))</f>
        <v/>
      </c>
      <c r="E286" s="36" t="str">
        <f>IF($B286="","",VLOOKUP($B286,QUEUE!$F$11:$N$1999,4,FALSE))</f>
        <v/>
      </c>
      <c r="F286" s="36" t="str">
        <f>IF($B286="","",VLOOKUP($B286,QUEUE!$F$11:$N$1999,5,FALSE))</f>
        <v/>
      </c>
      <c r="G286" s="36" t="str">
        <f>IF($B286="","",VLOOKUP($B286,QUEUE!$F$11:$N$1999,6,FALSE))</f>
        <v/>
      </c>
      <c r="H286" s="76" t="str">
        <f>IF($B286="","",IF(VLOOKUP($B286,QUEUE!$F$11:$N$1999,8,FALSE)=0,"",VLOOKUP($B286,QUEUE!$F$11:$N$1999,8,FALSE)))</f>
        <v/>
      </c>
      <c r="I286" s="72" t="str">
        <f>IFERROR(IF($B286="","",VLOOKUP($B286,QUEUE!$F$11:$N$1999,9,FALSE)),"")</f>
        <v/>
      </c>
    </row>
    <row r="287" spans="2:9" ht="30" x14ac:dyDescent="0.4">
      <c r="C287" s="35" t="str">
        <f>IF($B287="","",VLOOKUP($B287,QUEUE!$F$11:$N$1999,2,FALSE))</f>
        <v/>
      </c>
      <c r="D287" s="39" t="str">
        <f>IF($B287="","",VLOOKUP($B287,QUEUE!$F$11:$N$1999,3,FALSE))</f>
        <v/>
      </c>
      <c r="E287" s="35" t="str">
        <f>IF($B287="","",VLOOKUP($B287,QUEUE!$F$11:$N$1999,4,FALSE))</f>
        <v/>
      </c>
      <c r="F287" s="35" t="str">
        <f>IF($B287="","",VLOOKUP($B287,QUEUE!$F$11:$N$1999,5,FALSE))</f>
        <v/>
      </c>
      <c r="G287" s="35" t="str">
        <f>IF($B287="","",VLOOKUP($B287,QUEUE!$F$11:$N$1999,6,FALSE))</f>
        <v/>
      </c>
      <c r="H287" s="75" t="str">
        <f>IF($B287="","",IF(VLOOKUP($B287,QUEUE!$F$11:$N$1999,8,FALSE)=0,"",VLOOKUP($B287,QUEUE!$F$11:$N$1999,8,FALSE)))</f>
        <v/>
      </c>
      <c r="I287" s="67" t="str">
        <f>IFERROR(IF($B287="","",VLOOKUP($B287,QUEUE!$F$11:$N$1999,9,FALSE)),"")</f>
        <v/>
      </c>
    </row>
    <row r="288" spans="2:9" ht="30" x14ac:dyDescent="0.4">
      <c r="B288" s="36"/>
      <c r="C288" s="36" t="str">
        <f>IF($B288="","",VLOOKUP($B288,QUEUE!$F$11:$N$1999,2,FALSE))</f>
        <v/>
      </c>
      <c r="D288" s="40" t="str">
        <f>IF($B288="","",VLOOKUP($B288,QUEUE!$F$11:$N$1999,3,FALSE))</f>
        <v/>
      </c>
      <c r="E288" s="36" t="str">
        <f>IF($B288="","",VLOOKUP($B288,QUEUE!$F$11:$N$1999,4,FALSE))</f>
        <v/>
      </c>
      <c r="F288" s="36" t="str">
        <f>IF($B288="","",VLOOKUP($B288,QUEUE!$F$11:$N$1999,5,FALSE))</f>
        <v/>
      </c>
      <c r="G288" s="36" t="str">
        <f>IF($B288="","",VLOOKUP($B288,QUEUE!$F$11:$N$1999,6,FALSE))</f>
        <v/>
      </c>
      <c r="H288" s="76" t="str">
        <f>IF($B288="","",IF(VLOOKUP($B288,QUEUE!$F$11:$N$1999,8,FALSE)=0,"",VLOOKUP($B288,QUEUE!$F$11:$N$1999,8,FALSE)))</f>
        <v/>
      </c>
      <c r="I288" s="72" t="str">
        <f>IFERROR(IF($B288="","",VLOOKUP($B288,QUEUE!$F$11:$N$1999,9,FALSE)),"")</f>
        <v/>
      </c>
    </row>
    <row r="289" spans="2:9" ht="30" x14ac:dyDescent="0.4">
      <c r="C289" s="35" t="str">
        <f>IF($B289="","",VLOOKUP($B289,QUEUE!$F$11:$N$1999,2,FALSE))</f>
        <v/>
      </c>
      <c r="D289" s="39" t="str">
        <f>IF($B289="","",VLOOKUP($B289,QUEUE!$F$11:$N$1999,3,FALSE))</f>
        <v/>
      </c>
      <c r="E289" s="35" t="str">
        <f>IF($B289="","",VLOOKUP($B289,QUEUE!$F$11:$N$1999,4,FALSE))</f>
        <v/>
      </c>
      <c r="F289" s="35" t="str">
        <f>IF($B289="","",VLOOKUP($B289,QUEUE!$F$11:$N$1999,5,FALSE))</f>
        <v/>
      </c>
      <c r="G289" s="35" t="str">
        <f>IF($B289="","",VLOOKUP($B289,QUEUE!$F$11:$N$1999,6,FALSE))</f>
        <v/>
      </c>
      <c r="H289" s="75" t="str">
        <f>IF($B289="","",IF(VLOOKUP($B289,QUEUE!$F$11:$N$1999,8,FALSE)=0,"",VLOOKUP($B289,QUEUE!$F$11:$N$1999,8,FALSE)))</f>
        <v/>
      </c>
      <c r="I289" s="67" t="str">
        <f>IFERROR(IF($B289="","",VLOOKUP($B289,QUEUE!$F$11:$N$1999,9,FALSE)),"")</f>
        <v/>
      </c>
    </row>
    <row r="290" spans="2:9" ht="30" x14ac:dyDescent="0.4">
      <c r="B290" s="36"/>
      <c r="C290" s="36" t="str">
        <f>IF($B290="","",VLOOKUP($B290,QUEUE!$F$11:$N$1999,2,FALSE))</f>
        <v/>
      </c>
      <c r="D290" s="40" t="str">
        <f>IF($B290="","",VLOOKUP($B290,QUEUE!$F$11:$N$1999,3,FALSE))</f>
        <v/>
      </c>
      <c r="E290" s="36" t="str">
        <f>IF($B290="","",VLOOKUP($B290,QUEUE!$F$11:$N$1999,4,FALSE))</f>
        <v/>
      </c>
      <c r="F290" s="36" t="str">
        <f>IF($B290="","",VLOOKUP($B290,QUEUE!$F$11:$N$1999,5,FALSE))</f>
        <v/>
      </c>
      <c r="G290" s="36" t="str">
        <f>IF($B290="","",VLOOKUP($B290,QUEUE!$F$11:$N$1999,6,FALSE))</f>
        <v/>
      </c>
      <c r="H290" s="76" t="str">
        <f>IF($B290="","",IF(VLOOKUP($B290,QUEUE!$F$11:$N$1999,8,FALSE)=0,"",VLOOKUP($B290,QUEUE!$F$11:$N$1999,8,FALSE)))</f>
        <v/>
      </c>
      <c r="I290" s="72" t="str">
        <f>IFERROR(IF($B290="","",VLOOKUP($B290,QUEUE!$F$11:$N$1999,9,FALSE)),"")</f>
        <v/>
      </c>
    </row>
    <row r="291" spans="2:9" ht="30" x14ac:dyDescent="0.4">
      <c r="C291" s="35" t="str">
        <f>IF($B291="","",VLOOKUP($B291,QUEUE!$F$11:$N$1999,2,FALSE))</f>
        <v/>
      </c>
      <c r="D291" s="39" t="str">
        <f>IF($B291="","",VLOOKUP($B291,QUEUE!$F$11:$N$1999,3,FALSE))</f>
        <v/>
      </c>
      <c r="E291" s="35" t="str">
        <f>IF($B291="","",VLOOKUP($B291,QUEUE!$F$11:$N$1999,4,FALSE))</f>
        <v/>
      </c>
      <c r="F291" s="35" t="str">
        <f>IF($B291="","",VLOOKUP($B291,QUEUE!$F$11:$N$1999,5,FALSE))</f>
        <v/>
      </c>
      <c r="G291" s="35" t="str">
        <f>IF($B291="","",VLOOKUP($B291,QUEUE!$F$11:$N$1999,6,FALSE))</f>
        <v/>
      </c>
      <c r="H291" s="75" t="str">
        <f>IF($B291="","",IF(VLOOKUP($B291,QUEUE!$F$11:$N$1999,8,FALSE)=0,"",VLOOKUP($B291,QUEUE!$F$11:$N$1999,8,FALSE)))</f>
        <v/>
      </c>
      <c r="I291" s="67" t="str">
        <f>IFERROR(IF($B291="","",VLOOKUP($B291,QUEUE!$F$11:$N$1999,9,FALSE)),"")</f>
        <v/>
      </c>
    </row>
    <row r="292" spans="2:9" ht="30" x14ac:dyDescent="0.4">
      <c r="B292" s="36"/>
      <c r="C292" s="36" t="str">
        <f>IF($B292="","",VLOOKUP($B292,QUEUE!$F$11:$N$1999,2,FALSE))</f>
        <v/>
      </c>
      <c r="D292" s="40" t="str">
        <f>IF($B292="","",VLOOKUP($B292,QUEUE!$F$11:$N$1999,3,FALSE))</f>
        <v/>
      </c>
      <c r="E292" s="36" t="str">
        <f>IF($B292="","",VLOOKUP($B292,QUEUE!$F$11:$N$1999,4,FALSE))</f>
        <v/>
      </c>
      <c r="F292" s="36" t="str">
        <f>IF($B292="","",VLOOKUP($B292,QUEUE!$F$11:$N$1999,5,FALSE))</f>
        <v/>
      </c>
      <c r="G292" s="36" t="str">
        <f>IF($B292="","",VLOOKUP($B292,QUEUE!$F$11:$N$1999,6,FALSE))</f>
        <v/>
      </c>
      <c r="H292" s="76" t="str">
        <f>IF($B292="","",IF(VLOOKUP($B292,QUEUE!$F$11:$N$1999,8,FALSE)=0,"",VLOOKUP($B292,QUEUE!$F$11:$N$1999,8,FALSE)))</f>
        <v/>
      </c>
      <c r="I292" s="72" t="str">
        <f>IFERROR(IF($B292="","",VLOOKUP($B292,QUEUE!$F$11:$N$1999,9,FALSE)),"")</f>
        <v/>
      </c>
    </row>
    <row r="293" spans="2:9" ht="30" x14ac:dyDescent="0.4">
      <c r="C293" s="35" t="str">
        <f>IF($B293="","",VLOOKUP($B293,QUEUE!$F$11:$N$1999,2,FALSE))</f>
        <v/>
      </c>
      <c r="D293" s="39" t="str">
        <f>IF($B293="","",VLOOKUP($B293,QUEUE!$F$11:$N$1999,3,FALSE))</f>
        <v/>
      </c>
      <c r="E293" s="35" t="str">
        <f>IF($B293="","",VLOOKUP($B293,QUEUE!$F$11:$N$1999,4,FALSE))</f>
        <v/>
      </c>
      <c r="F293" s="35" t="str">
        <f>IF($B293="","",VLOOKUP($B293,QUEUE!$F$11:$N$1999,5,FALSE))</f>
        <v/>
      </c>
      <c r="G293" s="35" t="str">
        <f>IF($B293="","",VLOOKUP($B293,QUEUE!$F$11:$N$1999,6,FALSE))</f>
        <v/>
      </c>
      <c r="H293" s="75" t="str">
        <f>IF($B293="","",IF(VLOOKUP($B293,QUEUE!$F$11:$N$1999,8,FALSE)=0,"",VLOOKUP($B293,QUEUE!$F$11:$N$1999,8,FALSE)))</f>
        <v/>
      </c>
      <c r="I293" s="67" t="str">
        <f>IFERROR(IF($B293="","",VLOOKUP($B293,QUEUE!$F$11:$N$1999,9,FALSE)),"")</f>
        <v/>
      </c>
    </row>
    <row r="294" spans="2:9" ht="30" x14ac:dyDescent="0.4">
      <c r="B294" s="36"/>
      <c r="C294" s="36" t="str">
        <f>IF($B294="","",VLOOKUP($B294,QUEUE!$F$11:$N$1999,2,FALSE))</f>
        <v/>
      </c>
      <c r="D294" s="40" t="str">
        <f>IF($B294="","",VLOOKUP($B294,QUEUE!$F$11:$N$1999,3,FALSE))</f>
        <v/>
      </c>
      <c r="E294" s="36" t="str">
        <f>IF($B294="","",VLOOKUP($B294,QUEUE!$F$11:$N$1999,4,FALSE))</f>
        <v/>
      </c>
      <c r="F294" s="36" t="str">
        <f>IF($B294="","",VLOOKUP($B294,QUEUE!$F$11:$N$1999,5,FALSE))</f>
        <v/>
      </c>
      <c r="G294" s="36" t="str">
        <f>IF($B294="","",VLOOKUP($B294,QUEUE!$F$11:$N$1999,6,FALSE))</f>
        <v/>
      </c>
      <c r="H294" s="76" t="str">
        <f>IF($B294="","",IF(VLOOKUP($B294,QUEUE!$F$11:$N$1999,8,FALSE)=0,"",VLOOKUP($B294,QUEUE!$F$11:$N$1999,8,FALSE)))</f>
        <v/>
      </c>
      <c r="I294" s="72" t="str">
        <f>IFERROR(IF($B294="","",VLOOKUP($B294,QUEUE!$F$11:$N$1999,9,FALSE)),"")</f>
        <v/>
      </c>
    </row>
    <row r="295" spans="2:9" ht="30" x14ac:dyDescent="0.4">
      <c r="C295" s="35" t="str">
        <f>IF($B295="","",VLOOKUP($B295,QUEUE!$F$11:$N$1999,2,FALSE))</f>
        <v/>
      </c>
      <c r="D295" s="39" t="str">
        <f>IF($B295="","",VLOOKUP($B295,QUEUE!$F$11:$N$1999,3,FALSE))</f>
        <v/>
      </c>
      <c r="E295" s="35" t="str">
        <f>IF($B295="","",VLOOKUP($B295,QUEUE!$F$11:$N$1999,4,FALSE))</f>
        <v/>
      </c>
      <c r="F295" s="35" t="str">
        <f>IF($B295="","",VLOOKUP($B295,QUEUE!$F$11:$N$1999,5,FALSE))</f>
        <v/>
      </c>
      <c r="G295" s="35" t="str">
        <f>IF($B295="","",VLOOKUP($B295,QUEUE!$F$11:$N$1999,6,FALSE))</f>
        <v/>
      </c>
      <c r="H295" s="75" t="str">
        <f>IF($B295="","",IF(VLOOKUP($B295,QUEUE!$F$11:$N$1999,8,FALSE)=0,"",VLOOKUP($B295,QUEUE!$F$11:$N$1999,8,FALSE)))</f>
        <v/>
      </c>
      <c r="I295" s="67" t="str">
        <f>IFERROR(IF($B295="","",VLOOKUP($B295,QUEUE!$F$11:$N$1999,9,FALSE)),"")</f>
        <v/>
      </c>
    </row>
    <row r="296" spans="2:9" ht="30" x14ac:dyDescent="0.4">
      <c r="B296" s="36"/>
      <c r="C296" s="36" t="str">
        <f>IF($B296="","",VLOOKUP($B296,QUEUE!$F$11:$N$1999,2,FALSE))</f>
        <v/>
      </c>
      <c r="D296" s="40" t="str">
        <f>IF($B296="","",VLOOKUP($B296,QUEUE!$F$11:$N$1999,3,FALSE))</f>
        <v/>
      </c>
      <c r="E296" s="36" t="str">
        <f>IF($B296="","",VLOOKUP($B296,QUEUE!$F$11:$N$1999,4,FALSE))</f>
        <v/>
      </c>
      <c r="F296" s="36" t="str">
        <f>IF($B296="","",VLOOKUP($B296,QUEUE!$F$11:$N$1999,5,FALSE))</f>
        <v/>
      </c>
      <c r="G296" s="36" t="str">
        <f>IF($B296="","",VLOOKUP($B296,QUEUE!$F$11:$N$1999,6,FALSE))</f>
        <v/>
      </c>
      <c r="H296" s="76" t="str">
        <f>IF($B296="","",IF(VLOOKUP($B296,QUEUE!$F$11:$N$1999,8,FALSE)=0,"",VLOOKUP($B296,QUEUE!$F$11:$N$1999,8,FALSE)))</f>
        <v/>
      </c>
      <c r="I296" s="72" t="str">
        <f>IFERROR(IF($B296="","",VLOOKUP($B296,QUEUE!$F$11:$N$1999,9,FALSE)),"")</f>
        <v/>
      </c>
    </row>
    <row r="297" spans="2:9" ht="30" x14ac:dyDescent="0.4">
      <c r="C297" s="35" t="str">
        <f>IF($B297="","",VLOOKUP($B297,QUEUE!$F$11:$N$1999,2,FALSE))</f>
        <v/>
      </c>
      <c r="D297" s="39" t="str">
        <f>IF($B297="","",VLOOKUP($B297,QUEUE!$F$11:$N$1999,3,FALSE))</f>
        <v/>
      </c>
      <c r="E297" s="35" t="str">
        <f>IF($B297="","",VLOOKUP($B297,QUEUE!$F$11:$N$1999,4,FALSE))</f>
        <v/>
      </c>
      <c r="F297" s="35" t="str">
        <f>IF($B297="","",VLOOKUP($B297,QUEUE!$F$11:$N$1999,5,FALSE))</f>
        <v/>
      </c>
      <c r="G297" s="35" t="str">
        <f>IF($B297="","",VLOOKUP($B297,QUEUE!$F$11:$N$1999,6,FALSE))</f>
        <v/>
      </c>
      <c r="H297" s="75" t="str">
        <f>IF($B297="","",IF(VLOOKUP($B297,QUEUE!$F$11:$N$1999,8,FALSE)=0,"",VLOOKUP($B297,QUEUE!$F$11:$N$1999,8,FALSE)))</f>
        <v/>
      </c>
      <c r="I297" s="67" t="str">
        <f>IFERROR(IF($B297="","",VLOOKUP($B297,QUEUE!$F$11:$N$1999,9,FALSE)),"")</f>
        <v/>
      </c>
    </row>
    <row r="298" spans="2:9" ht="30" x14ac:dyDescent="0.4">
      <c r="B298" s="36"/>
      <c r="C298" s="36" t="str">
        <f>IF($B298="","",VLOOKUP($B298,QUEUE!$F$11:$N$1999,2,FALSE))</f>
        <v/>
      </c>
      <c r="D298" s="40" t="str">
        <f>IF($B298="","",VLOOKUP($B298,QUEUE!$F$11:$N$1999,3,FALSE))</f>
        <v/>
      </c>
      <c r="E298" s="36" t="str">
        <f>IF($B298="","",VLOOKUP($B298,QUEUE!$F$11:$N$1999,4,FALSE))</f>
        <v/>
      </c>
      <c r="F298" s="36" t="str">
        <f>IF($B298="","",VLOOKUP($B298,QUEUE!$F$11:$N$1999,5,FALSE))</f>
        <v/>
      </c>
      <c r="G298" s="36" t="str">
        <f>IF($B298="","",VLOOKUP($B298,QUEUE!$F$11:$N$1999,6,FALSE))</f>
        <v/>
      </c>
      <c r="H298" s="76" t="str">
        <f>IF($B298="","",IF(VLOOKUP($B298,QUEUE!$F$11:$N$1999,8,FALSE)=0,"",VLOOKUP($B298,QUEUE!$F$11:$N$1999,8,FALSE)))</f>
        <v/>
      </c>
      <c r="I298" s="72" t="str">
        <f>IFERROR(IF($B298="","",VLOOKUP($B298,QUEUE!$F$11:$N$1999,9,FALSE)),"")</f>
        <v/>
      </c>
    </row>
    <row r="299" spans="2:9" ht="30" x14ac:dyDescent="0.4">
      <c r="C299" s="35" t="str">
        <f>IF($B299="","",VLOOKUP($B299,QUEUE!$F$11:$N$1999,2,FALSE))</f>
        <v/>
      </c>
      <c r="D299" s="39" t="str">
        <f>IF($B299="","",VLOOKUP($B299,QUEUE!$F$11:$N$1999,3,FALSE))</f>
        <v/>
      </c>
      <c r="E299" s="35" t="str">
        <f>IF($B299="","",VLOOKUP($B299,QUEUE!$F$11:$N$1999,4,FALSE))</f>
        <v/>
      </c>
      <c r="F299" s="35" t="str">
        <f>IF($B299="","",VLOOKUP($B299,QUEUE!$F$11:$N$1999,5,FALSE))</f>
        <v/>
      </c>
      <c r="G299" s="35" t="str">
        <f>IF($B299="","",VLOOKUP($B299,QUEUE!$F$11:$N$1999,6,FALSE))</f>
        <v/>
      </c>
      <c r="H299" s="75" t="str">
        <f>IF($B299="","",IF(VLOOKUP($B299,QUEUE!$F$11:$N$1999,8,FALSE)=0,"",VLOOKUP($B299,QUEUE!$F$11:$N$1999,8,FALSE)))</f>
        <v/>
      </c>
      <c r="I299" s="67" t="str">
        <f>IFERROR(IF($B299="","",VLOOKUP($B299,QUEUE!$F$11:$N$1999,9,FALSE)),"")</f>
        <v/>
      </c>
    </row>
    <row r="300" spans="2:9" ht="30" x14ac:dyDescent="0.4">
      <c r="B300" s="36"/>
      <c r="C300" s="36" t="str">
        <f>IF($B300="","",VLOOKUP($B300,QUEUE!$F$11:$N$1999,2,FALSE))</f>
        <v/>
      </c>
      <c r="D300" s="40" t="str">
        <f>IF($B300="","",VLOOKUP($B300,QUEUE!$F$11:$N$1999,3,FALSE))</f>
        <v/>
      </c>
      <c r="E300" s="36" t="str">
        <f>IF($B300="","",VLOOKUP($B300,QUEUE!$F$11:$N$1999,4,FALSE))</f>
        <v/>
      </c>
      <c r="F300" s="36" t="str">
        <f>IF($B300="","",VLOOKUP($B300,QUEUE!$F$11:$N$1999,5,FALSE))</f>
        <v/>
      </c>
      <c r="G300" s="36" t="str">
        <f>IF($B300="","",VLOOKUP($B300,QUEUE!$F$11:$N$1999,6,FALSE))</f>
        <v/>
      </c>
      <c r="H300" s="76" t="str">
        <f>IF($B300="","",IF(VLOOKUP($B300,QUEUE!$F$11:$N$1999,8,FALSE)=0,"",VLOOKUP($B300,QUEUE!$F$11:$N$1999,8,FALSE)))</f>
        <v/>
      </c>
      <c r="I300" s="72" t="str">
        <f>IFERROR(IF($B300="","",VLOOKUP($B300,QUEUE!$F$11:$N$1999,9,FALSE)),"")</f>
        <v/>
      </c>
    </row>
    <row r="301" spans="2:9" x14ac:dyDescent="0.3">
      <c r="C301" s="37" t="s">
        <v>34</v>
      </c>
    </row>
  </sheetData>
  <mergeCells count="11">
    <mergeCell ref="B1:I1"/>
    <mergeCell ref="B2:D2"/>
    <mergeCell ref="E2:F2"/>
    <mergeCell ref="I3:I4"/>
    <mergeCell ref="B3:B4"/>
    <mergeCell ref="C3:C4"/>
    <mergeCell ref="D3:D4"/>
    <mergeCell ref="E3:E4"/>
    <mergeCell ref="F3:F4"/>
    <mergeCell ref="G3:G4"/>
    <mergeCell ref="G2:I2"/>
  </mergeCells>
  <conditionalFormatting sqref="I2:I1048576">
    <cfRule type="cellIs" dxfId="1" priority="2" operator="equal">
      <formula>"ปกติ"</formula>
    </cfRule>
    <cfRule type="cellIs" dxfId="0" priority="1" operator="equal">
      <formula>"รอยืนยัน"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st">
                <anchor moveWithCells="1" sizeWithCells="1">
                  <from>
                    <xdr:col>9</xdr:col>
                    <xdr:colOff>85725</xdr:colOff>
                    <xdr:row>0</xdr:row>
                    <xdr:rowOff>1485900</xdr:rowOff>
                  </from>
                  <to>
                    <xdr:col>10</xdr:col>
                    <xdr:colOff>180975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st">
                <anchor moveWithCells="1" sizeWithCells="1">
                  <from>
                    <xdr:col>9</xdr:col>
                    <xdr:colOff>85725</xdr:colOff>
                    <xdr:row>1</xdr:row>
                    <xdr:rowOff>314325</xdr:rowOff>
                  </from>
                  <to>
                    <xdr:col>10</xdr:col>
                    <xdr:colOff>180975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1000"/>
  <sheetViews>
    <sheetView topLeftCell="F2" workbookViewId="0">
      <selection activeCell="F11" sqref="F11:L100"/>
    </sheetView>
  </sheetViews>
  <sheetFormatPr defaultColWidth="9" defaultRowHeight="22.5" x14ac:dyDescent="0.3"/>
  <cols>
    <col min="1" max="5" width="16.375" style="1" hidden="1" customWidth="1"/>
    <col min="6" max="8" width="16.375" style="1" customWidth="1"/>
    <col min="9" max="9" width="15.625" style="1" customWidth="1"/>
    <col min="10" max="10" width="13.875" style="1" customWidth="1"/>
    <col min="11" max="11" width="17.375" style="1" customWidth="1"/>
    <col min="12" max="12" width="17.375" style="49" customWidth="1"/>
    <col min="13" max="13" width="17" style="54" customWidth="1"/>
    <col min="14" max="14" width="26.125" style="28" customWidth="1"/>
    <col min="15" max="17" width="9" style="1"/>
    <col min="18" max="18" width="13.875" style="42" bestFit="1" customWidth="1"/>
    <col min="19" max="16384" width="9" style="1"/>
  </cols>
  <sheetData>
    <row r="1" spans="6:22" hidden="1" x14ac:dyDescent="0.3">
      <c r="M1" s="50"/>
      <c r="N1" s="31"/>
    </row>
    <row r="2" spans="6:22" ht="35.25" thickBot="1" x14ac:dyDescent="0.5">
      <c r="F2" s="2" t="s">
        <v>0</v>
      </c>
      <c r="G2" s="3"/>
      <c r="H2" s="3"/>
      <c r="I2" s="3"/>
      <c r="J2" s="3"/>
      <c r="K2" s="4"/>
      <c r="L2" s="43"/>
      <c r="M2" s="59" t="s">
        <v>37</v>
      </c>
      <c r="N2" s="60">
        <f ca="1">NOW()</f>
        <v>43146.704823263892</v>
      </c>
    </row>
    <row r="3" spans="6:22" ht="45" x14ac:dyDescent="0.3">
      <c r="F3" s="5">
        <f>COUNTA(G:G)+2</f>
        <v>97</v>
      </c>
      <c r="G3" s="6"/>
      <c r="H3" s="6"/>
      <c r="I3" s="7"/>
      <c r="J3" s="8"/>
      <c r="K3" s="9"/>
      <c r="L3" s="44" t="s">
        <v>36</v>
      </c>
      <c r="M3" s="51"/>
      <c r="N3" s="27"/>
    </row>
    <row r="4" spans="6:22" ht="23.25" thickBot="1" x14ac:dyDescent="0.35">
      <c r="F4" s="10" t="s">
        <v>1</v>
      </c>
      <c r="G4" s="11" t="s">
        <v>2</v>
      </c>
      <c r="H4" s="11" t="s">
        <v>3</v>
      </c>
      <c r="I4" s="12" t="s">
        <v>4</v>
      </c>
      <c r="J4" s="13" t="s">
        <v>5</v>
      </c>
      <c r="K4" s="14" t="s">
        <v>6</v>
      </c>
      <c r="L4" s="45" t="s">
        <v>7</v>
      </c>
      <c r="M4" s="52" t="s">
        <v>31</v>
      </c>
      <c r="N4" s="32" t="s">
        <v>32</v>
      </c>
    </row>
    <row r="5" spans="6:22" x14ac:dyDescent="0.3">
      <c r="F5" s="15" t="s">
        <v>8</v>
      </c>
      <c r="G5" s="16"/>
      <c r="H5" s="16"/>
      <c r="I5" s="16"/>
      <c r="J5" s="17"/>
      <c r="K5" s="18"/>
      <c r="L5" s="46"/>
      <c r="M5" s="53"/>
      <c r="N5" s="30"/>
    </row>
    <row r="6" spans="6:22" x14ac:dyDescent="0.3">
      <c r="F6" s="15"/>
      <c r="G6" s="24" t="s">
        <v>27</v>
      </c>
      <c r="H6" s="16" t="s">
        <v>30</v>
      </c>
      <c r="I6" s="16"/>
      <c r="J6" s="17"/>
      <c r="K6" s="18"/>
      <c r="L6" s="46"/>
      <c r="U6" s="85"/>
      <c r="V6" s="86"/>
    </row>
    <row r="7" spans="6:22" x14ac:dyDescent="0.3">
      <c r="F7" s="15"/>
      <c r="G7" s="24" t="s">
        <v>28</v>
      </c>
      <c r="H7" s="16" t="s">
        <v>40</v>
      </c>
      <c r="I7" s="16"/>
      <c r="J7" s="17"/>
      <c r="K7" s="18"/>
      <c r="L7" s="46"/>
      <c r="S7" s="56"/>
      <c r="T7" s="56"/>
      <c r="U7" s="56"/>
      <c r="V7" s="56"/>
    </row>
    <row r="8" spans="6:22" x14ac:dyDescent="0.3">
      <c r="F8" s="15"/>
      <c r="G8" s="24" t="s">
        <v>29</v>
      </c>
      <c r="H8" s="41" t="s">
        <v>41</v>
      </c>
      <c r="I8" s="16"/>
      <c r="J8" s="17"/>
      <c r="K8" s="18"/>
      <c r="L8" s="46"/>
      <c r="O8" s="19"/>
      <c r="Q8" s="56"/>
      <c r="S8" s="55"/>
      <c r="T8" s="55"/>
    </row>
    <row r="9" spans="6:22" x14ac:dyDescent="0.3">
      <c r="F9" s="15" t="s">
        <v>8</v>
      </c>
      <c r="G9" s="16">
        <v>2</v>
      </c>
      <c r="H9" s="16">
        <v>3</v>
      </c>
      <c r="I9" s="16">
        <v>4</v>
      </c>
      <c r="J9" s="16">
        <v>5</v>
      </c>
      <c r="K9" s="16">
        <v>6</v>
      </c>
      <c r="L9" s="57">
        <v>7</v>
      </c>
      <c r="M9" s="58">
        <v>8</v>
      </c>
      <c r="N9" s="29">
        <v>9</v>
      </c>
      <c r="Q9" s="56"/>
      <c r="R9" s="61"/>
      <c r="S9" s="55"/>
      <c r="T9" s="55"/>
    </row>
    <row r="10" spans="6:22" x14ac:dyDescent="0.3">
      <c r="F10" s="15" t="s">
        <v>8</v>
      </c>
      <c r="G10" s="16"/>
      <c r="H10" s="16"/>
      <c r="I10" s="16"/>
      <c r="J10" s="17"/>
      <c r="K10" s="18"/>
      <c r="L10" s="46"/>
    </row>
    <row r="11" spans="6:22" x14ac:dyDescent="0.3">
      <c r="F11" s="20">
        <v>1711040</v>
      </c>
      <c r="G11" s="21" t="s">
        <v>42</v>
      </c>
      <c r="H11" s="21" t="s">
        <v>43</v>
      </c>
      <c r="I11" s="21" t="s">
        <v>44</v>
      </c>
      <c r="J11" s="22" t="s">
        <v>14</v>
      </c>
      <c r="K11" s="25" t="s">
        <v>21</v>
      </c>
      <c r="L11" s="47"/>
      <c r="M11" s="54" t="str">
        <f>IF(K11="สมบูรณ์","",IF(K11="รอส่ง","",IF(L11="","แจ้งภายหลัง",IF(K11="ส่งมอบ","",L11))))</f>
        <v/>
      </c>
      <c r="N11" s="62" t="str">
        <f>IF(K11="ส่งมอบ","เสร็จสิ้น",(IF(L11="","รอยืนยัน",IF(OR(AND(HOUR(M11)=HOUR($N$2),MINUTE(M11)&gt;MINUTE($N$2)),HOUR(M11)&gt;HOUR($N$2)),"ปกติ","ล่าช้า "&amp;HOUR($N$2-M11)&amp;" ชม."&amp;MINUTE($N$2-M11)&amp;" นาที"))))</f>
        <v>รอยืนยัน</v>
      </c>
      <c r="P11" s="55"/>
    </row>
    <row r="12" spans="6:22" x14ac:dyDescent="0.3">
      <c r="F12" s="20">
        <v>1711025</v>
      </c>
      <c r="G12" s="21" t="s">
        <v>11</v>
      </c>
      <c r="H12" s="21" t="s">
        <v>45</v>
      </c>
      <c r="I12" s="21" t="s">
        <v>46</v>
      </c>
      <c r="J12" s="22" t="s">
        <v>14</v>
      </c>
      <c r="K12" s="23" t="s">
        <v>21</v>
      </c>
      <c r="L12" s="47"/>
      <c r="M12" s="54" t="str">
        <f t="shared" ref="M12:M13" si="0">IF(K12="สมบูรณ์","",IF(K12="รอส่ง","",IF(L12="","แจ้งภายหลัง",IF(K12="ส่งมอบ","",L12))))</f>
        <v/>
      </c>
      <c r="N12" s="62" t="str">
        <f t="shared" ref="N12:N13" si="1">IF(K12="ส่งมอบ","เสร็จสิ้น",(IF(L12="","รอยืนยัน",IF(OR(AND(HOUR(M12)=HOUR($N$2),MINUTE(M12)&gt;MINUTE($N$2)),HOUR(M12)&gt;HOUR($N$2)),"ปกติ","ล่าช้า "&amp;HOUR($N$2-M12)&amp;" ชม."&amp;MINUTE($N$2-M12)&amp;" นาที"))))</f>
        <v>รอยืนยัน</v>
      </c>
      <c r="R12" s="55"/>
    </row>
    <row r="13" spans="6:22" x14ac:dyDescent="0.3">
      <c r="F13" s="20">
        <v>1801035</v>
      </c>
      <c r="G13" s="21" t="s">
        <v>11</v>
      </c>
      <c r="H13" s="21" t="s">
        <v>19</v>
      </c>
      <c r="I13" s="21" t="s">
        <v>52</v>
      </c>
      <c r="J13" s="22" t="s">
        <v>14</v>
      </c>
      <c r="K13" s="23" t="s">
        <v>21</v>
      </c>
      <c r="L13" s="47"/>
      <c r="M13" s="54" t="str">
        <f t="shared" si="0"/>
        <v/>
      </c>
      <c r="N13" s="62" t="str">
        <f t="shared" si="1"/>
        <v>รอยืนยัน</v>
      </c>
      <c r="O13" s="26"/>
    </row>
    <row r="14" spans="6:22" x14ac:dyDescent="0.3">
      <c r="F14" s="20">
        <v>1711029</v>
      </c>
      <c r="G14" s="21" t="s">
        <v>11</v>
      </c>
      <c r="H14" s="21" t="s">
        <v>19</v>
      </c>
      <c r="I14" s="21" t="s">
        <v>53</v>
      </c>
      <c r="J14" s="22" t="s">
        <v>12</v>
      </c>
      <c r="K14" s="23" t="s">
        <v>21</v>
      </c>
      <c r="L14" s="47"/>
      <c r="M14" s="54" t="str">
        <f t="shared" ref="M14:M50" si="2">IF(K14="สมบูรณ์","",IF(K14="รอส่ง","",IF(L14="","แจ้งภายหลัง",IF(K14="ส่งมอบ","",L14))))</f>
        <v/>
      </c>
      <c r="N14" s="62" t="str">
        <f t="shared" ref="N14:N50" si="3">IF(K14="ส่งมอบ","เสร็จสิ้น",(IF(L14="","รอยืนยัน",IF(OR(AND(HOUR(M14)=HOUR($N$2),MINUTE(M14)&gt;MINUTE($N$2)),HOUR(M14)&gt;HOUR($N$2)),"ปกติ","ล่าช้า "&amp;HOUR($N$2-M14)&amp;" ชม."&amp;MINUTE($N$2-M14)&amp;" นาที"))))</f>
        <v>รอยืนยัน</v>
      </c>
    </row>
    <row r="15" spans="6:22" x14ac:dyDescent="0.3">
      <c r="F15" s="20">
        <v>1801072</v>
      </c>
      <c r="G15" s="21" t="s">
        <v>9</v>
      </c>
      <c r="H15" s="21" t="s">
        <v>13</v>
      </c>
      <c r="I15" s="21" t="s">
        <v>47</v>
      </c>
      <c r="J15" s="22" t="s">
        <v>20</v>
      </c>
      <c r="K15" s="23" t="s">
        <v>21</v>
      </c>
      <c r="L15" s="47"/>
      <c r="M15" s="54" t="str">
        <f t="shared" si="2"/>
        <v/>
      </c>
      <c r="N15" s="62" t="str">
        <f t="shared" si="3"/>
        <v>รอยืนยัน</v>
      </c>
    </row>
    <row r="16" spans="6:22" x14ac:dyDescent="0.3">
      <c r="F16" s="20">
        <v>1801006</v>
      </c>
      <c r="G16" s="21" t="s">
        <v>9</v>
      </c>
      <c r="H16" s="21" t="s">
        <v>57</v>
      </c>
      <c r="I16" s="21" t="s">
        <v>58</v>
      </c>
      <c r="J16" s="22" t="s">
        <v>20</v>
      </c>
      <c r="K16" s="23" t="s">
        <v>21</v>
      </c>
      <c r="L16" s="47"/>
      <c r="M16" s="54" t="str">
        <f t="shared" si="2"/>
        <v/>
      </c>
      <c r="N16" s="62" t="str">
        <f t="shared" si="3"/>
        <v>รอยืนยัน</v>
      </c>
    </row>
    <row r="17" spans="6:14" x14ac:dyDescent="0.3">
      <c r="F17" s="20">
        <v>1711021</v>
      </c>
      <c r="G17" s="21" t="s">
        <v>15</v>
      </c>
      <c r="H17" s="21" t="s">
        <v>49</v>
      </c>
      <c r="I17" s="21" t="s">
        <v>50</v>
      </c>
      <c r="J17" s="22" t="s">
        <v>17</v>
      </c>
      <c r="K17" s="23" t="s">
        <v>22</v>
      </c>
      <c r="L17" s="47">
        <v>0.6875</v>
      </c>
      <c r="M17" s="54">
        <f t="shared" si="2"/>
        <v>0.6875</v>
      </c>
      <c r="N17" s="62" t="str">
        <f t="shared" ca="1" si="3"/>
        <v>ล่าช้า 0 ชม.24 นาที</v>
      </c>
    </row>
    <row r="18" spans="6:14" x14ac:dyDescent="0.3">
      <c r="F18" s="20">
        <v>1712010</v>
      </c>
      <c r="G18" s="21" t="s">
        <v>9</v>
      </c>
      <c r="H18" s="21" t="s">
        <v>13</v>
      </c>
      <c r="I18" s="21" t="s">
        <v>51</v>
      </c>
      <c r="J18" s="22" t="s">
        <v>17</v>
      </c>
      <c r="K18" s="23" t="s">
        <v>22</v>
      </c>
      <c r="L18" s="47"/>
      <c r="M18" s="54" t="str">
        <f t="shared" si="2"/>
        <v>แจ้งภายหลัง</v>
      </c>
      <c r="N18" s="62" t="str">
        <f t="shared" si="3"/>
        <v>รอยืนยัน</v>
      </c>
    </row>
    <row r="19" spans="6:14" x14ac:dyDescent="0.3">
      <c r="F19" s="20">
        <v>1709082</v>
      </c>
      <c r="G19" s="21" t="s">
        <v>9</v>
      </c>
      <c r="H19" s="21" t="s">
        <v>59</v>
      </c>
      <c r="I19" s="21" t="s">
        <v>60</v>
      </c>
      <c r="J19" s="22" t="s">
        <v>14</v>
      </c>
      <c r="K19" s="23" t="s">
        <v>22</v>
      </c>
      <c r="L19" s="47"/>
      <c r="M19" s="54" t="str">
        <f t="shared" si="2"/>
        <v>แจ้งภายหลัง</v>
      </c>
      <c r="N19" s="62" t="str">
        <f t="shared" si="3"/>
        <v>รอยืนยัน</v>
      </c>
    </row>
    <row r="20" spans="6:14" x14ac:dyDescent="0.3">
      <c r="F20" s="20">
        <v>1801080</v>
      </c>
      <c r="G20" s="21" t="s">
        <v>48</v>
      </c>
      <c r="H20" s="21" t="s">
        <v>54</v>
      </c>
      <c r="I20" s="21" t="s">
        <v>55</v>
      </c>
      <c r="J20" s="22" t="s">
        <v>10</v>
      </c>
      <c r="K20" s="23" t="s">
        <v>22</v>
      </c>
      <c r="L20" s="47">
        <v>0.6875</v>
      </c>
      <c r="M20" s="54">
        <f t="shared" si="2"/>
        <v>0.6875</v>
      </c>
      <c r="N20" s="62" t="str">
        <f t="shared" ca="1" si="3"/>
        <v>ล่าช้า 0 ชม.24 นาที</v>
      </c>
    </row>
    <row r="21" spans="6:14" x14ac:dyDescent="0.3">
      <c r="F21" s="20">
        <v>1802009</v>
      </c>
      <c r="G21" s="21" t="s">
        <v>9</v>
      </c>
      <c r="H21" s="21" t="s">
        <v>39</v>
      </c>
      <c r="I21" s="21" t="s">
        <v>56</v>
      </c>
      <c r="J21" s="22" t="s">
        <v>12</v>
      </c>
      <c r="K21" s="23" t="s">
        <v>22</v>
      </c>
      <c r="L21" s="47">
        <v>0.66666666666666663</v>
      </c>
      <c r="M21" s="54">
        <f t="shared" si="2"/>
        <v>0.66666666666666663</v>
      </c>
      <c r="N21" s="62" t="str">
        <f t="shared" ca="1" si="3"/>
        <v>ล่าช้า 0 ชม.54 นาที</v>
      </c>
    </row>
    <row r="22" spans="6:14" x14ac:dyDescent="0.3">
      <c r="F22" s="20">
        <v>1712045</v>
      </c>
      <c r="G22" s="21" t="s">
        <v>9</v>
      </c>
      <c r="H22" s="21" t="s">
        <v>13</v>
      </c>
      <c r="I22" s="21" t="s">
        <v>61</v>
      </c>
      <c r="J22" s="22" t="s">
        <v>12</v>
      </c>
      <c r="K22" s="23" t="s">
        <v>22</v>
      </c>
      <c r="L22" s="47">
        <v>0.625</v>
      </c>
      <c r="M22" s="54">
        <f t="shared" si="2"/>
        <v>0.625</v>
      </c>
      <c r="N22" s="62" t="str">
        <f t="shared" ca="1" si="3"/>
        <v>ล่าช้า 1 ชม.54 นาที</v>
      </c>
    </row>
    <row r="23" spans="6:14" x14ac:dyDescent="0.3">
      <c r="F23" s="20">
        <v>1801060</v>
      </c>
      <c r="G23" s="21" t="s">
        <v>9</v>
      </c>
      <c r="H23" s="21" t="s">
        <v>13</v>
      </c>
      <c r="I23" s="21" t="s">
        <v>62</v>
      </c>
      <c r="J23" s="22" t="s">
        <v>10</v>
      </c>
      <c r="K23" s="23" t="s">
        <v>22</v>
      </c>
      <c r="L23" s="47"/>
      <c r="M23" s="54" t="str">
        <f t="shared" si="2"/>
        <v>แจ้งภายหลัง</v>
      </c>
      <c r="N23" s="62" t="str">
        <f t="shared" si="3"/>
        <v>รอยืนยัน</v>
      </c>
    </row>
    <row r="24" spans="6:14" x14ac:dyDescent="0.3">
      <c r="F24" s="20">
        <v>1801082</v>
      </c>
      <c r="G24" s="21" t="s">
        <v>16</v>
      </c>
      <c r="H24" s="21" t="s">
        <v>63</v>
      </c>
      <c r="I24" s="21" t="s">
        <v>64</v>
      </c>
      <c r="J24" s="22" t="s">
        <v>12</v>
      </c>
      <c r="K24" s="23" t="s">
        <v>22</v>
      </c>
      <c r="L24" s="47"/>
      <c r="M24" s="54" t="str">
        <f t="shared" si="2"/>
        <v>แจ้งภายหลัง</v>
      </c>
      <c r="N24" s="62" t="str">
        <f t="shared" si="3"/>
        <v>รอยืนยัน</v>
      </c>
    </row>
    <row r="25" spans="6:14" x14ac:dyDescent="0.3">
      <c r="F25" s="20">
        <v>1801047</v>
      </c>
      <c r="G25" s="21" t="s">
        <v>11</v>
      </c>
      <c r="H25" s="21" t="s">
        <v>45</v>
      </c>
      <c r="I25" s="21" t="s">
        <v>65</v>
      </c>
      <c r="J25" s="22" t="s">
        <v>10</v>
      </c>
      <c r="K25" s="23" t="s">
        <v>22</v>
      </c>
      <c r="L25" s="47"/>
      <c r="M25" s="54" t="str">
        <f t="shared" si="2"/>
        <v>แจ้งภายหลัง</v>
      </c>
      <c r="N25" s="62" t="str">
        <f t="shared" si="3"/>
        <v>รอยืนยัน</v>
      </c>
    </row>
    <row r="26" spans="6:14" x14ac:dyDescent="0.3">
      <c r="F26" s="20"/>
      <c r="G26" s="21" t="s">
        <v>18</v>
      </c>
      <c r="H26" s="21" t="s">
        <v>18</v>
      </c>
      <c r="I26" s="21" t="s">
        <v>18</v>
      </c>
      <c r="J26" s="22" t="s">
        <v>18</v>
      </c>
      <c r="K26" s="23"/>
      <c r="L26" s="47"/>
      <c r="M26" s="54" t="str">
        <f t="shared" si="2"/>
        <v>แจ้งภายหลัง</v>
      </c>
      <c r="N26" s="62" t="str">
        <f t="shared" si="3"/>
        <v>รอยืนยัน</v>
      </c>
    </row>
    <row r="27" spans="6:14" x14ac:dyDescent="0.3">
      <c r="F27" s="20"/>
      <c r="G27" s="21" t="s">
        <v>18</v>
      </c>
      <c r="H27" s="21" t="s">
        <v>18</v>
      </c>
      <c r="I27" s="21" t="s">
        <v>18</v>
      </c>
      <c r="J27" s="22" t="s">
        <v>18</v>
      </c>
      <c r="K27" s="23"/>
      <c r="L27" s="47"/>
      <c r="M27" s="54" t="str">
        <f t="shared" si="2"/>
        <v>แจ้งภายหลัง</v>
      </c>
      <c r="N27" s="62" t="str">
        <f t="shared" si="3"/>
        <v>รอยืนยัน</v>
      </c>
    </row>
    <row r="28" spans="6:14" x14ac:dyDescent="0.3">
      <c r="F28" s="20"/>
      <c r="G28" s="21" t="s">
        <v>18</v>
      </c>
      <c r="H28" s="21" t="s">
        <v>18</v>
      </c>
      <c r="I28" s="21" t="s">
        <v>18</v>
      </c>
      <c r="J28" s="22" t="s">
        <v>18</v>
      </c>
      <c r="K28" s="23"/>
      <c r="L28" s="47"/>
      <c r="M28" s="54" t="str">
        <f t="shared" si="2"/>
        <v>แจ้งภายหลัง</v>
      </c>
      <c r="N28" s="62" t="str">
        <f t="shared" si="3"/>
        <v>รอยืนยัน</v>
      </c>
    </row>
    <row r="29" spans="6:14" x14ac:dyDescent="0.3">
      <c r="F29" s="20"/>
      <c r="G29" s="21" t="s">
        <v>18</v>
      </c>
      <c r="H29" s="21" t="s">
        <v>18</v>
      </c>
      <c r="I29" s="21" t="s">
        <v>18</v>
      </c>
      <c r="J29" s="22" t="s">
        <v>18</v>
      </c>
      <c r="K29" s="23"/>
      <c r="L29" s="47"/>
      <c r="M29" s="54" t="str">
        <f t="shared" si="2"/>
        <v>แจ้งภายหลัง</v>
      </c>
      <c r="N29" s="62" t="str">
        <f t="shared" si="3"/>
        <v>รอยืนยัน</v>
      </c>
    </row>
    <row r="30" spans="6:14" x14ac:dyDescent="0.3">
      <c r="F30" s="20"/>
      <c r="G30" s="21" t="s">
        <v>18</v>
      </c>
      <c r="H30" s="21" t="s">
        <v>18</v>
      </c>
      <c r="I30" s="21" t="s">
        <v>18</v>
      </c>
      <c r="J30" s="22" t="s">
        <v>18</v>
      </c>
      <c r="K30" s="23"/>
      <c r="L30" s="47"/>
      <c r="M30" s="54" t="str">
        <f t="shared" si="2"/>
        <v>แจ้งภายหลัง</v>
      </c>
      <c r="N30" s="62" t="str">
        <f t="shared" si="3"/>
        <v>รอยืนยัน</v>
      </c>
    </row>
    <row r="31" spans="6:14" x14ac:dyDescent="0.3">
      <c r="F31" s="20"/>
      <c r="G31" s="21" t="s">
        <v>18</v>
      </c>
      <c r="H31" s="21" t="s">
        <v>18</v>
      </c>
      <c r="I31" s="21" t="s">
        <v>18</v>
      </c>
      <c r="J31" s="22" t="s">
        <v>18</v>
      </c>
      <c r="K31" s="23"/>
      <c r="L31" s="47"/>
      <c r="M31" s="54" t="str">
        <f t="shared" si="2"/>
        <v>แจ้งภายหลัง</v>
      </c>
      <c r="N31" s="62" t="str">
        <f t="shared" si="3"/>
        <v>รอยืนยัน</v>
      </c>
    </row>
    <row r="32" spans="6:14" x14ac:dyDescent="0.3">
      <c r="F32" s="20"/>
      <c r="G32" s="21" t="s">
        <v>18</v>
      </c>
      <c r="H32" s="21" t="s">
        <v>18</v>
      </c>
      <c r="I32" s="21" t="s">
        <v>18</v>
      </c>
      <c r="J32" s="22" t="s">
        <v>18</v>
      </c>
      <c r="K32" s="23"/>
      <c r="L32" s="47"/>
      <c r="M32" s="54" t="str">
        <f t="shared" si="2"/>
        <v>แจ้งภายหลัง</v>
      </c>
      <c r="N32" s="62" t="str">
        <f t="shared" si="3"/>
        <v>รอยืนยัน</v>
      </c>
    </row>
    <row r="33" spans="6:14" x14ac:dyDescent="0.3">
      <c r="F33" s="20"/>
      <c r="G33" s="21" t="s">
        <v>18</v>
      </c>
      <c r="H33" s="21" t="s">
        <v>18</v>
      </c>
      <c r="I33" s="21" t="s">
        <v>18</v>
      </c>
      <c r="J33" s="22" t="s">
        <v>18</v>
      </c>
      <c r="K33" s="23"/>
      <c r="L33" s="47"/>
      <c r="M33" s="54" t="str">
        <f t="shared" si="2"/>
        <v>แจ้งภายหลัง</v>
      </c>
      <c r="N33" s="62" t="str">
        <f t="shared" si="3"/>
        <v>รอยืนยัน</v>
      </c>
    </row>
    <row r="34" spans="6:14" x14ac:dyDescent="0.3">
      <c r="F34" s="20"/>
      <c r="G34" s="21" t="s">
        <v>18</v>
      </c>
      <c r="H34" s="21" t="s">
        <v>18</v>
      </c>
      <c r="I34" s="21" t="s">
        <v>18</v>
      </c>
      <c r="J34" s="22" t="s">
        <v>18</v>
      </c>
      <c r="K34" s="23"/>
      <c r="L34" s="47"/>
      <c r="M34" s="54" t="str">
        <f t="shared" si="2"/>
        <v>แจ้งภายหลัง</v>
      </c>
      <c r="N34" s="62" t="str">
        <f t="shared" si="3"/>
        <v>รอยืนยัน</v>
      </c>
    </row>
    <row r="35" spans="6:14" x14ac:dyDescent="0.3">
      <c r="F35" s="20"/>
      <c r="G35" s="21" t="s">
        <v>18</v>
      </c>
      <c r="H35" s="21" t="s">
        <v>18</v>
      </c>
      <c r="I35" s="21" t="s">
        <v>18</v>
      </c>
      <c r="J35" s="22" t="s">
        <v>18</v>
      </c>
      <c r="K35" s="23"/>
      <c r="L35" s="47"/>
      <c r="M35" s="54" t="str">
        <f t="shared" si="2"/>
        <v>แจ้งภายหลัง</v>
      </c>
      <c r="N35" s="62" t="str">
        <f t="shared" si="3"/>
        <v>รอยืนยัน</v>
      </c>
    </row>
    <row r="36" spans="6:14" x14ac:dyDescent="0.3">
      <c r="F36" s="20"/>
      <c r="G36" s="21" t="s">
        <v>18</v>
      </c>
      <c r="H36" s="21" t="s">
        <v>18</v>
      </c>
      <c r="I36" s="21" t="s">
        <v>18</v>
      </c>
      <c r="J36" s="22" t="s">
        <v>18</v>
      </c>
      <c r="K36" s="23"/>
      <c r="L36" s="47"/>
      <c r="M36" s="54" t="str">
        <f t="shared" si="2"/>
        <v>แจ้งภายหลัง</v>
      </c>
      <c r="N36" s="62" t="str">
        <f t="shared" si="3"/>
        <v>รอยืนยัน</v>
      </c>
    </row>
    <row r="37" spans="6:14" x14ac:dyDescent="0.3">
      <c r="F37" s="20"/>
      <c r="G37" s="21" t="s">
        <v>18</v>
      </c>
      <c r="H37" s="21" t="s">
        <v>18</v>
      </c>
      <c r="I37" s="21" t="s">
        <v>18</v>
      </c>
      <c r="J37" s="22" t="s">
        <v>18</v>
      </c>
      <c r="K37" s="23"/>
      <c r="L37" s="47"/>
      <c r="M37" s="54" t="str">
        <f t="shared" si="2"/>
        <v>แจ้งภายหลัง</v>
      </c>
      <c r="N37" s="62" t="str">
        <f t="shared" si="3"/>
        <v>รอยืนยัน</v>
      </c>
    </row>
    <row r="38" spans="6:14" x14ac:dyDescent="0.3">
      <c r="F38" s="20"/>
      <c r="G38" s="21" t="s">
        <v>18</v>
      </c>
      <c r="H38" s="21" t="s">
        <v>18</v>
      </c>
      <c r="I38" s="21" t="s">
        <v>18</v>
      </c>
      <c r="J38" s="22" t="s">
        <v>18</v>
      </c>
      <c r="K38" s="23"/>
      <c r="L38" s="47"/>
      <c r="M38" s="54" t="str">
        <f t="shared" si="2"/>
        <v>แจ้งภายหลัง</v>
      </c>
      <c r="N38" s="62" t="str">
        <f t="shared" si="3"/>
        <v>รอยืนยัน</v>
      </c>
    </row>
    <row r="39" spans="6:14" x14ac:dyDescent="0.3">
      <c r="F39" s="20"/>
      <c r="G39" s="21" t="s">
        <v>18</v>
      </c>
      <c r="H39" s="21" t="s">
        <v>18</v>
      </c>
      <c r="I39" s="21" t="s">
        <v>18</v>
      </c>
      <c r="J39" s="22" t="s">
        <v>18</v>
      </c>
      <c r="K39" s="23"/>
      <c r="L39" s="47"/>
      <c r="M39" s="54" t="str">
        <f t="shared" si="2"/>
        <v>แจ้งภายหลัง</v>
      </c>
      <c r="N39" s="62" t="str">
        <f t="shared" si="3"/>
        <v>รอยืนยัน</v>
      </c>
    </row>
    <row r="40" spans="6:14" x14ac:dyDescent="0.3">
      <c r="F40" s="20"/>
      <c r="G40" s="21" t="s">
        <v>18</v>
      </c>
      <c r="H40" s="21" t="s">
        <v>18</v>
      </c>
      <c r="I40" s="21" t="s">
        <v>18</v>
      </c>
      <c r="J40" s="22" t="s">
        <v>18</v>
      </c>
      <c r="K40" s="23"/>
      <c r="L40" s="47"/>
      <c r="M40" s="54" t="str">
        <f t="shared" si="2"/>
        <v>แจ้งภายหลัง</v>
      </c>
      <c r="N40" s="62" t="str">
        <f t="shared" si="3"/>
        <v>รอยืนยัน</v>
      </c>
    </row>
    <row r="41" spans="6:14" x14ac:dyDescent="0.3">
      <c r="F41" s="20"/>
      <c r="G41" s="21" t="s">
        <v>18</v>
      </c>
      <c r="H41" s="21" t="s">
        <v>18</v>
      </c>
      <c r="I41" s="21" t="s">
        <v>18</v>
      </c>
      <c r="J41" s="22" t="s">
        <v>18</v>
      </c>
      <c r="K41" s="23"/>
      <c r="L41" s="47"/>
      <c r="M41" s="54" t="str">
        <f t="shared" si="2"/>
        <v>แจ้งภายหลัง</v>
      </c>
      <c r="N41" s="62" t="str">
        <f t="shared" si="3"/>
        <v>รอยืนยัน</v>
      </c>
    </row>
    <row r="42" spans="6:14" x14ac:dyDescent="0.3">
      <c r="F42" s="20"/>
      <c r="G42" s="21" t="s">
        <v>18</v>
      </c>
      <c r="H42" s="21" t="s">
        <v>18</v>
      </c>
      <c r="I42" s="21" t="s">
        <v>18</v>
      </c>
      <c r="J42" s="22" t="s">
        <v>18</v>
      </c>
      <c r="K42" s="23"/>
      <c r="L42" s="47"/>
      <c r="M42" s="54" t="str">
        <f t="shared" si="2"/>
        <v>แจ้งภายหลัง</v>
      </c>
      <c r="N42" s="62" t="str">
        <f t="shared" si="3"/>
        <v>รอยืนยัน</v>
      </c>
    </row>
    <row r="43" spans="6:14" x14ac:dyDescent="0.3">
      <c r="F43" s="20"/>
      <c r="G43" s="21" t="s">
        <v>18</v>
      </c>
      <c r="H43" s="21" t="s">
        <v>18</v>
      </c>
      <c r="I43" s="21" t="s">
        <v>18</v>
      </c>
      <c r="J43" s="22" t="s">
        <v>18</v>
      </c>
      <c r="K43" s="23"/>
      <c r="L43" s="47"/>
      <c r="M43" s="54" t="str">
        <f t="shared" si="2"/>
        <v>แจ้งภายหลัง</v>
      </c>
      <c r="N43" s="62" t="str">
        <f t="shared" si="3"/>
        <v>รอยืนยัน</v>
      </c>
    </row>
    <row r="44" spans="6:14" x14ac:dyDescent="0.3">
      <c r="F44" s="20"/>
      <c r="G44" s="21" t="s">
        <v>18</v>
      </c>
      <c r="H44" s="21" t="s">
        <v>18</v>
      </c>
      <c r="I44" s="21" t="s">
        <v>18</v>
      </c>
      <c r="J44" s="22" t="s">
        <v>18</v>
      </c>
      <c r="K44" s="23"/>
      <c r="L44" s="47"/>
      <c r="M44" s="54" t="str">
        <f t="shared" si="2"/>
        <v>แจ้งภายหลัง</v>
      </c>
      <c r="N44" s="62" t="str">
        <f t="shared" si="3"/>
        <v>รอยืนยัน</v>
      </c>
    </row>
    <row r="45" spans="6:14" x14ac:dyDescent="0.3">
      <c r="F45" s="20"/>
      <c r="G45" s="21" t="s">
        <v>18</v>
      </c>
      <c r="H45" s="21" t="s">
        <v>18</v>
      </c>
      <c r="I45" s="21" t="s">
        <v>18</v>
      </c>
      <c r="J45" s="22" t="s">
        <v>18</v>
      </c>
      <c r="K45" s="23"/>
      <c r="L45" s="47"/>
      <c r="M45" s="54" t="str">
        <f t="shared" si="2"/>
        <v>แจ้งภายหลัง</v>
      </c>
      <c r="N45" s="62" t="str">
        <f t="shared" si="3"/>
        <v>รอยืนยัน</v>
      </c>
    </row>
    <row r="46" spans="6:14" x14ac:dyDescent="0.3">
      <c r="F46" s="20"/>
      <c r="G46" s="21" t="s">
        <v>18</v>
      </c>
      <c r="H46" s="21" t="s">
        <v>18</v>
      </c>
      <c r="I46" s="21" t="s">
        <v>18</v>
      </c>
      <c r="J46" s="22" t="s">
        <v>18</v>
      </c>
      <c r="K46" s="23"/>
      <c r="L46" s="47"/>
      <c r="M46" s="54" t="str">
        <f t="shared" si="2"/>
        <v>แจ้งภายหลัง</v>
      </c>
      <c r="N46" s="62" t="str">
        <f t="shared" si="3"/>
        <v>รอยืนยัน</v>
      </c>
    </row>
    <row r="47" spans="6:14" x14ac:dyDescent="0.3">
      <c r="F47" s="20"/>
      <c r="G47" s="21" t="s">
        <v>18</v>
      </c>
      <c r="H47" s="21" t="s">
        <v>18</v>
      </c>
      <c r="I47" s="21" t="s">
        <v>18</v>
      </c>
      <c r="J47" s="22" t="s">
        <v>18</v>
      </c>
      <c r="K47" s="23"/>
      <c r="L47" s="47"/>
      <c r="M47" s="54" t="str">
        <f t="shared" si="2"/>
        <v>แจ้งภายหลัง</v>
      </c>
      <c r="N47" s="62" t="str">
        <f t="shared" si="3"/>
        <v>รอยืนยัน</v>
      </c>
    </row>
    <row r="48" spans="6:14" x14ac:dyDescent="0.3">
      <c r="F48" s="20"/>
      <c r="G48" s="21" t="s">
        <v>18</v>
      </c>
      <c r="H48" s="21" t="s">
        <v>18</v>
      </c>
      <c r="I48" s="21" t="s">
        <v>18</v>
      </c>
      <c r="J48" s="22" t="s">
        <v>18</v>
      </c>
      <c r="K48" s="23"/>
      <c r="L48" s="47"/>
      <c r="M48" s="54" t="str">
        <f t="shared" si="2"/>
        <v>แจ้งภายหลัง</v>
      </c>
      <c r="N48" s="62" t="str">
        <f t="shared" si="3"/>
        <v>รอยืนยัน</v>
      </c>
    </row>
    <row r="49" spans="6:14" x14ac:dyDescent="0.3">
      <c r="F49" s="20"/>
      <c r="G49" s="21" t="s">
        <v>18</v>
      </c>
      <c r="H49" s="21" t="s">
        <v>18</v>
      </c>
      <c r="I49" s="21" t="s">
        <v>18</v>
      </c>
      <c r="J49" s="22" t="s">
        <v>18</v>
      </c>
      <c r="K49" s="23"/>
      <c r="L49" s="47"/>
      <c r="M49" s="54" t="str">
        <f t="shared" si="2"/>
        <v>แจ้งภายหลัง</v>
      </c>
      <c r="N49" s="62" t="str">
        <f t="shared" si="3"/>
        <v>รอยืนยัน</v>
      </c>
    </row>
    <row r="50" spans="6:14" x14ac:dyDescent="0.3">
      <c r="F50" s="20"/>
      <c r="G50" s="21" t="s">
        <v>18</v>
      </c>
      <c r="H50" s="21" t="s">
        <v>18</v>
      </c>
      <c r="I50" s="21" t="s">
        <v>18</v>
      </c>
      <c r="J50" s="22" t="s">
        <v>18</v>
      </c>
      <c r="K50" s="23"/>
      <c r="L50" s="47"/>
      <c r="M50" s="54" t="str">
        <f t="shared" si="2"/>
        <v>แจ้งภายหลัง</v>
      </c>
      <c r="N50" s="62" t="str">
        <f t="shared" si="3"/>
        <v>รอยืนยัน</v>
      </c>
    </row>
    <row r="51" spans="6:14" x14ac:dyDescent="0.3">
      <c r="F51" s="20"/>
      <c r="G51" s="21" t="s">
        <v>18</v>
      </c>
      <c r="H51" s="21" t="s">
        <v>18</v>
      </c>
      <c r="I51" s="21" t="s">
        <v>18</v>
      </c>
      <c r="J51" s="22" t="s">
        <v>18</v>
      </c>
      <c r="K51" s="23"/>
      <c r="L51" s="47"/>
    </row>
    <row r="52" spans="6:14" x14ac:dyDescent="0.3">
      <c r="F52" s="20"/>
      <c r="G52" s="21" t="s">
        <v>18</v>
      </c>
      <c r="H52" s="21" t="s">
        <v>18</v>
      </c>
      <c r="I52" s="21" t="s">
        <v>18</v>
      </c>
      <c r="J52" s="22" t="s">
        <v>18</v>
      </c>
      <c r="K52" s="23"/>
      <c r="L52" s="47"/>
    </row>
    <row r="53" spans="6:14" x14ac:dyDescent="0.3">
      <c r="F53" s="20"/>
      <c r="G53" s="21" t="s">
        <v>18</v>
      </c>
      <c r="H53" s="21" t="s">
        <v>18</v>
      </c>
      <c r="I53" s="21" t="s">
        <v>18</v>
      </c>
      <c r="J53" s="22" t="s">
        <v>18</v>
      </c>
      <c r="K53" s="23"/>
      <c r="L53" s="47"/>
    </row>
    <row r="54" spans="6:14" x14ac:dyDescent="0.3">
      <c r="F54" s="20"/>
      <c r="G54" s="21" t="s">
        <v>18</v>
      </c>
      <c r="H54" s="21" t="s">
        <v>18</v>
      </c>
      <c r="I54" s="21" t="s">
        <v>18</v>
      </c>
      <c r="J54" s="22" t="s">
        <v>18</v>
      </c>
      <c r="K54" s="23"/>
      <c r="L54" s="47"/>
    </row>
    <row r="55" spans="6:14" x14ac:dyDescent="0.3">
      <c r="F55" s="20"/>
      <c r="G55" s="21" t="s">
        <v>18</v>
      </c>
      <c r="H55" s="21" t="s">
        <v>18</v>
      </c>
      <c r="I55" s="21" t="s">
        <v>18</v>
      </c>
      <c r="J55" s="22" t="s">
        <v>18</v>
      </c>
      <c r="K55" s="23"/>
      <c r="L55" s="47"/>
    </row>
    <row r="56" spans="6:14" x14ac:dyDescent="0.3">
      <c r="F56" s="20"/>
      <c r="G56" s="21" t="s">
        <v>18</v>
      </c>
      <c r="H56" s="21" t="s">
        <v>18</v>
      </c>
      <c r="I56" s="21" t="s">
        <v>18</v>
      </c>
      <c r="J56" s="22" t="s">
        <v>18</v>
      </c>
      <c r="K56" s="23"/>
      <c r="L56" s="47"/>
    </row>
    <row r="57" spans="6:14" x14ac:dyDescent="0.3">
      <c r="F57" s="20"/>
      <c r="G57" s="21" t="s">
        <v>18</v>
      </c>
      <c r="H57" s="21" t="s">
        <v>18</v>
      </c>
      <c r="I57" s="21" t="s">
        <v>18</v>
      </c>
      <c r="J57" s="22" t="s">
        <v>18</v>
      </c>
      <c r="K57" s="23"/>
      <c r="L57" s="47"/>
    </row>
    <row r="58" spans="6:14" x14ac:dyDescent="0.3">
      <c r="F58" s="20"/>
      <c r="G58" s="21" t="s">
        <v>18</v>
      </c>
      <c r="H58" s="21" t="s">
        <v>18</v>
      </c>
      <c r="I58" s="21" t="s">
        <v>18</v>
      </c>
      <c r="J58" s="22" t="s">
        <v>18</v>
      </c>
      <c r="K58" s="23"/>
      <c r="L58" s="47"/>
    </row>
    <row r="59" spans="6:14" x14ac:dyDescent="0.3">
      <c r="F59" s="20"/>
      <c r="G59" s="21" t="s">
        <v>18</v>
      </c>
      <c r="H59" s="21" t="s">
        <v>18</v>
      </c>
      <c r="I59" s="21" t="s">
        <v>18</v>
      </c>
      <c r="J59" s="22" t="s">
        <v>18</v>
      </c>
      <c r="K59" s="23"/>
      <c r="L59" s="47"/>
    </row>
    <row r="60" spans="6:14" x14ac:dyDescent="0.3">
      <c r="F60" s="20"/>
      <c r="G60" s="21" t="s">
        <v>18</v>
      </c>
      <c r="H60" s="21" t="s">
        <v>18</v>
      </c>
      <c r="I60" s="21" t="s">
        <v>18</v>
      </c>
      <c r="J60" s="22" t="s">
        <v>18</v>
      </c>
      <c r="K60" s="23"/>
      <c r="L60" s="47"/>
    </row>
    <row r="61" spans="6:14" x14ac:dyDescent="0.3">
      <c r="F61" s="20"/>
      <c r="G61" s="21" t="s">
        <v>18</v>
      </c>
      <c r="H61" s="21" t="s">
        <v>18</v>
      </c>
      <c r="I61" s="21" t="s">
        <v>18</v>
      </c>
      <c r="J61" s="22" t="s">
        <v>18</v>
      </c>
      <c r="K61" s="23"/>
      <c r="L61" s="47"/>
    </row>
    <row r="62" spans="6:14" x14ac:dyDescent="0.3">
      <c r="F62" s="20"/>
      <c r="G62" s="21" t="s">
        <v>18</v>
      </c>
      <c r="H62" s="21" t="s">
        <v>18</v>
      </c>
      <c r="I62" s="21" t="s">
        <v>18</v>
      </c>
      <c r="J62" s="22" t="s">
        <v>18</v>
      </c>
      <c r="K62" s="23"/>
      <c r="L62" s="47"/>
    </row>
    <row r="63" spans="6:14" x14ac:dyDescent="0.3">
      <c r="F63" s="20"/>
      <c r="G63" s="21" t="s">
        <v>18</v>
      </c>
      <c r="H63" s="21" t="s">
        <v>18</v>
      </c>
      <c r="I63" s="21" t="s">
        <v>18</v>
      </c>
      <c r="J63" s="22" t="s">
        <v>18</v>
      </c>
      <c r="K63" s="23"/>
      <c r="L63" s="47"/>
    </row>
    <row r="64" spans="6:14" x14ac:dyDescent="0.3">
      <c r="F64" s="20"/>
      <c r="G64" s="21" t="s">
        <v>18</v>
      </c>
      <c r="H64" s="21" t="s">
        <v>18</v>
      </c>
      <c r="I64" s="21" t="s">
        <v>18</v>
      </c>
      <c r="J64" s="22" t="s">
        <v>18</v>
      </c>
      <c r="K64" s="23"/>
      <c r="L64" s="47"/>
    </row>
    <row r="65" spans="6:12" x14ac:dyDescent="0.3">
      <c r="F65" s="20"/>
      <c r="G65" s="21" t="s">
        <v>18</v>
      </c>
      <c r="H65" s="21" t="s">
        <v>18</v>
      </c>
      <c r="I65" s="21" t="s">
        <v>18</v>
      </c>
      <c r="J65" s="22" t="s">
        <v>18</v>
      </c>
      <c r="K65" s="23"/>
      <c r="L65" s="47"/>
    </row>
    <row r="66" spans="6:12" x14ac:dyDescent="0.3">
      <c r="F66" s="20"/>
      <c r="G66" s="21" t="s">
        <v>18</v>
      </c>
      <c r="H66" s="21" t="s">
        <v>18</v>
      </c>
      <c r="I66" s="21" t="s">
        <v>18</v>
      </c>
      <c r="J66" s="22" t="s">
        <v>18</v>
      </c>
      <c r="K66" s="23"/>
      <c r="L66" s="47"/>
    </row>
    <row r="67" spans="6:12" x14ac:dyDescent="0.3">
      <c r="F67" s="20"/>
      <c r="G67" s="21" t="s">
        <v>18</v>
      </c>
      <c r="H67" s="21" t="s">
        <v>18</v>
      </c>
      <c r="I67" s="21" t="s">
        <v>18</v>
      </c>
      <c r="J67" s="22" t="s">
        <v>18</v>
      </c>
      <c r="K67" s="23"/>
      <c r="L67" s="47"/>
    </row>
    <row r="68" spans="6:12" x14ac:dyDescent="0.3">
      <c r="F68" s="20"/>
      <c r="G68" s="21" t="s">
        <v>18</v>
      </c>
      <c r="H68" s="21" t="s">
        <v>18</v>
      </c>
      <c r="I68" s="21" t="s">
        <v>18</v>
      </c>
      <c r="J68" s="22" t="s">
        <v>18</v>
      </c>
      <c r="K68" s="23"/>
      <c r="L68" s="47"/>
    </row>
    <row r="69" spans="6:12" x14ac:dyDescent="0.3">
      <c r="F69" s="20"/>
      <c r="G69" s="21" t="s">
        <v>18</v>
      </c>
      <c r="H69" s="21" t="s">
        <v>18</v>
      </c>
      <c r="I69" s="21" t="s">
        <v>18</v>
      </c>
      <c r="J69" s="22" t="s">
        <v>18</v>
      </c>
      <c r="K69" s="23"/>
      <c r="L69" s="47"/>
    </row>
    <row r="70" spans="6:12" x14ac:dyDescent="0.3">
      <c r="F70" s="20"/>
      <c r="G70" s="21" t="s">
        <v>18</v>
      </c>
      <c r="H70" s="21" t="s">
        <v>18</v>
      </c>
      <c r="I70" s="21" t="s">
        <v>18</v>
      </c>
      <c r="J70" s="22" t="s">
        <v>18</v>
      </c>
      <c r="K70" s="23"/>
      <c r="L70" s="47"/>
    </row>
    <row r="71" spans="6:12" x14ac:dyDescent="0.3">
      <c r="F71" s="20"/>
      <c r="G71" s="21" t="s">
        <v>18</v>
      </c>
      <c r="H71" s="21" t="s">
        <v>18</v>
      </c>
      <c r="I71" s="21" t="s">
        <v>18</v>
      </c>
      <c r="J71" s="22" t="s">
        <v>18</v>
      </c>
      <c r="K71" s="23"/>
      <c r="L71" s="47"/>
    </row>
    <row r="72" spans="6:12" x14ac:dyDescent="0.3">
      <c r="F72" s="20"/>
      <c r="G72" s="21" t="s">
        <v>18</v>
      </c>
      <c r="H72" s="21" t="s">
        <v>18</v>
      </c>
      <c r="I72" s="21" t="s">
        <v>18</v>
      </c>
      <c r="J72" s="22" t="s">
        <v>18</v>
      </c>
      <c r="K72" s="23"/>
      <c r="L72" s="47"/>
    </row>
    <row r="73" spans="6:12" x14ac:dyDescent="0.3">
      <c r="F73" s="20"/>
      <c r="G73" s="21" t="s">
        <v>18</v>
      </c>
      <c r="H73" s="21" t="s">
        <v>18</v>
      </c>
      <c r="I73" s="21" t="s">
        <v>18</v>
      </c>
      <c r="J73" s="22" t="s">
        <v>18</v>
      </c>
      <c r="K73" s="23"/>
      <c r="L73" s="47"/>
    </row>
    <row r="74" spans="6:12" x14ac:dyDescent="0.3">
      <c r="F74" s="20"/>
      <c r="G74" s="21" t="s">
        <v>18</v>
      </c>
      <c r="H74" s="21" t="s">
        <v>18</v>
      </c>
      <c r="I74" s="21" t="s">
        <v>18</v>
      </c>
      <c r="J74" s="22" t="s">
        <v>18</v>
      </c>
      <c r="K74" s="23"/>
      <c r="L74" s="47"/>
    </row>
    <row r="75" spans="6:12" x14ac:dyDescent="0.3">
      <c r="F75" s="20"/>
      <c r="G75" s="21" t="s">
        <v>18</v>
      </c>
      <c r="H75" s="21" t="s">
        <v>18</v>
      </c>
      <c r="I75" s="21" t="s">
        <v>18</v>
      </c>
      <c r="J75" s="22" t="s">
        <v>18</v>
      </c>
      <c r="K75" s="23"/>
      <c r="L75" s="47"/>
    </row>
    <row r="76" spans="6:12" x14ac:dyDescent="0.3">
      <c r="F76" s="20"/>
      <c r="G76" s="21" t="s">
        <v>18</v>
      </c>
      <c r="H76" s="21" t="s">
        <v>18</v>
      </c>
      <c r="I76" s="21" t="s">
        <v>18</v>
      </c>
      <c r="J76" s="22" t="s">
        <v>18</v>
      </c>
      <c r="K76" s="23"/>
      <c r="L76" s="47"/>
    </row>
    <row r="77" spans="6:12" x14ac:dyDescent="0.3">
      <c r="F77" s="20"/>
      <c r="G77" s="21" t="s">
        <v>18</v>
      </c>
      <c r="H77" s="21" t="s">
        <v>18</v>
      </c>
      <c r="I77" s="21" t="s">
        <v>18</v>
      </c>
      <c r="J77" s="22" t="s">
        <v>18</v>
      </c>
      <c r="K77" s="23"/>
      <c r="L77" s="47"/>
    </row>
    <row r="78" spans="6:12" x14ac:dyDescent="0.3">
      <c r="F78" s="20"/>
      <c r="G78" s="21" t="s">
        <v>18</v>
      </c>
      <c r="H78" s="21" t="s">
        <v>18</v>
      </c>
      <c r="I78" s="21" t="s">
        <v>18</v>
      </c>
      <c r="J78" s="22" t="s">
        <v>18</v>
      </c>
      <c r="K78" s="23"/>
      <c r="L78" s="47"/>
    </row>
    <row r="79" spans="6:12" x14ac:dyDescent="0.3">
      <c r="F79" s="20"/>
      <c r="G79" s="21" t="s">
        <v>18</v>
      </c>
      <c r="H79" s="21" t="s">
        <v>18</v>
      </c>
      <c r="I79" s="21" t="s">
        <v>18</v>
      </c>
      <c r="J79" s="22" t="s">
        <v>18</v>
      </c>
      <c r="K79" s="23"/>
      <c r="L79" s="47"/>
    </row>
    <row r="80" spans="6:12" x14ac:dyDescent="0.3">
      <c r="F80" s="20"/>
      <c r="G80" s="21" t="s">
        <v>18</v>
      </c>
      <c r="H80" s="21" t="s">
        <v>18</v>
      </c>
      <c r="I80" s="21" t="s">
        <v>18</v>
      </c>
      <c r="J80" s="22" t="s">
        <v>18</v>
      </c>
      <c r="K80" s="23"/>
      <c r="L80" s="47"/>
    </row>
    <row r="81" spans="6:12" x14ac:dyDescent="0.3">
      <c r="F81" s="20"/>
      <c r="G81" s="21" t="s">
        <v>18</v>
      </c>
      <c r="H81" s="21" t="s">
        <v>18</v>
      </c>
      <c r="I81" s="21" t="s">
        <v>18</v>
      </c>
      <c r="J81" s="22" t="s">
        <v>18</v>
      </c>
      <c r="K81" s="23"/>
      <c r="L81" s="47"/>
    </row>
    <row r="82" spans="6:12" x14ac:dyDescent="0.3">
      <c r="F82" s="20"/>
      <c r="G82" s="21" t="s">
        <v>18</v>
      </c>
      <c r="H82" s="21" t="s">
        <v>18</v>
      </c>
      <c r="I82" s="21" t="s">
        <v>18</v>
      </c>
      <c r="J82" s="22" t="s">
        <v>18</v>
      </c>
      <c r="K82" s="23"/>
      <c r="L82" s="47"/>
    </row>
    <row r="83" spans="6:12" x14ac:dyDescent="0.3">
      <c r="F83" s="20"/>
      <c r="G83" s="21" t="s">
        <v>18</v>
      </c>
      <c r="H83" s="21" t="s">
        <v>18</v>
      </c>
      <c r="I83" s="21" t="s">
        <v>18</v>
      </c>
      <c r="J83" s="22" t="s">
        <v>18</v>
      </c>
      <c r="K83" s="23"/>
      <c r="L83" s="47"/>
    </row>
    <row r="84" spans="6:12" x14ac:dyDescent="0.3">
      <c r="F84" s="20"/>
      <c r="G84" s="21" t="s">
        <v>18</v>
      </c>
      <c r="H84" s="21" t="s">
        <v>18</v>
      </c>
      <c r="I84" s="21" t="s">
        <v>18</v>
      </c>
      <c r="J84" s="22" t="s">
        <v>18</v>
      </c>
      <c r="K84" s="23"/>
      <c r="L84" s="47"/>
    </row>
    <row r="85" spans="6:12" x14ac:dyDescent="0.3">
      <c r="F85" s="20"/>
      <c r="G85" s="21" t="s">
        <v>18</v>
      </c>
      <c r="H85" s="21" t="s">
        <v>18</v>
      </c>
      <c r="I85" s="21" t="s">
        <v>18</v>
      </c>
      <c r="J85" s="22" t="s">
        <v>18</v>
      </c>
      <c r="K85" s="23"/>
      <c r="L85" s="47"/>
    </row>
    <row r="86" spans="6:12" x14ac:dyDescent="0.3">
      <c r="F86" s="20"/>
      <c r="G86" s="21" t="s">
        <v>18</v>
      </c>
      <c r="H86" s="21" t="s">
        <v>18</v>
      </c>
      <c r="I86" s="21" t="s">
        <v>18</v>
      </c>
      <c r="J86" s="22" t="s">
        <v>18</v>
      </c>
      <c r="K86" s="23"/>
      <c r="L86" s="47"/>
    </row>
    <row r="87" spans="6:12" x14ac:dyDescent="0.3">
      <c r="F87" s="20"/>
      <c r="G87" s="21" t="s">
        <v>18</v>
      </c>
      <c r="H87" s="21" t="s">
        <v>18</v>
      </c>
      <c r="I87" s="21" t="s">
        <v>18</v>
      </c>
      <c r="J87" s="22" t="s">
        <v>18</v>
      </c>
      <c r="K87" s="23"/>
      <c r="L87" s="47"/>
    </row>
    <row r="88" spans="6:12" x14ac:dyDescent="0.3">
      <c r="F88" s="20"/>
      <c r="G88" s="21" t="s">
        <v>18</v>
      </c>
      <c r="H88" s="21" t="s">
        <v>18</v>
      </c>
      <c r="I88" s="21" t="s">
        <v>18</v>
      </c>
      <c r="J88" s="22" t="s">
        <v>18</v>
      </c>
      <c r="K88" s="23"/>
      <c r="L88" s="47"/>
    </row>
    <row r="89" spans="6:12" x14ac:dyDescent="0.3">
      <c r="F89" s="20"/>
      <c r="G89" s="21" t="s">
        <v>18</v>
      </c>
      <c r="H89" s="21" t="s">
        <v>18</v>
      </c>
      <c r="I89" s="21" t="s">
        <v>18</v>
      </c>
      <c r="J89" s="22" t="s">
        <v>18</v>
      </c>
      <c r="K89" s="23"/>
      <c r="L89" s="47"/>
    </row>
    <row r="90" spans="6:12" x14ac:dyDescent="0.3">
      <c r="F90" s="20"/>
      <c r="G90" s="21" t="s">
        <v>18</v>
      </c>
      <c r="H90" s="21" t="s">
        <v>18</v>
      </c>
      <c r="I90" s="21" t="s">
        <v>18</v>
      </c>
      <c r="J90" s="22" t="s">
        <v>18</v>
      </c>
      <c r="K90" s="23"/>
      <c r="L90" s="47"/>
    </row>
    <row r="91" spans="6:12" x14ac:dyDescent="0.3">
      <c r="F91" s="20"/>
      <c r="G91" s="21" t="s">
        <v>18</v>
      </c>
      <c r="H91" s="21" t="s">
        <v>18</v>
      </c>
      <c r="I91" s="21" t="s">
        <v>18</v>
      </c>
      <c r="J91" s="22" t="s">
        <v>18</v>
      </c>
      <c r="K91" s="23"/>
      <c r="L91" s="47"/>
    </row>
    <row r="92" spans="6:12" x14ac:dyDescent="0.3">
      <c r="F92" s="20"/>
      <c r="G92" s="21" t="s">
        <v>18</v>
      </c>
      <c r="H92" s="21" t="s">
        <v>18</v>
      </c>
      <c r="I92" s="21" t="s">
        <v>18</v>
      </c>
      <c r="J92" s="22" t="s">
        <v>18</v>
      </c>
      <c r="K92" s="23"/>
      <c r="L92" s="47"/>
    </row>
    <row r="93" spans="6:12" x14ac:dyDescent="0.3">
      <c r="F93" s="20"/>
      <c r="G93" s="21" t="s">
        <v>18</v>
      </c>
      <c r="H93" s="21" t="s">
        <v>18</v>
      </c>
      <c r="I93" s="21" t="s">
        <v>18</v>
      </c>
      <c r="J93" s="22" t="s">
        <v>18</v>
      </c>
      <c r="K93" s="23"/>
      <c r="L93" s="47"/>
    </row>
    <row r="94" spans="6:12" x14ac:dyDescent="0.3">
      <c r="F94" s="20"/>
      <c r="G94" s="21" t="s">
        <v>18</v>
      </c>
      <c r="H94" s="21" t="s">
        <v>18</v>
      </c>
      <c r="I94" s="21" t="s">
        <v>18</v>
      </c>
      <c r="J94" s="22" t="s">
        <v>18</v>
      </c>
      <c r="K94" s="23"/>
      <c r="L94" s="47"/>
    </row>
    <row r="95" spans="6:12" x14ac:dyDescent="0.3">
      <c r="F95" s="20"/>
      <c r="G95" s="21" t="s">
        <v>18</v>
      </c>
      <c r="H95" s="21" t="s">
        <v>18</v>
      </c>
      <c r="I95" s="21" t="s">
        <v>18</v>
      </c>
      <c r="J95" s="22" t="s">
        <v>18</v>
      </c>
      <c r="K95" s="23"/>
      <c r="L95" s="47"/>
    </row>
    <row r="96" spans="6:12" x14ac:dyDescent="0.3">
      <c r="F96" s="20"/>
      <c r="G96" s="21" t="s">
        <v>18</v>
      </c>
      <c r="H96" s="21" t="s">
        <v>18</v>
      </c>
      <c r="I96" s="21" t="s">
        <v>18</v>
      </c>
      <c r="J96" s="22" t="s">
        <v>18</v>
      </c>
      <c r="K96" s="23"/>
      <c r="L96" s="47"/>
    </row>
    <row r="97" spans="6:12" x14ac:dyDescent="0.3">
      <c r="F97" s="20"/>
      <c r="G97" s="21" t="s">
        <v>18</v>
      </c>
      <c r="H97" s="21" t="s">
        <v>18</v>
      </c>
      <c r="I97" s="21" t="s">
        <v>18</v>
      </c>
      <c r="J97" s="22" t="s">
        <v>18</v>
      </c>
      <c r="K97" s="23"/>
      <c r="L97" s="47"/>
    </row>
    <row r="98" spans="6:12" x14ac:dyDescent="0.3">
      <c r="F98" s="20"/>
      <c r="G98" s="21" t="s">
        <v>18</v>
      </c>
      <c r="H98" s="21" t="s">
        <v>18</v>
      </c>
      <c r="I98" s="21" t="s">
        <v>18</v>
      </c>
      <c r="J98" s="22" t="s">
        <v>18</v>
      </c>
      <c r="K98" s="23"/>
      <c r="L98" s="47"/>
    </row>
    <row r="99" spans="6:12" x14ac:dyDescent="0.3">
      <c r="F99" s="20"/>
      <c r="G99" s="21" t="s">
        <v>18</v>
      </c>
      <c r="H99" s="21" t="s">
        <v>18</v>
      </c>
      <c r="I99" s="21" t="s">
        <v>18</v>
      </c>
      <c r="J99" s="22" t="s">
        <v>18</v>
      </c>
      <c r="K99" s="23"/>
      <c r="L99" s="47"/>
    </row>
    <row r="100" spans="6:12" x14ac:dyDescent="0.3">
      <c r="F100" s="20"/>
      <c r="G100" s="21" t="s">
        <v>18</v>
      </c>
      <c r="H100" s="21" t="s">
        <v>18</v>
      </c>
      <c r="I100" s="21" t="s">
        <v>18</v>
      </c>
      <c r="J100" s="22" t="s">
        <v>18</v>
      </c>
      <c r="K100" s="23"/>
      <c r="L100" s="47"/>
    </row>
    <row r="101" spans="6:12" x14ac:dyDescent="0.3">
      <c r="F101" s="20"/>
      <c r="G101" s="21"/>
      <c r="H101" s="21"/>
      <c r="I101" s="21"/>
      <c r="J101" s="22"/>
      <c r="K101" s="23"/>
      <c r="L101" s="47"/>
    </row>
    <row r="102" spans="6:12" x14ac:dyDescent="0.3">
      <c r="F102" s="20"/>
      <c r="G102" s="21"/>
      <c r="H102" s="21"/>
      <c r="I102" s="21"/>
      <c r="J102" s="22"/>
      <c r="K102" s="23"/>
      <c r="L102" s="47"/>
    </row>
    <row r="103" spans="6:12" x14ac:dyDescent="0.3">
      <c r="F103" s="20"/>
      <c r="G103" s="21"/>
      <c r="H103" s="21"/>
      <c r="I103" s="21"/>
      <c r="J103" s="22"/>
      <c r="K103" s="23"/>
      <c r="L103" s="47"/>
    </row>
    <row r="104" spans="6:12" x14ac:dyDescent="0.3">
      <c r="F104" s="20"/>
      <c r="G104" s="21"/>
      <c r="H104" s="21"/>
      <c r="I104" s="21"/>
      <c r="J104" s="22"/>
      <c r="K104" s="23"/>
      <c r="L104" s="47"/>
    </row>
    <row r="105" spans="6:12" x14ac:dyDescent="0.3">
      <c r="F105" s="20"/>
      <c r="G105" s="21"/>
      <c r="H105" s="21"/>
      <c r="I105" s="21"/>
      <c r="J105" s="22"/>
      <c r="K105" s="23"/>
      <c r="L105" s="47"/>
    </row>
    <row r="106" spans="6:12" x14ac:dyDescent="0.3">
      <c r="F106" s="20"/>
      <c r="G106" s="21"/>
      <c r="H106" s="21"/>
      <c r="I106" s="21"/>
      <c r="J106" s="22"/>
      <c r="K106" s="23"/>
      <c r="L106" s="47"/>
    </row>
    <row r="107" spans="6:12" x14ac:dyDescent="0.3">
      <c r="F107" s="20"/>
      <c r="G107" s="21"/>
      <c r="H107" s="21"/>
      <c r="I107" s="21"/>
      <c r="J107" s="22"/>
      <c r="K107" s="23"/>
      <c r="L107" s="47"/>
    </row>
    <row r="108" spans="6:12" x14ac:dyDescent="0.3">
      <c r="F108" s="20"/>
      <c r="G108" s="21"/>
      <c r="H108" s="21"/>
      <c r="I108" s="21"/>
      <c r="J108" s="22"/>
      <c r="K108" s="23"/>
      <c r="L108" s="47"/>
    </row>
    <row r="109" spans="6:12" x14ac:dyDescent="0.3">
      <c r="F109" s="20"/>
      <c r="G109" s="21"/>
      <c r="H109" s="21"/>
      <c r="I109" s="21"/>
      <c r="J109" s="22"/>
      <c r="K109" s="23"/>
      <c r="L109" s="47"/>
    </row>
    <row r="110" spans="6:12" x14ac:dyDescent="0.3">
      <c r="F110" s="20"/>
      <c r="G110" s="21"/>
      <c r="H110" s="21"/>
      <c r="I110" s="21"/>
      <c r="J110" s="22"/>
      <c r="K110" s="23"/>
      <c r="L110" s="47"/>
    </row>
    <row r="111" spans="6:12" x14ac:dyDescent="0.3">
      <c r="F111" s="20"/>
      <c r="G111" s="21"/>
      <c r="H111" s="21"/>
      <c r="I111" s="21"/>
      <c r="J111" s="22"/>
      <c r="K111" s="23"/>
      <c r="L111" s="47"/>
    </row>
    <row r="112" spans="6:12" x14ac:dyDescent="0.3">
      <c r="F112" s="20"/>
      <c r="G112" s="21"/>
      <c r="H112" s="21"/>
      <c r="I112" s="21"/>
      <c r="J112" s="22"/>
      <c r="K112" s="23"/>
      <c r="L112" s="47"/>
    </row>
    <row r="113" spans="6:12" x14ac:dyDescent="0.3">
      <c r="F113" s="20"/>
      <c r="G113" s="21"/>
      <c r="H113" s="21"/>
      <c r="I113" s="21"/>
      <c r="J113" s="22"/>
      <c r="K113" s="23"/>
      <c r="L113" s="47"/>
    </row>
    <row r="114" spans="6:12" x14ac:dyDescent="0.3">
      <c r="F114" s="20"/>
      <c r="G114" s="21"/>
      <c r="H114" s="21"/>
      <c r="I114" s="21"/>
      <c r="J114" s="22"/>
      <c r="K114" s="23"/>
      <c r="L114" s="47"/>
    </row>
    <row r="115" spans="6:12" x14ac:dyDescent="0.3">
      <c r="F115" s="20"/>
      <c r="G115" s="21"/>
      <c r="H115" s="21"/>
      <c r="I115" s="21"/>
      <c r="J115" s="22"/>
      <c r="K115" s="23"/>
      <c r="L115" s="47"/>
    </row>
    <row r="116" spans="6:12" x14ac:dyDescent="0.3">
      <c r="F116" s="20"/>
      <c r="G116" s="21"/>
      <c r="H116" s="21"/>
      <c r="I116" s="21"/>
      <c r="J116" s="22"/>
      <c r="K116" s="23"/>
      <c r="L116" s="47"/>
    </row>
    <row r="117" spans="6:12" x14ac:dyDescent="0.3">
      <c r="F117" s="20"/>
      <c r="G117" s="21"/>
      <c r="H117" s="21"/>
      <c r="I117" s="21"/>
      <c r="J117" s="22"/>
      <c r="K117" s="23"/>
      <c r="L117" s="47"/>
    </row>
    <row r="118" spans="6:12" x14ac:dyDescent="0.3">
      <c r="F118" s="20"/>
      <c r="G118" s="21"/>
      <c r="H118" s="21"/>
      <c r="I118" s="21"/>
      <c r="J118" s="22"/>
      <c r="K118" s="23"/>
      <c r="L118" s="47"/>
    </row>
    <row r="119" spans="6:12" x14ac:dyDescent="0.3">
      <c r="F119" s="20"/>
      <c r="G119" s="21"/>
      <c r="H119" s="21"/>
      <c r="I119" s="21"/>
      <c r="J119" s="22"/>
      <c r="K119" s="23"/>
      <c r="L119" s="47"/>
    </row>
    <row r="120" spans="6:12" x14ac:dyDescent="0.3">
      <c r="F120" s="20"/>
      <c r="G120" s="21"/>
      <c r="H120" s="21"/>
      <c r="I120" s="21"/>
      <c r="J120" s="22"/>
      <c r="K120" s="23"/>
      <c r="L120" s="47"/>
    </row>
    <row r="121" spans="6:12" x14ac:dyDescent="0.3">
      <c r="F121" s="20"/>
      <c r="G121" s="21"/>
      <c r="H121" s="21"/>
      <c r="I121" s="21"/>
      <c r="J121" s="22"/>
      <c r="K121" s="23"/>
      <c r="L121" s="47"/>
    </row>
    <row r="122" spans="6:12" x14ac:dyDescent="0.3">
      <c r="F122" s="20"/>
      <c r="G122" s="21"/>
      <c r="H122" s="21"/>
      <c r="I122" s="21"/>
      <c r="J122" s="22"/>
      <c r="K122" s="23"/>
      <c r="L122" s="47"/>
    </row>
    <row r="123" spans="6:12" x14ac:dyDescent="0.3">
      <c r="F123" s="20"/>
      <c r="G123" s="21"/>
      <c r="H123" s="21"/>
      <c r="I123" s="21"/>
      <c r="J123" s="22"/>
      <c r="K123" s="23"/>
      <c r="L123" s="47"/>
    </row>
    <row r="124" spans="6:12" x14ac:dyDescent="0.3">
      <c r="F124" s="20"/>
      <c r="G124" s="21"/>
      <c r="H124" s="21"/>
      <c r="I124" s="21"/>
      <c r="J124" s="22"/>
      <c r="K124" s="23"/>
      <c r="L124" s="47"/>
    </row>
    <row r="125" spans="6:12" x14ac:dyDescent="0.3">
      <c r="F125" s="20"/>
      <c r="G125" s="21"/>
      <c r="H125" s="21"/>
      <c r="I125" s="21"/>
      <c r="J125" s="22"/>
      <c r="K125" s="23"/>
      <c r="L125" s="47"/>
    </row>
    <row r="126" spans="6:12" x14ac:dyDescent="0.3">
      <c r="F126" s="20"/>
      <c r="G126" s="21"/>
      <c r="H126" s="21"/>
      <c r="I126" s="21"/>
      <c r="J126" s="22"/>
      <c r="K126" s="23"/>
      <c r="L126" s="47"/>
    </row>
    <row r="127" spans="6:12" x14ac:dyDescent="0.3">
      <c r="F127" s="20"/>
      <c r="G127" s="21"/>
      <c r="H127" s="21"/>
      <c r="I127" s="21"/>
      <c r="J127" s="22"/>
      <c r="K127" s="23"/>
      <c r="L127" s="47"/>
    </row>
    <row r="128" spans="6:12" x14ac:dyDescent="0.3">
      <c r="F128" s="20"/>
      <c r="G128" s="21"/>
      <c r="H128" s="21"/>
      <c r="I128" s="21"/>
      <c r="J128" s="22"/>
      <c r="K128" s="23"/>
      <c r="L128" s="47"/>
    </row>
    <row r="129" spans="6:12" x14ac:dyDescent="0.3">
      <c r="F129" s="20"/>
      <c r="G129" s="21"/>
      <c r="H129" s="21"/>
      <c r="I129" s="21"/>
      <c r="J129" s="22"/>
      <c r="K129" s="23"/>
      <c r="L129" s="47"/>
    </row>
    <row r="130" spans="6:12" x14ac:dyDescent="0.3">
      <c r="F130" s="20"/>
      <c r="G130" s="21"/>
      <c r="H130" s="21"/>
      <c r="I130" s="21"/>
      <c r="J130" s="22"/>
      <c r="K130" s="23"/>
      <c r="L130" s="47"/>
    </row>
    <row r="131" spans="6:12" x14ac:dyDescent="0.3">
      <c r="F131" s="20"/>
      <c r="G131" s="21"/>
      <c r="H131" s="21"/>
      <c r="I131" s="21"/>
      <c r="J131" s="22"/>
      <c r="K131" s="23"/>
      <c r="L131" s="47"/>
    </row>
    <row r="132" spans="6:12" x14ac:dyDescent="0.3">
      <c r="F132" s="20"/>
      <c r="G132" s="21"/>
      <c r="H132" s="21"/>
      <c r="I132" s="21"/>
      <c r="J132" s="22"/>
      <c r="K132" s="23"/>
      <c r="L132" s="47"/>
    </row>
    <row r="133" spans="6:12" x14ac:dyDescent="0.3">
      <c r="F133" s="20"/>
      <c r="G133" s="21"/>
      <c r="H133" s="21"/>
      <c r="I133" s="21"/>
      <c r="J133" s="22"/>
      <c r="K133" s="23"/>
      <c r="L133" s="47"/>
    </row>
    <row r="134" spans="6:12" x14ac:dyDescent="0.3">
      <c r="F134" s="20"/>
      <c r="G134" s="21"/>
      <c r="H134" s="21"/>
      <c r="I134" s="21"/>
      <c r="J134" s="22"/>
      <c r="K134" s="23"/>
      <c r="L134" s="47"/>
    </row>
    <row r="135" spans="6:12" x14ac:dyDescent="0.3">
      <c r="F135" s="20"/>
      <c r="G135" s="21"/>
      <c r="H135" s="21"/>
      <c r="I135" s="21"/>
      <c r="J135" s="22"/>
      <c r="K135" s="23"/>
      <c r="L135" s="47"/>
    </row>
    <row r="136" spans="6:12" x14ac:dyDescent="0.3">
      <c r="F136" s="20"/>
      <c r="G136" s="21"/>
      <c r="H136" s="21"/>
      <c r="I136" s="21"/>
      <c r="J136" s="22"/>
      <c r="K136" s="23"/>
      <c r="L136" s="47"/>
    </row>
    <row r="137" spans="6:12" x14ac:dyDescent="0.3">
      <c r="F137" s="20"/>
      <c r="G137" s="21"/>
      <c r="H137" s="21"/>
      <c r="I137" s="21"/>
      <c r="J137" s="22"/>
      <c r="K137" s="23"/>
      <c r="L137" s="47"/>
    </row>
    <row r="138" spans="6:12" x14ac:dyDescent="0.3">
      <c r="F138" s="20"/>
      <c r="G138" s="21"/>
      <c r="H138" s="21"/>
      <c r="I138" s="21"/>
      <c r="J138" s="22"/>
      <c r="K138" s="23"/>
      <c r="L138" s="47"/>
    </row>
    <row r="139" spans="6:12" x14ac:dyDescent="0.3">
      <c r="F139" s="20"/>
      <c r="G139" s="21"/>
      <c r="H139" s="21"/>
      <c r="I139" s="21"/>
      <c r="J139" s="22"/>
      <c r="K139" s="23"/>
      <c r="L139" s="47"/>
    </row>
    <row r="140" spans="6:12" x14ac:dyDescent="0.3">
      <c r="F140" s="20"/>
      <c r="G140" s="21"/>
      <c r="H140" s="21"/>
      <c r="I140" s="21"/>
      <c r="J140" s="22"/>
      <c r="K140" s="23"/>
      <c r="L140" s="47"/>
    </row>
    <row r="141" spans="6:12" x14ac:dyDescent="0.3">
      <c r="F141" s="20"/>
      <c r="G141" s="21"/>
      <c r="H141" s="21"/>
      <c r="I141" s="21"/>
      <c r="J141" s="22"/>
      <c r="K141" s="23"/>
      <c r="L141" s="47"/>
    </row>
    <row r="142" spans="6:12" x14ac:dyDescent="0.3">
      <c r="F142" s="20"/>
      <c r="G142" s="21"/>
      <c r="H142" s="21"/>
      <c r="I142" s="21"/>
      <c r="J142" s="22"/>
      <c r="K142" s="23"/>
      <c r="L142" s="47"/>
    </row>
    <row r="143" spans="6:12" x14ac:dyDescent="0.3">
      <c r="F143" s="20"/>
      <c r="G143" s="21"/>
      <c r="H143" s="21"/>
      <c r="I143" s="21"/>
      <c r="J143" s="22"/>
      <c r="K143" s="23"/>
      <c r="L143" s="47"/>
    </row>
    <row r="144" spans="6:12" x14ac:dyDescent="0.3">
      <c r="F144" s="20"/>
      <c r="G144" s="21"/>
      <c r="H144" s="21"/>
      <c r="I144" s="21"/>
      <c r="J144" s="22"/>
      <c r="K144" s="23"/>
      <c r="L144" s="47"/>
    </row>
    <row r="145" spans="6:12" x14ac:dyDescent="0.3">
      <c r="F145" s="20"/>
      <c r="G145" s="21"/>
      <c r="H145" s="21"/>
      <c r="I145" s="21"/>
      <c r="J145" s="22"/>
      <c r="K145" s="23"/>
      <c r="L145" s="47"/>
    </row>
    <row r="146" spans="6:12" x14ac:dyDescent="0.3">
      <c r="F146" s="20"/>
      <c r="G146" s="21"/>
      <c r="H146" s="21"/>
      <c r="I146" s="21"/>
      <c r="J146" s="22"/>
      <c r="K146" s="23"/>
      <c r="L146" s="47"/>
    </row>
    <row r="147" spans="6:12" x14ac:dyDescent="0.3">
      <c r="F147" s="20"/>
      <c r="G147" s="21"/>
      <c r="H147" s="21"/>
      <c r="I147" s="21"/>
      <c r="J147" s="22"/>
      <c r="K147" s="23"/>
      <c r="L147" s="47"/>
    </row>
    <row r="148" spans="6:12" x14ac:dyDescent="0.3">
      <c r="F148" s="20"/>
      <c r="G148" s="21"/>
      <c r="H148" s="21"/>
      <c r="I148" s="21"/>
      <c r="J148" s="22"/>
      <c r="K148" s="23"/>
      <c r="L148" s="47"/>
    </row>
    <row r="149" spans="6:12" x14ac:dyDescent="0.3">
      <c r="F149" s="20"/>
      <c r="G149" s="21"/>
      <c r="H149" s="21"/>
      <c r="I149" s="21"/>
      <c r="J149" s="22"/>
      <c r="K149" s="23"/>
      <c r="L149" s="47"/>
    </row>
    <row r="150" spans="6:12" x14ac:dyDescent="0.3">
      <c r="F150" s="20"/>
      <c r="G150" s="21"/>
      <c r="H150" s="21"/>
      <c r="I150" s="21"/>
      <c r="J150" s="22"/>
      <c r="K150" s="23"/>
      <c r="L150" s="47"/>
    </row>
    <row r="151" spans="6:12" x14ac:dyDescent="0.3">
      <c r="F151" s="20"/>
      <c r="G151" s="21"/>
      <c r="H151" s="21"/>
      <c r="I151" s="21"/>
      <c r="J151" s="22"/>
      <c r="K151" s="23"/>
      <c r="L151" s="47"/>
    </row>
    <row r="152" spans="6:12" x14ac:dyDescent="0.3">
      <c r="F152" s="20"/>
      <c r="G152" s="21"/>
      <c r="H152" s="21"/>
      <c r="I152" s="21"/>
      <c r="J152" s="22"/>
      <c r="K152" s="23"/>
      <c r="L152" s="47"/>
    </row>
    <row r="153" spans="6:12" x14ac:dyDescent="0.3">
      <c r="F153" s="20"/>
      <c r="G153" s="21"/>
      <c r="H153" s="21"/>
      <c r="I153" s="21"/>
      <c r="J153" s="22"/>
      <c r="K153" s="23"/>
      <c r="L153" s="47"/>
    </row>
    <row r="154" spans="6:12" x14ac:dyDescent="0.3">
      <c r="F154" s="20"/>
      <c r="G154" s="21"/>
      <c r="H154" s="21"/>
      <c r="I154" s="21"/>
      <c r="J154" s="22"/>
      <c r="K154" s="23"/>
      <c r="L154" s="47"/>
    </row>
    <row r="155" spans="6:12" x14ac:dyDescent="0.3">
      <c r="F155" s="20"/>
      <c r="G155" s="21"/>
      <c r="H155" s="21"/>
      <c r="I155" s="21"/>
      <c r="J155" s="22"/>
      <c r="K155" s="23"/>
      <c r="L155" s="47"/>
    </row>
    <row r="156" spans="6:12" x14ac:dyDescent="0.3">
      <c r="F156" s="20"/>
      <c r="G156" s="21"/>
      <c r="H156" s="21"/>
      <c r="I156" s="21"/>
      <c r="J156" s="22"/>
      <c r="K156" s="23"/>
      <c r="L156" s="47"/>
    </row>
    <row r="157" spans="6:12" x14ac:dyDescent="0.3">
      <c r="F157" s="20"/>
      <c r="G157" s="21"/>
      <c r="H157" s="21"/>
      <c r="I157" s="21"/>
      <c r="J157" s="22"/>
      <c r="K157" s="23"/>
      <c r="L157" s="47"/>
    </row>
    <row r="158" spans="6:12" x14ac:dyDescent="0.3">
      <c r="F158" s="20"/>
      <c r="G158" s="21"/>
      <c r="H158" s="21"/>
      <c r="I158" s="21"/>
      <c r="J158" s="22"/>
      <c r="K158" s="23"/>
      <c r="L158" s="47"/>
    </row>
    <row r="159" spans="6:12" x14ac:dyDescent="0.3">
      <c r="F159" s="20"/>
      <c r="G159" s="21"/>
      <c r="H159" s="21"/>
      <c r="I159" s="21"/>
      <c r="J159" s="22"/>
      <c r="K159" s="23"/>
      <c r="L159" s="47"/>
    </row>
    <row r="160" spans="6:12" x14ac:dyDescent="0.3">
      <c r="F160" s="20"/>
      <c r="G160" s="21"/>
      <c r="H160" s="21"/>
      <c r="I160" s="21"/>
      <c r="J160" s="22"/>
      <c r="K160" s="23"/>
      <c r="L160" s="47"/>
    </row>
    <row r="161" spans="6:12" x14ac:dyDescent="0.3">
      <c r="F161" s="20"/>
      <c r="G161" s="21"/>
      <c r="H161" s="21"/>
      <c r="I161" s="21"/>
      <c r="J161" s="22"/>
      <c r="K161" s="23"/>
      <c r="L161" s="47"/>
    </row>
    <row r="162" spans="6:12" x14ac:dyDescent="0.3">
      <c r="F162" s="20"/>
      <c r="G162" s="21"/>
      <c r="H162" s="21"/>
      <c r="I162" s="21"/>
      <c r="J162" s="22"/>
      <c r="K162" s="23"/>
      <c r="L162" s="47"/>
    </row>
    <row r="163" spans="6:12" x14ac:dyDescent="0.3">
      <c r="F163" s="20"/>
      <c r="G163" s="21"/>
      <c r="H163" s="21"/>
      <c r="I163" s="21"/>
      <c r="J163" s="22"/>
      <c r="K163" s="23"/>
      <c r="L163" s="47"/>
    </row>
    <row r="164" spans="6:12" x14ac:dyDescent="0.3">
      <c r="F164" s="20"/>
      <c r="G164" s="21"/>
      <c r="H164" s="21"/>
      <c r="I164" s="21"/>
      <c r="J164" s="22"/>
      <c r="K164" s="23"/>
      <c r="L164" s="47"/>
    </row>
    <row r="165" spans="6:12" x14ac:dyDescent="0.3">
      <c r="F165" s="20"/>
      <c r="G165" s="21"/>
      <c r="H165" s="21"/>
      <c r="I165" s="21"/>
      <c r="J165" s="22"/>
      <c r="K165" s="23"/>
      <c r="L165" s="47"/>
    </row>
    <row r="166" spans="6:12" x14ac:dyDescent="0.3">
      <c r="F166" s="20"/>
      <c r="G166" s="21"/>
      <c r="H166" s="21"/>
      <c r="I166" s="21"/>
      <c r="J166" s="22"/>
      <c r="K166" s="23"/>
      <c r="L166" s="47"/>
    </row>
    <row r="167" spans="6:12" x14ac:dyDescent="0.3">
      <c r="F167" s="20"/>
      <c r="G167" s="21"/>
      <c r="H167" s="21"/>
      <c r="I167" s="21"/>
      <c r="J167" s="22"/>
      <c r="K167" s="23"/>
      <c r="L167" s="47"/>
    </row>
    <row r="168" spans="6:12" x14ac:dyDescent="0.3">
      <c r="F168" s="20"/>
      <c r="G168" s="21"/>
      <c r="H168" s="21"/>
      <c r="I168" s="21"/>
      <c r="J168" s="22"/>
      <c r="K168" s="23"/>
      <c r="L168" s="47"/>
    </row>
    <row r="169" spans="6:12" x14ac:dyDescent="0.3">
      <c r="F169" s="20"/>
      <c r="G169" s="21"/>
      <c r="H169" s="21"/>
      <c r="I169" s="21"/>
      <c r="J169" s="22"/>
      <c r="K169" s="23"/>
      <c r="L169" s="47"/>
    </row>
    <row r="170" spans="6:12" x14ac:dyDescent="0.3">
      <c r="F170" s="20"/>
      <c r="G170" s="21"/>
      <c r="H170" s="21"/>
      <c r="I170" s="21"/>
      <c r="J170" s="22"/>
      <c r="K170" s="23"/>
      <c r="L170" s="47"/>
    </row>
    <row r="171" spans="6:12" x14ac:dyDescent="0.3">
      <c r="F171" s="20"/>
      <c r="G171" s="21"/>
      <c r="H171" s="21"/>
      <c r="I171" s="21"/>
      <c r="J171" s="22"/>
      <c r="K171" s="23"/>
      <c r="L171" s="47"/>
    </row>
    <row r="172" spans="6:12" x14ac:dyDescent="0.3">
      <c r="F172" s="20"/>
      <c r="G172" s="21"/>
      <c r="H172" s="21"/>
      <c r="I172" s="21"/>
      <c r="J172" s="22"/>
      <c r="K172" s="23"/>
      <c r="L172" s="47"/>
    </row>
    <row r="173" spans="6:12" x14ac:dyDescent="0.3">
      <c r="F173" s="20"/>
      <c r="G173" s="21"/>
      <c r="H173" s="21"/>
      <c r="I173" s="21"/>
      <c r="J173" s="22"/>
      <c r="K173" s="23"/>
      <c r="L173" s="47"/>
    </row>
    <row r="174" spans="6:12" x14ac:dyDescent="0.3">
      <c r="F174" s="20"/>
      <c r="G174" s="21"/>
      <c r="H174" s="21"/>
      <c r="I174" s="21"/>
      <c r="J174" s="22"/>
      <c r="K174" s="23"/>
      <c r="L174" s="47"/>
    </row>
    <row r="175" spans="6:12" x14ac:dyDescent="0.3">
      <c r="F175" s="20"/>
      <c r="G175" s="21"/>
      <c r="H175" s="21"/>
      <c r="I175" s="21"/>
      <c r="J175" s="22"/>
      <c r="K175" s="23"/>
      <c r="L175" s="47"/>
    </row>
    <row r="176" spans="6:12" x14ac:dyDescent="0.3">
      <c r="F176" s="20"/>
      <c r="G176" s="21"/>
      <c r="H176" s="21"/>
      <c r="I176" s="21"/>
      <c r="J176" s="22"/>
      <c r="K176" s="23"/>
      <c r="L176" s="47"/>
    </row>
    <row r="177" spans="6:12" x14ac:dyDescent="0.3">
      <c r="F177" s="20"/>
      <c r="G177" s="21"/>
      <c r="H177" s="21"/>
      <c r="I177" s="21"/>
      <c r="J177" s="22"/>
      <c r="K177" s="23"/>
      <c r="L177" s="47"/>
    </row>
    <row r="178" spans="6:12" x14ac:dyDescent="0.3">
      <c r="F178" s="20"/>
      <c r="G178" s="21"/>
      <c r="H178" s="21"/>
      <c r="I178" s="21"/>
      <c r="J178" s="22"/>
      <c r="K178" s="23"/>
      <c r="L178" s="47"/>
    </row>
    <row r="179" spans="6:12" x14ac:dyDescent="0.3">
      <c r="F179" s="20"/>
      <c r="G179" s="21"/>
      <c r="H179" s="21"/>
      <c r="I179" s="21"/>
      <c r="J179" s="22"/>
      <c r="K179" s="23"/>
      <c r="L179" s="47"/>
    </row>
    <row r="180" spans="6:12" x14ac:dyDescent="0.3">
      <c r="F180" s="20"/>
      <c r="G180" s="21"/>
      <c r="H180" s="21"/>
      <c r="I180" s="21"/>
      <c r="J180" s="22"/>
      <c r="K180" s="23"/>
      <c r="L180" s="47"/>
    </row>
    <row r="181" spans="6:12" x14ac:dyDescent="0.3">
      <c r="F181" s="20"/>
      <c r="G181" s="21"/>
      <c r="H181" s="21"/>
      <c r="I181" s="21"/>
      <c r="J181" s="22"/>
      <c r="K181" s="23"/>
      <c r="L181" s="47"/>
    </row>
    <row r="182" spans="6:12" x14ac:dyDescent="0.3">
      <c r="F182" s="20"/>
      <c r="G182" s="21"/>
      <c r="H182" s="21"/>
      <c r="I182" s="21"/>
      <c r="J182" s="22"/>
      <c r="K182" s="23"/>
      <c r="L182" s="47"/>
    </row>
    <row r="183" spans="6:12" x14ac:dyDescent="0.3">
      <c r="F183" s="20"/>
      <c r="G183" s="21"/>
      <c r="H183" s="21"/>
      <c r="I183" s="21"/>
      <c r="J183" s="22"/>
      <c r="K183" s="23"/>
      <c r="L183" s="47"/>
    </row>
    <row r="184" spans="6:12" x14ac:dyDescent="0.3">
      <c r="F184" s="20"/>
      <c r="G184" s="21"/>
      <c r="H184" s="21"/>
      <c r="I184" s="21"/>
      <c r="J184" s="22"/>
      <c r="K184" s="23"/>
      <c r="L184" s="47"/>
    </row>
    <row r="185" spans="6:12" x14ac:dyDescent="0.3">
      <c r="F185" s="20"/>
      <c r="G185" s="21"/>
      <c r="H185" s="21"/>
      <c r="I185" s="21"/>
      <c r="J185" s="22"/>
      <c r="K185" s="23"/>
      <c r="L185" s="47"/>
    </row>
    <row r="186" spans="6:12" x14ac:dyDescent="0.3">
      <c r="F186" s="20"/>
      <c r="G186" s="21"/>
      <c r="H186" s="21"/>
      <c r="I186" s="21"/>
      <c r="J186" s="22"/>
      <c r="K186" s="23"/>
      <c r="L186" s="47"/>
    </row>
    <row r="187" spans="6:12" x14ac:dyDescent="0.3">
      <c r="F187" s="20"/>
      <c r="G187" s="21"/>
      <c r="H187" s="21"/>
      <c r="I187" s="21"/>
      <c r="J187" s="22"/>
      <c r="K187" s="23"/>
      <c r="L187" s="47"/>
    </row>
    <row r="188" spans="6:12" x14ac:dyDescent="0.3">
      <c r="F188" s="20"/>
      <c r="G188" s="21"/>
      <c r="H188" s="21"/>
      <c r="I188" s="21"/>
      <c r="J188" s="22"/>
      <c r="K188" s="23"/>
      <c r="L188" s="47"/>
    </row>
    <row r="189" spans="6:12" x14ac:dyDescent="0.3">
      <c r="F189" s="20"/>
      <c r="G189" s="21"/>
      <c r="H189" s="21"/>
      <c r="I189" s="21"/>
      <c r="J189" s="22"/>
      <c r="K189" s="23"/>
      <c r="L189" s="47"/>
    </row>
    <row r="190" spans="6:12" x14ac:dyDescent="0.3">
      <c r="F190" s="20"/>
      <c r="G190" s="21"/>
      <c r="H190" s="21"/>
      <c r="I190" s="21"/>
      <c r="J190" s="22"/>
      <c r="K190" s="23"/>
      <c r="L190" s="47"/>
    </row>
    <row r="191" spans="6:12" x14ac:dyDescent="0.3">
      <c r="F191" s="20"/>
      <c r="G191" s="21"/>
      <c r="H191" s="21"/>
      <c r="I191" s="21"/>
      <c r="J191" s="22"/>
      <c r="K191" s="23"/>
      <c r="L191" s="47"/>
    </row>
    <row r="192" spans="6:12" x14ac:dyDescent="0.3">
      <c r="F192" s="20"/>
      <c r="G192" s="21"/>
      <c r="H192" s="21"/>
      <c r="I192" s="21"/>
      <c r="J192" s="22"/>
      <c r="K192" s="23"/>
      <c r="L192" s="47"/>
    </row>
    <row r="193" spans="6:12" x14ac:dyDescent="0.3">
      <c r="F193" s="20"/>
      <c r="G193" s="21"/>
      <c r="H193" s="21"/>
      <c r="I193" s="21"/>
      <c r="J193" s="22"/>
      <c r="K193" s="23"/>
      <c r="L193" s="47"/>
    </row>
    <row r="194" spans="6:12" x14ac:dyDescent="0.3">
      <c r="F194" s="20"/>
      <c r="G194" s="21"/>
      <c r="H194" s="21"/>
      <c r="I194" s="21"/>
      <c r="J194" s="22"/>
      <c r="K194" s="23"/>
      <c r="L194" s="47"/>
    </row>
    <row r="195" spans="6:12" x14ac:dyDescent="0.3">
      <c r="F195" s="20"/>
      <c r="G195" s="21"/>
      <c r="H195" s="21"/>
      <c r="I195" s="21"/>
      <c r="J195" s="22"/>
      <c r="K195" s="23"/>
      <c r="L195" s="47"/>
    </row>
    <row r="196" spans="6:12" x14ac:dyDescent="0.3">
      <c r="F196" s="20"/>
      <c r="G196" s="21"/>
      <c r="H196" s="21"/>
      <c r="I196" s="21"/>
      <c r="J196" s="22"/>
      <c r="K196" s="23"/>
      <c r="L196" s="47"/>
    </row>
    <row r="197" spans="6:12" x14ac:dyDescent="0.3">
      <c r="F197" s="20"/>
      <c r="G197" s="21"/>
      <c r="H197" s="21"/>
      <c r="I197" s="21"/>
      <c r="J197" s="22"/>
      <c r="K197" s="23"/>
      <c r="L197" s="47"/>
    </row>
    <row r="198" spans="6:12" x14ac:dyDescent="0.3">
      <c r="F198" s="20"/>
      <c r="G198" s="21"/>
      <c r="H198" s="21"/>
      <c r="I198" s="21"/>
      <c r="J198" s="22"/>
      <c r="K198" s="23"/>
      <c r="L198" s="47"/>
    </row>
    <row r="199" spans="6:12" x14ac:dyDescent="0.3">
      <c r="F199" s="20"/>
      <c r="G199" s="21"/>
      <c r="H199" s="21"/>
      <c r="I199" s="21"/>
      <c r="J199" s="22"/>
      <c r="K199" s="23"/>
      <c r="L199" s="47"/>
    </row>
    <row r="200" spans="6:12" x14ac:dyDescent="0.3">
      <c r="F200" s="20"/>
      <c r="G200" s="21"/>
      <c r="H200" s="21"/>
      <c r="I200" s="21"/>
      <c r="J200" s="22"/>
      <c r="K200" s="23"/>
      <c r="L200" s="47"/>
    </row>
    <row r="201" spans="6:12" x14ac:dyDescent="0.3">
      <c r="F201" s="20"/>
      <c r="G201" s="21"/>
      <c r="H201" s="21"/>
      <c r="I201" s="21"/>
      <c r="J201" s="22"/>
      <c r="K201" s="23"/>
      <c r="L201" s="47"/>
    </row>
    <row r="202" spans="6:12" x14ac:dyDescent="0.3">
      <c r="F202" s="20"/>
      <c r="G202" s="21"/>
      <c r="H202" s="21"/>
      <c r="I202" s="21"/>
      <c r="J202" s="22"/>
      <c r="K202" s="23"/>
      <c r="L202" s="47"/>
    </row>
    <row r="203" spans="6:12" x14ac:dyDescent="0.3">
      <c r="F203" s="20"/>
      <c r="G203" s="21"/>
      <c r="H203" s="21"/>
      <c r="I203" s="21"/>
      <c r="J203" s="22"/>
      <c r="K203" s="23"/>
      <c r="L203" s="47"/>
    </row>
    <row r="204" spans="6:12" x14ac:dyDescent="0.3">
      <c r="F204" s="20"/>
      <c r="G204" s="21"/>
      <c r="H204" s="21"/>
      <c r="I204" s="21"/>
      <c r="J204" s="22"/>
      <c r="K204" s="23"/>
      <c r="L204" s="47"/>
    </row>
    <row r="205" spans="6:12" x14ac:dyDescent="0.3">
      <c r="F205" s="20"/>
      <c r="G205" s="21"/>
      <c r="H205" s="21"/>
      <c r="I205" s="21"/>
      <c r="J205" s="22"/>
      <c r="K205" s="23"/>
      <c r="L205" s="47"/>
    </row>
    <row r="206" spans="6:12" x14ac:dyDescent="0.3">
      <c r="F206" s="20"/>
      <c r="G206" s="21"/>
      <c r="H206" s="21"/>
      <c r="I206" s="21"/>
      <c r="J206" s="22"/>
      <c r="K206" s="23"/>
      <c r="L206" s="47"/>
    </row>
    <row r="207" spans="6:12" x14ac:dyDescent="0.3">
      <c r="F207" s="20"/>
      <c r="G207" s="21"/>
      <c r="H207" s="21"/>
      <c r="I207" s="21"/>
      <c r="J207" s="22"/>
      <c r="K207" s="23"/>
      <c r="L207" s="47"/>
    </row>
    <row r="208" spans="6:12" x14ac:dyDescent="0.3">
      <c r="F208" s="20"/>
      <c r="G208" s="21"/>
      <c r="H208" s="21"/>
      <c r="I208" s="21"/>
      <c r="J208" s="22"/>
      <c r="K208" s="23"/>
      <c r="L208" s="47"/>
    </row>
    <row r="209" spans="6:12" x14ac:dyDescent="0.3">
      <c r="F209" s="20"/>
      <c r="G209" s="21"/>
      <c r="H209" s="21"/>
      <c r="I209" s="21"/>
      <c r="J209" s="22"/>
      <c r="K209" s="23"/>
      <c r="L209" s="47"/>
    </row>
    <row r="210" spans="6:12" x14ac:dyDescent="0.3">
      <c r="F210" s="20"/>
      <c r="G210" s="21"/>
      <c r="H210" s="21"/>
      <c r="I210" s="21"/>
      <c r="J210" s="22"/>
      <c r="K210" s="23"/>
      <c r="L210" s="47"/>
    </row>
    <row r="211" spans="6:12" x14ac:dyDescent="0.3">
      <c r="F211" s="20"/>
      <c r="G211" s="21"/>
      <c r="H211" s="21"/>
      <c r="I211" s="21"/>
      <c r="J211" s="22"/>
      <c r="K211" s="23"/>
      <c r="L211" s="47"/>
    </row>
    <row r="212" spans="6:12" x14ac:dyDescent="0.3">
      <c r="F212" s="20"/>
      <c r="G212" s="21"/>
      <c r="H212" s="21"/>
      <c r="I212" s="21"/>
      <c r="J212" s="22"/>
      <c r="K212" s="23"/>
      <c r="L212" s="47"/>
    </row>
    <row r="213" spans="6:12" x14ac:dyDescent="0.3">
      <c r="F213" s="20"/>
      <c r="G213" s="21"/>
      <c r="H213" s="21"/>
      <c r="I213" s="21"/>
      <c r="J213" s="22"/>
      <c r="K213" s="23"/>
      <c r="L213" s="47"/>
    </row>
    <row r="214" spans="6:12" x14ac:dyDescent="0.3">
      <c r="F214" s="20"/>
      <c r="G214" s="21"/>
      <c r="H214" s="21"/>
      <c r="I214" s="21"/>
      <c r="J214" s="22"/>
      <c r="K214" s="23"/>
      <c r="L214" s="47"/>
    </row>
    <row r="215" spans="6:12" x14ac:dyDescent="0.3">
      <c r="F215" s="20"/>
      <c r="G215" s="21"/>
      <c r="H215" s="21"/>
      <c r="I215" s="21"/>
      <c r="J215" s="22"/>
      <c r="K215" s="23"/>
      <c r="L215" s="47"/>
    </row>
    <row r="216" spans="6:12" x14ac:dyDescent="0.3">
      <c r="F216" s="20"/>
      <c r="G216" s="21"/>
      <c r="H216" s="21"/>
      <c r="I216" s="21"/>
      <c r="J216" s="22"/>
      <c r="K216" s="23"/>
      <c r="L216" s="47"/>
    </row>
    <row r="217" spans="6:12" x14ac:dyDescent="0.3">
      <c r="F217" s="20"/>
      <c r="G217" s="21"/>
      <c r="H217" s="21"/>
      <c r="I217" s="21"/>
      <c r="J217" s="22"/>
      <c r="K217" s="23"/>
      <c r="L217" s="47"/>
    </row>
    <row r="218" spans="6:12" x14ac:dyDescent="0.3">
      <c r="F218" s="20"/>
      <c r="G218" s="21"/>
      <c r="H218" s="21"/>
      <c r="I218" s="21"/>
      <c r="J218" s="22"/>
      <c r="K218" s="23"/>
      <c r="L218" s="47"/>
    </row>
    <row r="219" spans="6:12" x14ac:dyDescent="0.3">
      <c r="F219" s="20"/>
      <c r="G219" s="21"/>
      <c r="H219" s="21"/>
      <c r="I219" s="21"/>
      <c r="J219" s="22"/>
      <c r="K219" s="23"/>
      <c r="L219" s="47"/>
    </row>
    <row r="220" spans="6:12" x14ac:dyDescent="0.3">
      <c r="F220" s="20"/>
      <c r="G220" s="21"/>
      <c r="H220" s="21"/>
      <c r="I220" s="21"/>
      <c r="J220" s="22"/>
      <c r="K220" s="23"/>
      <c r="L220" s="47"/>
    </row>
    <row r="221" spans="6:12" x14ac:dyDescent="0.3">
      <c r="F221" s="20"/>
      <c r="G221" s="21"/>
      <c r="H221" s="21"/>
      <c r="I221" s="21"/>
      <c r="J221" s="22"/>
      <c r="K221" s="23"/>
      <c r="L221" s="47"/>
    </row>
    <row r="222" spans="6:12" x14ac:dyDescent="0.3">
      <c r="F222" s="20"/>
      <c r="G222" s="21"/>
      <c r="H222" s="21"/>
      <c r="I222" s="21"/>
      <c r="J222" s="22"/>
      <c r="K222" s="23"/>
      <c r="L222" s="47"/>
    </row>
    <row r="223" spans="6:12" x14ac:dyDescent="0.3">
      <c r="F223" s="20"/>
      <c r="G223" s="21"/>
      <c r="H223" s="21"/>
      <c r="I223" s="21"/>
      <c r="J223" s="22"/>
      <c r="K223" s="23"/>
      <c r="L223" s="47"/>
    </row>
    <row r="224" spans="6:12" x14ac:dyDescent="0.3">
      <c r="F224" s="20"/>
      <c r="G224" s="21"/>
      <c r="H224" s="21"/>
      <c r="I224" s="21"/>
      <c r="J224" s="22"/>
      <c r="K224" s="23"/>
      <c r="L224" s="47"/>
    </row>
    <row r="225" spans="6:12" x14ac:dyDescent="0.3">
      <c r="F225" s="20"/>
      <c r="G225" s="21"/>
      <c r="H225" s="21"/>
      <c r="I225" s="21"/>
      <c r="J225" s="22"/>
      <c r="K225" s="23"/>
      <c r="L225" s="47"/>
    </row>
    <row r="226" spans="6:12" x14ac:dyDescent="0.3">
      <c r="F226" s="20"/>
      <c r="G226" s="21"/>
      <c r="H226" s="21"/>
      <c r="I226" s="21"/>
      <c r="J226" s="22"/>
      <c r="K226" s="23"/>
      <c r="L226" s="47"/>
    </row>
    <row r="227" spans="6:12" x14ac:dyDescent="0.3">
      <c r="F227" s="20"/>
      <c r="G227" s="21"/>
      <c r="H227" s="21"/>
      <c r="I227" s="21"/>
      <c r="J227" s="22"/>
      <c r="K227" s="23"/>
      <c r="L227" s="47"/>
    </row>
    <row r="228" spans="6:12" x14ac:dyDescent="0.3">
      <c r="F228" s="20"/>
      <c r="G228" s="21"/>
      <c r="H228" s="21"/>
      <c r="I228" s="21"/>
      <c r="J228" s="22"/>
      <c r="K228" s="23"/>
      <c r="L228" s="47"/>
    </row>
    <row r="229" spans="6:12" x14ac:dyDescent="0.3">
      <c r="F229" s="20"/>
      <c r="G229" s="21"/>
      <c r="H229" s="21"/>
      <c r="I229" s="21"/>
      <c r="J229" s="22"/>
      <c r="K229" s="23"/>
      <c r="L229" s="47"/>
    </row>
    <row r="230" spans="6:12" x14ac:dyDescent="0.3">
      <c r="F230" s="20"/>
      <c r="G230" s="21"/>
      <c r="H230" s="21"/>
      <c r="I230" s="21"/>
      <c r="J230" s="22"/>
      <c r="K230" s="23"/>
      <c r="L230" s="47"/>
    </row>
    <row r="231" spans="6:12" x14ac:dyDescent="0.3">
      <c r="F231" s="20"/>
      <c r="G231" s="21"/>
      <c r="H231" s="21"/>
      <c r="I231" s="21"/>
      <c r="J231" s="22"/>
      <c r="K231" s="23"/>
      <c r="L231" s="47"/>
    </row>
    <row r="232" spans="6:12" x14ac:dyDescent="0.3">
      <c r="F232" s="20"/>
      <c r="G232" s="21"/>
      <c r="H232" s="21"/>
      <c r="I232" s="21"/>
      <c r="J232" s="22"/>
      <c r="K232" s="23"/>
      <c r="L232" s="47"/>
    </row>
    <row r="233" spans="6:12" x14ac:dyDescent="0.3">
      <c r="F233" s="20"/>
      <c r="G233" s="21"/>
      <c r="H233" s="21"/>
      <c r="I233" s="21"/>
      <c r="J233" s="22"/>
      <c r="K233" s="23"/>
      <c r="L233" s="47"/>
    </row>
    <row r="234" spans="6:12" x14ac:dyDescent="0.3">
      <c r="F234" s="20"/>
      <c r="G234" s="21"/>
      <c r="H234" s="21"/>
      <c r="I234" s="21"/>
      <c r="J234" s="22"/>
      <c r="K234" s="23"/>
      <c r="L234" s="47"/>
    </row>
    <row r="235" spans="6:12" x14ac:dyDescent="0.3">
      <c r="F235" s="20"/>
      <c r="G235" s="21"/>
      <c r="H235" s="21"/>
      <c r="I235" s="21"/>
      <c r="J235" s="22"/>
      <c r="K235" s="23"/>
      <c r="L235" s="47"/>
    </row>
    <row r="236" spans="6:12" x14ac:dyDescent="0.3">
      <c r="F236" s="20"/>
      <c r="G236" s="21"/>
      <c r="H236" s="21"/>
      <c r="I236" s="21"/>
      <c r="J236" s="22"/>
      <c r="K236" s="23"/>
      <c r="L236" s="47"/>
    </row>
    <row r="237" spans="6:12" x14ac:dyDescent="0.3">
      <c r="F237" s="20"/>
      <c r="G237" s="21"/>
      <c r="H237" s="21"/>
      <c r="I237" s="21"/>
      <c r="J237" s="22"/>
      <c r="K237" s="23"/>
      <c r="L237" s="47"/>
    </row>
    <row r="238" spans="6:12" x14ac:dyDescent="0.3">
      <c r="F238" s="20"/>
      <c r="G238" s="21"/>
      <c r="H238" s="21"/>
      <c r="I238" s="21"/>
      <c r="J238" s="22"/>
      <c r="K238" s="23"/>
      <c r="L238" s="47"/>
    </row>
    <row r="239" spans="6:12" x14ac:dyDescent="0.3">
      <c r="F239" s="20"/>
      <c r="G239" s="21"/>
      <c r="H239" s="21"/>
      <c r="I239" s="21"/>
      <c r="J239" s="22"/>
      <c r="K239" s="23"/>
      <c r="L239" s="47"/>
    </row>
    <row r="240" spans="6:12" x14ac:dyDescent="0.3">
      <c r="F240" s="20"/>
      <c r="G240" s="21"/>
      <c r="H240" s="21"/>
      <c r="I240" s="21"/>
      <c r="J240" s="22"/>
      <c r="K240" s="23"/>
      <c r="L240" s="47"/>
    </row>
    <row r="241" spans="6:12" x14ac:dyDescent="0.3">
      <c r="F241" s="20"/>
      <c r="G241" s="21"/>
      <c r="H241" s="21"/>
      <c r="I241" s="21"/>
      <c r="J241" s="22"/>
      <c r="K241" s="23"/>
      <c r="L241" s="47"/>
    </row>
    <row r="242" spans="6:12" x14ac:dyDescent="0.3">
      <c r="F242" s="20"/>
      <c r="G242" s="21"/>
      <c r="H242" s="21"/>
      <c r="I242" s="21"/>
      <c r="J242" s="22"/>
      <c r="K242" s="23"/>
      <c r="L242" s="47"/>
    </row>
    <row r="243" spans="6:12" x14ac:dyDescent="0.3">
      <c r="F243" s="20"/>
      <c r="G243" s="21"/>
      <c r="H243" s="21"/>
      <c r="I243" s="21"/>
      <c r="J243" s="22"/>
      <c r="K243" s="23"/>
      <c r="L243" s="47"/>
    </row>
    <row r="244" spans="6:12" x14ac:dyDescent="0.3">
      <c r="F244" s="20"/>
      <c r="G244" s="21"/>
      <c r="H244" s="21"/>
      <c r="I244" s="21"/>
      <c r="J244" s="22"/>
      <c r="K244" s="23"/>
      <c r="L244" s="47"/>
    </row>
    <row r="245" spans="6:12" x14ac:dyDescent="0.3">
      <c r="F245" s="20"/>
      <c r="G245" s="21"/>
      <c r="H245" s="21"/>
      <c r="I245" s="21"/>
      <c r="J245" s="22"/>
      <c r="K245" s="23"/>
      <c r="L245" s="47"/>
    </row>
    <row r="246" spans="6:12" x14ac:dyDescent="0.3">
      <c r="F246" s="20"/>
      <c r="G246" s="21"/>
      <c r="H246" s="21"/>
      <c r="I246" s="21"/>
      <c r="J246" s="22"/>
      <c r="K246" s="23"/>
      <c r="L246" s="47"/>
    </row>
    <row r="247" spans="6:12" x14ac:dyDescent="0.3">
      <c r="F247" s="20"/>
      <c r="G247" s="21"/>
      <c r="H247" s="21"/>
      <c r="I247" s="21"/>
      <c r="J247" s="22"/>
      <c r="K247" s="23"/>
      <c r="L247" s="47"/>
    </row>
    <row r="248" spans="6:12" x14ac:dyDescent="0.3">
      <c r="F248" s="20"/>
      <c r="G248" s="21"/>
      <c r="H248" s="21"/>
      <c r="I248" s="21"/>
      <c r="J248" s="22"/>
      <c r="K248" s="23"/>
      <c r="L248" s="47"/>
    </row>
    <row r="249" spans="6:12" x14ac:dyDescent="0.3">
      <c r="F249" s="20"/>
      <c r="G249" s="21"/>
      <c r="H249" s="21"/>
      <c r="I249" s="21"/>
      <c r="J249" s="22"/>
      <c r="K249" s="23"/>
      <c r="L249" s="47"/>
    </row>
    <row r="250" spans="6:12" x14ac:dyDescent="0.3">
      <c r="F250" s="20"/>
      <c r="G250" s="21"/>
      <c r="H250" s="21"/>
      <c r="I250" s="21"/>
      <c r="J250" s="22"/>
      <c r="K250" s="23"/>
      <c r="L250" s="47"/>
    </row>
    <row r="251" spans="6:12" x14ac:dyDescent="0.3">
      <c r="F251" s="20"/>
      <c r="G251" s="21"/>
      <c r="H251" s="21"/>
      <c r="I251" s="21"/>
      <c r="J251" s="22"/>
      <c r="K251" s="23"/>
      <c r="L251" s="47"/>
    </row>
    <row r="252" spans="6:12" x14ac:dyDescent="0.3">
      <c r="F252" s="20"/>
      <c r="G252" s="21"/>
      <c r="H252" s="21"/>
      <c r="I252" s="21"/>
      <c r="J252" s="22"/>
      <c r="K252" s="23"/>
      <c r="L252" s="47"/>
    </row>
    <row r="253" spans="6:12" x14ac:dyDescent="0.3">
      <c r="F253" s="20"/>
      <c r="G253" s="21"/>
      <c r="H253" s="21"/>
      <c r="I253" s="21"/>
      <c r="J253" s="22"/>
      <c r="K253" s="23"/>
      <c r="L253" s="47"/>
    </row>
    <row r="254" spans="6:12" x14ac:dyDescent="0.3">
      <c r="F254" s="20"/>
      <c r="G254" s="21"/>
      <c r="H254" s="21"/>
      <c r="I254" s="21"/>
      <c r="J254" s="22"/>
      <c r="K254" s="23"/>
      <c r="L254" s="47"/>
    </row>
    <row r="255" spans="6:12" x14ac:dyDescent="0.3">
      <c r="F255" s="20"/>
      <c r="G255" s="21"/>
      <c r="H255" s="21"/>
      <c r="I255" s="21"/>
      <c r="J255" s="22"/>
      <c r="K255" s="23"/>
      <c r="L255" s="47"/>
    </row>
    <row r="256" spans="6:12" x14ac:dyDescent="0.3">
      <c r="F256" s="20"/>
      <c r="G256" s="21"/>
      <c r="H256" s="21"/>
      <c r="I256" s="21"/>
      <c r="J256" s="22"/>
      <c r="K256" s="23"/>
      <c r="L256" s="47"/>
    </row>
    <row r="257" spans="6:12" x14ac:dyDescent="0.3">
      <c r="F257" s="20"/>
      <c r="G257" s="21"/>
      <c r="H257" s="21"/>
      <c r="I257" s="21"/>
      <c r="J257" s="22"/>
      <c r="K257" s="23"/>
      <c r="L257" s="47"/>
    </row>
    <row r="258" spans="6:12" x14ac:dyDescent="0.3">
      <c r="F258" s="20"/>
      <c r="G258" s="21"/>
      <c r="H258" s="21"/>
      <c r="I258" s="21"/>
      <c r="J258" s="22"/>
      <c r="K258" s="23"/>
      <c r="L258" s="47"/>
    </row>
    <row r="259" spans="6:12" x14ac:dyDescent="0.3">
      <c r="F259" s="20"/>
      <c r="G259" s="21"/>
      <c r="H259" s="21"/>
      <c r="I259" s="21"/>
      <c r="J259" s="22"/>
      <c r="K259" s="23"/>
      <c r="L259" s="47"/>
    </row>
    <row r="260" spans="6:12" x14ac:dyDescent="0.3">
      <c r="F260" s="20"/>
      <c r="G260" s="21"/>
      <c r="H260" s="21"/>
      <c r="I260" s="21"/>
      <c r="J260" s="22"/>
      <c r="K260" s="23"/>
      <c r="L260" s="47"/>
    </row>
    <row r="261" spans="6:12" x14ac:dyDescent="0.3">
      <c r="F261" s="20"/>
      <c r="G261" s="21"/>
      <c r="H261" s="21"/>
      <c r="I261" s="21"/>
      <c r="J261" s="22"/>
      <c r="K261" s="23"/>
      <c r="L261" s="47"/>
    </row>
    <row r="262" spans="6:12" x14ac:dyDescent="0.3">
      <c r="F262" s="20"/>
      <c r="G262" s="21"/>
      <c r="H262" s="21"/>
      <c r="I262" s="21"/>
      <c r="J262" s="22"/>
      <c r="K262" s="23"/>
      <c r="L262" s="47"/>
    </row>
    <row r="263" spans="6:12" x14ac:dyDescent="0.3">
      <c r="F263" s="20"/>
      <c r="G263" s="21"/>
      <c r="H263" s="21"/>
      <c r="I263" s="21"/>
      <c r="J263" s="22"/>
      <c r="K263" s="23"/>
      <c r="L263" s="47"/>
    </row>
    <row r="264" spans="6:12" x14ac:dyDescent="0.3">
      <c r="F264" s="20"/>
      <c r="G264" s="21"/>
      <c r="H264" s="21"/>
      <c r="I264" s="21"/>
      <c r="J264" s="22"/>
      <c r="K264" s="23"/>
      <c r="L264" s="47"/>
    </row>
    <row r="265" spans="6:12" x14ac:dyDescent="0.3">
      <c r="F265" s="20"/>
      <c r="G265" s="21"/>
      <c r="H265" s="21"/>
      <c r="I265" s="21"/>
      <c r="J265" s="22"/>
      <c r="K265" s="23"/>
      <c r="L265" s="47"/>
    </row>
    <row r="266" spans="6:12" x14ac:dyDescent="0.3">
      <c r="F266" s="20"/>
      <c r="G266" s="21"/>
      <c r="H266" s="21"/>
      <c r="I266" s="21"/>
      <c r="J266" s="22"/>
      <c r="K266" s="23"/>
      <c r="L266" s="47"/>
    </row>
    <row r="267" spans="6:12" x14ac:dyDescent="0.3">
      <c r="F267" s="20"/>
      <c r="G267" s="21"/>
      <c r="H267" s="21"/>
      <c r="I267" s="21"/>
      <c r="J267" s="22"/>
      <c r="K267" s="23"/>
      <c r="L267" s="47"/>
    </row>
    <row r="268" spans="6:12" x14ac:dyDescent="0.3">
      <c r="F268" s="20"/>
      <c r="G268" s="21"/>
      <c r="H268" s="21"/>
      <c r="I268" s="21"/>
      <c r="J268" s="22"/>
      <c r="K268" s="23"/>
      <c r="L268" s="47"/>
    </row>
    <row r="269" spans="6:12" x14ac:dyDescent="0.3">
      <c r="F269" s="20"/>
      <c r="G269" s="21"/>
      <c r="H269" s="21"/>
      <c r="I269" s="21"/>
      <c r="J269" s="22"/>
      <c r="K269" s="23"/>
      <c r="L269" s="47"/>
    </row>
    <row r="270" spans="6:12" x14ac:dyDescent="0.3">
      <c r="F270" s="20"/>
      <c r="G270" s="21"/>
      <c r="H270" s="21"/>
      <c r="I270" s="21"/>
      <c r="J270" s="22"/>
      <c r="K270" s="23"/>
      <c r="L270" s="47"/>
    </row>
    <row r="271" spans="6:12" x14ac:dyDescent="0.3">
      <c r="F271" s="20"/>
      <c r="G271" s="21"/>
      <c r="H271" s="21"/>
      <c r="I271" s="21"/>
      <c r="J271" s="22"/>
      <c r="K271" s="23"/>
      <c r="L271" s="47"/>
    </row>
    <row r="272" spans="6:12" x14ac:dyDescent="0.3">
      <c r="F272" s="20"/>
      <c r="G272" s="21"/>
      <c r="H272" s="21"/>
      <c r="I272" s="21"/>
      <c r="J272" s="22"/>
      <c r="K272" s="23"/>
      <c r="L272" s="47"/>
    </row>
    <row r="273" spans="6:12" x14ac:dyDescent="0.3">
      <c r="F273" s="20"/>
      <c r="G273" s="21"/>
      <c r="H273" s="21"/>
      <c r="I273" s="21"/>
      <c r="J273" s="22"/>
      <c r="K273" s="23"/>
      <c r="L273" s="47"/>
    </row>
    <row r="274" spans="6:12" x14ac:dyDescent="0.3">
      <c r="F274" s="20"/>
      <c r="G274" s="21"/>
      <c r="H274" s="21"/>
      <c r="I274" s="21"/>
      <c r="J274" s="22"/>
      <c r="K274" s="23"/>
      <c r="L274" s="47"/>
    </row>
    <row r="275" spans="6:12" x14ac:dyDescent="0.3">
      <c r="F275" s="20"/>
      <c r="G275" s="21"/>
      <c r="H275" s="21"/>
      <c r="I275" s="21"/>
      <c r="J275" s="22"/>
      <c r="K275" s="23"/>
      <c r="L275" s="47"/>
    </row>
    <row r="276" spans="6:12" x14ac:dyDescent="0.3">
      <c r="F276" s="20"/>
      <c r="G276" s="21"/>
      <c r="H276" s="21"/>
      <c r="I276" s="21"/>
      <c r="J276" s="22"/>
      <c r="K276" s="23"/>
      <c r="L276" s="47"/>
    </row>
    <row r="277" spans="6:12" x14ac:dyDescent="0.3">
      <c r="F277" s="20"/>
      <c r="G277" s="21"/>
      <c r="H277" s="21"/>
      <c r="I277" s="21"/>
      <c r="J277" s="22"/>
      <c r="K277" s="23"/>
      <c r="L277" s="47"/>
    </row>
    <row r="278" spans="6:12" x14ac:dyDescent="0.3">
      <c r="F278" s="20"/>
      <c r="G278" s="21"/>
      <c r="H278" s="21"/>
      <c r="I278" s="21"/>
      <c r="J278" s="22"/>
      <c r="K278" s="23"/>
      <c r="L278" s="47"/>
    </row>
    <row r="279" spans="6:12" x14ac:dyDescent="0.3">
      <c r="F279" s="20"/>
      <c r="G279" s="21"/>
      <c r="H279" s="21"/>
      <c r="I279" s="21"/>
      <c r="J279" s="22"/>
      <c r="K279" s="23"/>
      <c r="L279" s="47"/>
    </row>
    <row r="280" spans="6:12" x14ac:dyDescent="0.3">
      <c r="F280" s="20"/>
      <c r="G280" s="21"/>
      <c r="H280" s="21"/>
      <c r="I280" s="21"/>
      <c r="J280" s="22"/>
      <c r="K280" s="23"/>
      <c r="L280" s="47"/>
    </row>
    <row r="281" spans="6:12" x14ac:dyDescent="0.3">
      <c r="F281" s="20"/>
      <c r="G281" s="21"/>
      <c r="H281" s="21"/>
      <c r="I281" s="21"/>
      <c r="J281" s="22"/>
      <c r="K281" s="23"/>
      <c r="L281" s="47"/>
    </row>
    <row r="282" spans="6:12" x14ac:dyDescent="0.3">
      <c r="F282" s="20"/>
      <c r="G282" s="21"/>
      <c r="H282" s="21"/>
      <c r="I282" s="21"/>
      <c r="J282" s="22"/>
      <c r="K282" s="23"/>
      <c r="L282" s="47"/>
    </row>
    <row r="283" spans="6:12" x14ac:dyDescent="0.3">
      <c r="F283" s="20"/>
      <c r="G283" s="21"/>
      <c r="H283" s="21"/>
      <c r="I283" s="21"/>
      <c r="J283" s="22"/>
      <c r="K283" s="23"/>
      <c r="L283" s="47"/>
    </row>
    <row r="284" spans="6:12" x14ac:dyDescent="0.3">
      <c r="F284" s="20"/>
      <c r="G284" s="21"/>
      <c r="H284" s="21"/>
      <c r="I284" s="21"/>
      <c r="J284" s="22"/>
      <c r="K284" s="23"/>
      <c r="L284" s="47"/>
    </row>
    <row r="285" spans="6:12" x14ac:dyDescent="0.3">
      <c r="F285" s="20"/>
      <c r="G285" s="21"/>
      <c r="H285" s="21"/>
      <c r="I285" s="21"/>
      <c r="J285" s="22"/>
      <c r="K285" s="23"/>
      <c r="L285" s="47"/>
    </row>
    <row r="286" spans="6:12" x14ac:dyDescent="0.3">
      <c r="F286" s="20"/>
      <c r="G286" s="21"/>
      <c r="H286" s="21"/>
      <c r="I286" s="21"/>
      <c r="J286" s="22"/>
      <c r="K286" s="23"/>
      <c r="L286" s="47"/>
    </row>
    <row r="287" spans="6:12" x14ac:dyDescent="0.3">
      <c r="F287" s="20"/>
      <c r="G287" s="21"/>
      <c r="H287" s="21"/>
      <c r="I287" s="21"/>
      <c r="J287" s="22"/>
      <c r="K287" s="23"/>
      <c r="L287" s="47"/>
    </row>
    <row r="288" spans="6:12" x14ac:dyDescent="0.3">
      <c r="F288" s="20"/>
      <c r="G288" s="21"/>
      <c r="H288" s="21"/>
      <c r="I288" s="21"/>
      <c r="J288" s="22"/>
      <c r="K288" s="23"/>
      <c r="L288" s="47"/>
    </row>
    <row r="289" spans="6:12" x14ac:dyDescent="0.3">
      <c r="F289" s="20"/>
      <c r="G289" s="21"/>
      <c r="H289" s="21"/>
      <c r="I289" s="21"/>
      <c r="J289" s="22"/>
      <c r="K289" s="23"/>
      <c r="L289" s="47"/>
    </row>
    <row r="290" spans="6:12" x14ac:dyDescent="0.3">
      <c r="F290" s="20"/>
      <c r="G290" s="21"/>
      <c r="H290" s="21"/>
      <c r="I290" s="21"/>
      <c r="J290" s="22"/>
      <c r="K290" s="23"/>
      <c r="L290" s="47"/>
    </row>
    <row r="291" spans="6:12" x14ac:dyDescent="0.3">
      <c r="F291" s="20"/>
      <c r="G291" s="21"/>
      <c r="H291" s="21"/>
      <c r="I291" s="21"/>
      <c r="J291" s="22"/>
      <c r="K291" s="23"/>
      <c r="L291" s="47"/>
    </row>
    <row r="292" spans="6:12" x14ac:dyDescent="0.3">
      <c r="F292" s="20"/>
      <c r="G292" s="21"/>
      <c r="H292" s="21"/>
      <c r="I292" s="21"/>
      <c r="J292" s="22"/>
      <c r="K292" s="23"/>
      <c r="L292" s="47"/>
    </row>
    <row r="293" spans="6:12" x14ac:dyDescent="0.3">
      <c r="F293" s="20"/>
      <c r="G293" s="21"/>
      <c r="H293" s="21"/>
      <c r="I293" s="21"/>
      <c r="J293" s="22"/>
      <c r="K293" s="23"/>
      <c r="L293" s="47"/>
    </row>
    <row r="294" spans="6:12" x14ac:dyDescent="0.3">
      <c r="F294" s="20"/>
      <c r="G294" s="21"/>
      <c r="H294" s="21"/>
      <c r="I294" s="21"/>
      <c r="J294" s="22"/>
      <c r="K294" s="23"/>
      <c r="L294" s="47"/>
    </row>
    <row r="295" spans="6:12" x14ac:dyDescent="0.3">
      <c r="F295" s="20"/>
      <c r="G295" s="21"/>
      <c r="H295" s="21"/>
      <c r="I295" s="21"/>
      <c r="J295" s="22"/>
      <c r="K295" s="23"/>
      <c r="L295" s="47"/>
    </row>
    <row r="296" spans="6:12" x14ac:dyDescent="0.3">
      <c r="F296" s="20"/>
      <c r="G296" s="21"/>
      <c r="H296" s="21"/>
      <c r="I296" s="21"/>
      <c r="J296" s="22"/>
      <c r="K296" s="23"/>
      <c r="L296" s="47"/>
    </row>
    <row r="297" spans="6:12" x14ac:dyDescent="0.3">
      <c r="F297" s="20"/>
      <c r="G297" s="21"/>
      <c r="H297" s="21"/>
      <c r="I297" s="21"/>
      <c r="J297" s="22"/>
      <c r="K297" s="23"/>
      <c r="L297" s="47"/>
    </row>
    <row r="298" spans="6:12" x14ac:dyDescent="0.3">
      <c r="F298" s="20"/>
      <c r="G298" s="21"/>
      <c r="H298" s="21"/>
      <c r="I298" s="21"/>
      <c r="J298" s="22"/>
      <c r="K298" s="23"/>
      <c r="L298" s="47"/>
    </row>
    <row r="299" spans="6:12" x14ac:dyDescent="0.3">
      <c r="F299" s="20"/>
      <c r="G299" s="21"/>
      <c r="H299" s="21"/>
      <c r="I299" s="21"/>
      <c r="J299" s="22"/>
      <c r="K299" s="23"/>
      <c r="L299" s="47"/>
    </row>
    <row r="300" spans="6:12" x14ac:dyDescent="0.3">
      <c r="F300" s="20"/>
      <c r="G300" s="21"/>
      <c r="H300" s="21"/>
      <c r="I300" s="21"/>
      <c r="J300" s="22"/>
      <c r="K300" s="23"/>
      <c r="L300" s="47"/>
    </row>
    <row r="301" spans="6:12" x14ac:dyDescent="0.3">
      <c r="F301" s="20"/>
      <c r="G301" s="21"/>
      <c r="H301" s="21"/>
      <c r="I301" s="21"/>
      <c r="J301" s="22"/>
      <c r="K301" s="23"/>
      <c r="L301" s="47"/>
    </row>
    <row r="302" spans="6:12" x14ac:dyDescent="0.3">
      <c r="F302" s="20"/>
      <c r="G302" s="21"/>
      <c r="H302" s="21"/>
      <c r="I302" s="21"/>
      <c r="J302" s="22"/>
      <c r="K302" s="23"/>
      <c r="L302" s="47"/>
    </row>
    <row r="303" spans="6:12" x14ac:dyDescent="0.3">
      <c r="F303" s="20"/>
      <c r="G303" s="21"/>
      <c r="H303" s="21"/>
      <c r="I303" s="21"/>
      <c r="J303" s="22"/>
      <c r="K303" s="23"/>
      <c r="L303" s="47"/>
    </row>
    <row r="304" spans="6:12" x14ac:dyDescent="0.3">
      <c r="F304" s="20"/>
      <c r="G304" s="21"/>
      <c r="H304" s="21"/>
      <c r="I304" s="21"/>
      <c r="J304" s="22"/>
      <c r="K304" s="23"/>
      <c r="L304" s="47"/>
    </row>
    <row r="305" spans="6:12" x14ac:dyDescent="0.3">
      <c r="F305" s="20"/>
      <c r="G305" s="21"/>
      <c r="H305" s="21"/>
      <c r="I305" s="21"/>
      <c r="J305" s="22"/>
      <c r="K305" s="23"/>
      <c r="L305" s="47"/>
    </row>
    <row r="306" spans="6:12" x14ac:dyDescent="0.3">
      <c r="F306" s="20"/>
      <c r="G306" s="21"/>
      <c r="H306" s="21"/>
      <c r="I306" s="21"/>
      <c r="J306" s="22"/>
      <c r="K306" s="23"/>
      <c r="L306" s="47"/>
    </row>
    <row r="307" spans="6:12" x14ac:dyDescent="0.3">
      <c r="F307" s="20"/>
      <c r="G307" s="21"/>
      <c r="H307" s="21"/>
      <c r="I307" s="21"/>
      <c r="J307" s="22"/>
      <c r="K307" s="23"/>
      <c r="L307" s="47"/>
    </row>
    <row r="308" spans="6:12" x14ac:dyDescent="0.3">
      <c r="F308" s="20"/>
      <c r="G308" s="21"/>
      <c r="H308" s="21"/>
      <c r="I308" s="21"/>
      <c r="J308" s="22"/>
      <c r="K308" s="23"/>
      <c r="L308" s="47"/>
    </row>
    <row r="309" spans="6:12" x14ac:dyDescent="0.3">
      <c r="F309" s="20"/>
      <c r="G309" s="21"/>
      <c r="H309" s="21"/>
      <c r="I309" s="21"/>
      <c r="J309" s="22"/>
      <c r="K309" s="23"/>
      <c r="L309" s="47"/>
    </row>
    <row r="310" spans="6:12" x14ac:dyDescent="0.3">
      <c r="F310" s="20"/>
      <c r="G310" s="21"/>
      <c r="H310" s="21"/>
      <c r="I310" s="21"/>
      <c r="J310" s="22"/>
      <c r="K310" s="23"/>
      <c r="L310" s="47"/>
    </row>
    <row r="311" spans="6:12" x14ac:dyDescent="0.3">
      <c r="F311" s="20"/>
      <c r="G311" s="21"/>
      <c r="H311" s="21"/>
      <c r="I311" s="21"/>
      <c r="J311" s="22"/>
      <c r="K311" s="23"/>
      <c r="L311" s="47"/>
    </row>
    <row r="312" spans="6:12" x14ac:dyDescent="0.3">
      <c r="F312" s="20"/>
      <c r="G312" s="21"/>
      <c r="H312" s="21"/>
      <c r="I312" s="21"/>
      <c r="J312" s="22"/>
      <c r="K312" s="23"/>
      <c r="L312" s="47"/>
    </row>
    <row r="313" spans="6:12" x14ac:dyDescent="0.3">
      <c r="F313" s="20"/>
      <c r="G313" s="21"/>
      <c r="H313" s="21"/>
      <c r="I313" s="21"/>
      <c r="J313" s="22"/>
      <c r="K313" s="23"/>
      <c r="L313" s="47"/>
    </row>
    <row r="314" spans="6:12" x14ac:dyDescent="0.3">
      <c r="F314" s="20"/>
      <c r="G314" s="21"/>
      <c r="H314" s="21"/>
      <c r="I314" s="21"/>
      <c r="J314" s="22"/>
      <c r="K314" s="23"/>
      <c r="L314" s="47"/>
    </row>
    <row r="315" spans="6:12" x14ac:dyDescent="0.3">
      <c r="F315" s="20"/>
      <c r="G315" s="21"/>
      <c r="H315" s="21"/>
      <c r="I315" s="21"/>
      <c r="J315" s="22"/>
      <c r="K315" s="23"/>
      <c r="L315" s="47"/>
    </row>
    <row r="316" spans="6:12" x14ac:dyDescent="0.3">
      <c r="F316" s="20"/>
      <c r="G316" s="21"/>
      <c r="H316" s="21"/>
      <c r="I316" s="21"/>
      <c r="J316" s="22"/>
      <c r="K316" s="23"/>
      <c r="L316" s="47"/>
    </row>
    <row r="317" spans="6:12" x14ac:dyDescent="0.3">
      <c r="F317" s="20"/>
      <c r="G317" s="21"/>
      <c r="H317" s="21"/>
      <c r="I317" s="21"/>
      <c r="J317" s="22"/>
      <c r="K317" s="23"/>
      <c r="L317" s="47"/>
    </row>
    <row r="318" spans="6:12" x14ac:dyDescent="0.3">
      <c r="F318" s="20"/>
      <c r="G318" s="21"/>
      <c r="H318" s="21"/>
      <c r="I318" s="21"/>
      <c r="J318" s="22"/>
      <c r="K318" s="23"/>
      <c r="L318" s="47"/>
    </row>
    <row r="319" spans="6:12" x14ac:dyDescent="0.3">
      <c r="F319" s="20"/>
      <c r="G319" s="21"/>
      <c r="H319" s="21"/>
      <c r="I319" s="21"/>
      <c r="J319" s="22"/>
      <c r="K319" s="23"/>
      <c r="L319" s="47"/>
    </row>
    <row r="320" spans="6:12" x14ac:dyDescent="0.3">
      <c r="F320" s="20"/>
      <c r="G320" s="21"/>
      <c r="H320" s="21"/>
      <c r="I320" s="21"/>
      <c r="J320" s="22"/>
      <c r="K320" s="23"/>
      <c r="L320" s="47"/>
    </row>
    <row r="321" spans="6:12" x14ac:dyDescent="0.3">
      <c r="F321" s="20"/>
      <c r="G321" s="21"/>
      <c r="H321" s="21"/>
      <c r="I321" s="21"/>
      <c r="J321" s="22"/>
      <c r="K321" s="23"/>
      <c r="L321" s="47"/>
    </row>
    <row r="322" spans="6:12" x14ac:dyDescent="0.3">
      <c r="F322" s="20"/>
      <c r="G322" s="21"/>
      <c r="H322" s="21"/>
      <c r="I322" s="21"/>
      <c r="J322" s="22"/>
      <c r="K322" s="23"/>
      <c r="L322" s="47"/>
    </row>
    <row r="323" spans="6:12" x14ac:dyDescent="0.3">
      <c r="F323" s="20"/>
      <c r="G323" s="21"/>
      <c r="H323" s="21"/>
      <c r="I323" s="21"/>
      <c r="J323" s="22"/>
      <c r="K323" s="23"/>
      <c r="L323" s="47"/>
    </row>
    <row r="324" spans="6:12" x14ac:dyDescent="0.3">
      <c r="F324" s="20"/>
      <c r="G324" s="21"/>
      <c r="H324" s="21"/>
      <c r="I324" s="21"/>
      <c r="J324" s="22"/>
      <c r="K324" s="23"/>
      <c r="L324" s="47"/>
    </row>
    <row r="325" spans="6:12" x14ac:dyDescent="0.3">
      <c r="F325" s="20"/>
      <c r="G325" s="21"/>
      <c r="H325" s="21"/>
      <c r="I325" s="21"/>
      <c r="J325" s="22"/>
      <c r="K325" s="23"/>
      <c r="L325" s="47"/>
    </row>
    <row r="326" spans="6:12" x14ac:dyDescent="0.3">
      <c r="F326" s="20"/>
      <c r="G326" s="21"/>
      <c r="H326" s="21"/>
      <c r="I326" s="21"/>
      <c r="J326" s="22"/>
      <c r="K326" s="23"/>
      <c r="L326" s="47"/>
    </row>
    <row r="327" spans="6:12" x14ac:dyDescent="0.3">
      <c r="F327" s="20"/>
      <c r="G327" s="21"/>
      <c r="H327" s="21"/>
      <c r="I327" s="21"/>
      <c r="J327" s="22"/>
      <c r="K327" s="23"/>
      <c r="L327" s="47"/>
    </row>
    <row r="328" spans="6:12" x14ac:dyDescent="0.3">
      <c r="F328" s="20"/>
      <c r="G328" s="21"/>
      <c r="H328" s="21"/>
      <c r="I328" s="21"/>
      <c r="J328" s="22"/>
      <c r="K328" s="23"/>
      <c r="L328" s="47"/>
    </row>
    <row r="329" spans="6:12" x14ac:dyDescent="0.3">
      <c r="F329" s="20"/>
      <c r="G329" s="21"/>
      <c r="H329" s="21"/>
      <c r="I329" s="21"/>
      <c r="J329" s="22"/>
      <c r="K329" s="23"/>
      <c r="L329" s="47"/>
    </row>
    <row r="330" spans="6:12" x14ac:dyDescent="0.3">
      <c r="F330" s="20"/>
      <c r="G330" s="21"/>
      <c r="H330" s="21"/>
      <c r="I330" s="21"/>
      <c r="J330" s="22"/>
      <c r="K330" s="23"/>
      <c r="L330" s="47"/>
    </row>
    <row r="331" spans="6:12" x14ac:dyDescent="0.3">
      <c r="F331" s="20"/>
      <c r="G331" s="21"/>
      <c r="H331" s="21"/>
      <c r="I331" s="21"/>
      <c r="J331" s="22"/>
      <c r="K331" s="23"/>
      <c r="L331" s="47"/>
    </row>
    <row r="332" spans="6:12" x14ac:dyDescent="0.3">
      <c r="F332" s="20"/>
      <c r="G332" s="21"/>
      <c r="H332" s="21"/>
      <c r="I332" s="21"/>
      <c r="J332" s="22"/>
      <c r="K332" s="23"/>
      <c r="L332" s="47"/>
    </row>
    <row r="333" spans="6:12" x14ac:dyDescent="0.3">
      <c r="F333" s="20"/>
      <c r="G333" s="21"/>
      <c r="H333" s="21"/>
      <c r="I333" s="21"/>
      <c r="J333" s="22"/>
      <c r="K333" s="23"/>
      <c r="L333" s="47"/>
    </row>
    <row r="334" spans="6:12" x14ac:dyDescent="0.3">
      <c r="F334" s="20"/>
      <c r="G334" s="21"/>
      <c r="H334" s="21"/>
      <c r="I334" s="21"/>
      <c r="J334" s="22"/>
      <c r="K334" s="23"/>
      <c r="L334" s="47"/>
    </row>
    <row r="335" spans="6:12" x14ac:dyDescent="0.3">
      <c r="F335" s="20"/>
      <c r="G335" s="21"/>
      <c r="H335" s="21"/>
      <c r="I335" s="21"/>
      <c r="J335" s="22"/>
      <c r="K335" s="23"/>
      <c r="L335" s="47"/>
    </row>
    <row r="336" spans="6:12" x14ac:dyDescent="0.3">
      <c r="F336" s="20"/>
      <c r="G336" s="21"/>
      <c r="H336" s="21"/>
      <c r="I336" s="21"/>
      <c r="J336" s="22"/>
      <c r="K336" s="23"/>
      <c r="L336" s="47"/>
    </row>
    <row r="337" spans="6:12" x14ac:dyDescent="0.3">
      <c r="F337" s="20"/>
      <c r="G337" s="21"/>
      <c r="H337" s="21"/>
      <c r="I337" s="21"/>
      <c r="J337" s="22"/>
      <c r="K337" s="23"/>
      <c r="L337" s="47"/>
    </row>
    <row r="338" spans="6:12" x14ac:dyDescent="0.3">
      <c r="F338" s="20"/>
      <c r="G338" s="21"/>
      <c r="H338" s="21"/>
      <c r="I338" s="21"/>
      <c r="J338" s="22"/>
      <c r="K338" s="23"/>
      <c r="L338" s="47"/>
    </row>
    <row r="339" spans="6:12" x14ac:dyDescent="0.3">
      <c r="F339" s="20"/>
      <c r="G339" s="21"/>
      <c r="H339" s="21"/>
      <c r="I339" s="21"/>
      <c r="J339" s="22"/>
      <c r="K339" s="23"/>
      <c r="L339" s="47"/>
    </row>
    <row r="340" spans="6:12" x14ac:dyDescent="0.3">
      <c r="F340" s="20"/>
      <c r="G340" s="21"/>
      <c r="H340" s="21"/>
      <c r="I340" s="21"/>
      <c r="J340" s="22"/>
      <c r="K340" s="23"/>
      <c r="L340" s="47"/>
    </row>
    <row r="341" spans="6:12" x14ac:dyDescent="0.3">
      <c r="F341" s="20"/>
      <c r="G341" s="21"/>
      <c r="H341" s="21"/>
      <c r="I341" s="21"/>
      <c r="J341" s="22"/>
      <c r="K341" s="23"/>
      <c r="L341" s="47"/>
    </row>
    <row r="342" spans="6:12" x14ac:dyDescent="0.3">
      <c r="F342" s="20"/>
      <c r="G342" s="21"/>
      <c r="H342" s="21"/>
      <c r="I342" s="21"/>
      <c r="J342" s="22"/>
      <c r="K342" s="23"/>
      <c r="L342" s="47"/>
    </row>
    <row r="343" spans="6:12" x14ac:dyDescent="0.3">
      <c r="F343" s="20"/>
      <c r="G343" s="21"/>
      <c r="H343" s="21"/>
      <c r="I343" s="21"/>
      <c r="J343" s="22"/>
      <c r="K343" s="23"/>
      <c r="L343" s="47"/>
    </row>
    <row r="344" spans="6:12" x14ac:dyDescent="0.3">
      <c r="F344" s="20"/>
      <c r="G344" s="21"/>
      <c r="H344" s="21"/>
      <c r="I344" s="21"/>
      <c r="J344" s="22"/>
      <c r="K344" s="23"/>
      <c r="L344" s="47"/>
    </row>
    <row r="345" spans="6:12" x14ac:dyDescent="0.3">
      <c r="F345" s="20"/>
      <c r="G345" s="21"/>
      <c r="H345" s="21"/>
      <c r="I345" s="21"/>
      <c r="J345" s="22"/>
      <c r="K345" s="23"/>
      <c r="L345" s="47"/>
    </row>
    <row r="346" spans="6:12" x14ac:dyDescent="0.3">
      <c r="F346" s="20"/>
      <c r="G346" s="21"/>
      <c r="H346" s="21"/>
      <c r="I346" s="21"/>
      <c r="J346" s="22"/>
      <c r="K346" s="23"/>
      <c r="L346" s="47"/>
    </row>
    <row r="347" spans="6:12" x14ac:dyDescent="0.3">
      <c r="F347" s="20"/>
      <c r="G347" s="21"/>
      <c r="H347" s="21"/>
      <c r="I347" s="21"/>
      <c r="J347" s="22"/>
      <c r="K347" s="23"/>
      <c r="L347" s="47"/>
    </row>
    <row r="348" spans="6:12" x14ac:dyDescent="0.3">
      <c r="F348" s="20"/>
      <c r="G348" s="21"/>
      <c r="H348" s="21"/>
      <c r="I348" s="21"/>
      <c r="J348" s="22"/>
      <c r="K348" s="23"/>
      <c r="L348" s="47"/>
    </row>
    <row r="349" spans="6:12" x14ac:dyDescent="0.3">
      <c r="F349" s="20"/>
      <c r="G349" s="21"/>
      <c r="H349" s="21"/>
      <c r="I349" s="21"/>
      <c r="J349" s="22"/>
      <c r="K349" s="23"/>
      <c r="L349" s="47"/>
    </row>
    <row r="350" spans="6:12" x14ac:dyDescent="0.3">
      <c r="F350" s="20"/>
      <c r="G350" s="21"/>
      <c r="H350" s="21"/>
      <c r="I350" s="21"/>
      <c r="J350" s="22"/>
      <c r="K350" s="23"/>
      <c r="L350" s="47"/>
    </row>
    <row r="351" spans="6:12" x14ac:dyDescent="0.3">
      <c r="F351" s="20"/>
      <c r="G351" s="21"/>
      <c r="H351" s="21"/>
      <c r="I351" s="21"/>
      <c r="J351" s="22"/>
      <c r="K351" s="23"/>
      <c r="L351" s="47"/>
    </row>
    <row r="352" spans="6:12" x14ac:dyDescent="0.3">
      <c r="F352" s="20"/>
      <c r="G352" s="21"/>
      <c r="H352" s="21"/>
      <c r="I352" s="21"/>
      <c r="J352" s="22"/>
      <c r="K352" s="23"/>
      <c r="L352" s="47"/>
    </row>
    <row r="353" spans="6:12" x14ac:dyDescent="0.3">
      <c r="F353" s="20"/>
      <c r="G353" s="21"/>
      <c r="H353" s="21"/>
      <c r="I353" s="21"/>
      <c r="J353" s="22"/>
      <c r="K353" s="23"/>
      <c r="L353" s="47"/>
    </row>
    <row r="354" spans="6:12" x14ac:dyDescent="0.3">
      <c r="F354" s="20"/>
      <c r="G354" s="21"/>
      <c r="H354" s="21"/>
      <c r="I354" s="21"/>
      <c r="J354" s="22"/>
      <c r="K354" s="23"/>
      <c r="L354" s="47"/>
    </row>
    <row r="355" spans="6:12" x14ac:dyDescent="0.3">
      <c r="F355" s="20"/>
      <c r="G355" s="21"/>
      <c r="H355" s="21"/>
      <c r="I355" s="21"/>
      <c r="J355" s="22"/>
      <c r="K355" s="23"/>
      <c r="L355" s="47"/>
    </row>
    <row r="356" spans="6:12" x14ac:dyDescent="0.3">
      <c r="F356" s="20"/>
      <c r="G356" s="21"/>
      <c r="H356" s="21"/>
      <c r="I356" s="21"/>
      <c r="J356" s="22"/>
      <c r="K356" s="23"/>
      <c r="L356" s="47"/>
    </row>
    <row r="357" spans="6:12" x14ac:dyDescent="0.3">
      <c r="F357" s="20"/>
      <c r="G357" s="21"/>
      <c r="H357" s="21"/>
      <c r="I357" s="21"/>
      <c r="J357" s="22"/>
      <c r="K357" s="23"/>
      <c r="L357" s="47"/>
    </row>
    <row r="358" spans="6:12" x14ac:dyDescent="0.3">
      <c r="F358" s="20"/>
      <c r="G358" s="21"/>
      <c r="H358" s="21"/>
      <c r="I358" s="21"/>
      <c r="J358" s="22"/>
      <c r="K358" s="23"/>
      <c r="L358" s="47"/>
    </row>
    <row r="359" spans="6:12" x14ac:dyDescent="0.3">
      <c r="F359" s="20"/>
      <c r="G359" s="21"/>
      <c r="H359" s="21"/>
      <c r="I359" s="21"/>
      <c r="J359" s="22"/>
      <c r="K359" s="23"/>
      <c r="L359" s="47"/>
    </row>
    <row r="360" spans="6:12" x14ac:dyDescent="0.3">
      <c r="F360" s="20"/>
      <c r="G360" s="21"/>
      <c r="H360" s="21"/>
      <c r="I360" s="21"/>
      <c r="J360" s="22"/>
      <c r="K360" s="23"/>
      <c r="L360" s="47"/>
    </row>
    <row r="361" spans="6:12" x14ac:dyDescent="0.3">
      <c r="F361" s="20"/>
      <c r="G361" s="21"/>
      <c r="H361" s="21"/>
      <c r="I361" s="21"/>
      <c r="J361" s="22"/>
      <c r="K361" s="23"/>
      <c r="L361" s="47"/>
    </row>
    <row r="362" spans="6:12" x14ac:dyDescent="0.3">
      <c r="F362" s="20"/>
      <c r="G362" s="21"/>
      <c r="H362" s="21"/>
      <c r="I362" s="21"/>
      <c r="J362" s="22"/>
      <c r="K362" s="23"/>
      <c r="L362" s="47"/>
    </row>
    <row r="363" spans="6:12" x14ac:dyDescent="0.3">
      <c r="F363" s="20"/>
      <c r="G363" s="21"/>
      <c r="H363" s="21"/>
      <c r="I363" s="21"/>
      <c r="J363" s="22"/>
      <c r="K363" s="23"/>
      <c r="L363" s="47"/>
    </row>
    <row r="364" spans="6:12" x14ac:dyDescent="0.3">
      <c r="F364" s="20"/>
      <c r="G364" s="21"/>
      <c r="H364" s="21"/>
      <c r="I364" s="21"/>
      <c r="J364" s="22"/>
      <c r="K364" s="23"/>
      <c r="L364" s="47"/>
    </row>
    <row r="365" spans="6:12" x14ac:dyDescent="0.3">
      <c r="F365" s="20"/>
      <c r="G365" s="21"/>
      <c r="H365" s="21"/>
      <c r="I365" s="21"/>
      <c r="J365" s="22"/>
      <c r="K365" s="23"/>
      <c r="L365" s="47"/>
    </row>
    <row r="366" spans="6:12" x14ac:dyDescent="0.3">
      <c r="F366" s="20"/>
      <c r="G366" s="21"/>
      <c r="H366" s="21"/>
      <c r="I366" s="21"/>
      <c r="J366" s="22"/>
      <c r="K366" s="23"/>
      <c r="L366" s="47"/>
    </row>
    <row r="367" spans="6:12" x14ac:dyDescent="0.3">
      <c r="F367" s="20"/>
      <c r="G367" s="21"/>
      <c r="H367" s="21"/>
      <c r="I367" s="21"/>
      <c r="J367" s="22"/>
      <c r="K367" s="23"/>
      <c r="L367" s="47"/>
    </row>
    <row r="368" spans="6:12" x14ac:dyDescent="0.3">
      <c r="F368" s="20"/>
      <c r="G368" s="21"/>
      <c r="H368" s="21"/>
      <c r="I368" s="21"/>
      <c r="J368" s="22"/>
      <c r="K368" s="23"/>
      <c r="L368" s="47"/>
    </row>
    <row r="369" spans="6:12" x14ac:dyDescent="0.3">
      <c r="F369" s="20"/>
      <c r="G369" s="21"/>
      <c r="H369" s="21"/>
      <c r="I369" s="21"/>
      <c r="J369" s="22"/>
      <c r="K369" s="23"/>
      <c r="L369" s="47"/>
    </row>
    <row r="370" spans="6:12" x14ac:dyDescent="0.3">
      <c r="F370" s="20"/>
      <c r="G370" s="21"/>
      <c r="H370" s="21"/>
      <c r="I370" s="21"/>
      <c r="J370" s="22"/>
      <c r="K370" s="23"/>
      <c r="L370" s="47"/>
    </row>
    <row r="371" spans="6:12" x14ac:dyDescent="0.3">
      <c r="F371" s="20"/>
      <c r="G371" s="21"/>
      <c r="H371" s="21"/>
      <c r="I371" s="21"/>
      <c r="J371" s="22"/>
      <c r="K371" s="23"/>
      <c r="L371" s="47"/>
    </row>
    <row r="372" spans="6:12" x14ac:dyDescent="0.3">
      <c r="F372" s="20"/>
      <c r="G372" s="21"/>
      <c r="H372" s="21"/>
      <c r="I372" s="21"/>
      <c r="J372" s="22"/>
      <c r="K372" s="23"/>
      <c r="L372" s="47"/>
    </row>
    <row r="373" spans="6:12" x14ac:dyDescent="0.3">
      <c r="F373" s="20"/>
      <c r="G373" s="21"/>
      <c r="H373" s="21"/>
      <c r="I373" s="21"/>
      <c r="J373" s="22"/>
      <c r="K373" s="23"/>
      <c r="L373" s="47"/>
    </row>
    <row r="374" spans="6:12" x14ac:dyDescent="0.3">
      <c r="F374" s="20"/>
      <c r="G374" s="21"/>
      <c r="H374" s="21"/>
      <c r="I374" s="21"/>
      <c r="J374" s="22"/>
      <c r="K374" s="23"/>
      <c r="L374" s="47"/>
    </row>
    <row r="375" spans="6:12" x14ac:dyDescent="0.3">
      <c r="F375" s="20"/>
      <c r="G375" s="21"/>
      <c r="H375" s="21"/>
      <c r="I375" s="21"/>
      <c r="J375" s="22"/>
      <c r="K375" s="23"/>
      <c r="L375" s="47"/>
    </row>
    <row r="376" spans="6:12" x14ac:dyDescent="0.3">
      <c r="F376" s="20"/>
      <c r="G376" s="21"/>
      <c r="H376" s="21"/>
      <c r="I376" s="21"/>
      <c r="J376" s="22"/>
      <c r="K376" s="23"/>
      <c r="L376" s="47"/>
    </row>
    <row r="377" spans="6:12" x14ac:dyDescent="0.3">
      <c r="F377" s="20"/>
      <c r="G377" s="21"/>
      <c r="H377" s="21"/>
      <c r="I377" s="21"/>
      <c r="J377" s="22"/>
      <c r="K377" s="23"/>
      <c r="L377" s="47"/>
    </row>
    <row r="378" spans="6:12" x14ac:dyDescent="0.3">
      <c r="F378" s="20"/>
      <c r="G378" s="21"/>
      <c r="H378" s="21"/>
      <c r="I378" s="21"/>
      <c r="J378" s="22"/>
      <c r="K378" s="23"/>
      <c r="L378" s="47"/>
    </row>
    <row r="379" spans="6:12" x14ac:dyDescent="0.3">
      <c r="F379" s="20"/>
      <c r="G379" s="21"/>
      <c r="H379" s="21"/>
      <c r="I379" s="21"/>
      <c r="J379" s="22"/>
      <c r="K379" s="23"/>
      <c r="L379" s="47"/>
    </row>
    <row r="380" spans="6:12" x14ac:dyDescent="0.3">
      <c r="F380" s="20"/>
      <c r="G380" s="21"/>
      <c r="H380" s="21"/>
      <c r="I380" s="21"/>
      <c r="J380" s="22"/>
      <c r="K380" s="23"/>
      <c r="L380" s="47"/>
    </row>
    <row r="381" spans="6:12" x14ac:dyDescent="0.3">
      <c r="F381" s="20"/>
      <c r="G381" s="21"/>
      <c r="H381" s="21"/>
      <c r="I381" s="21"/>
      <c r="J381" s="22"/>
      <c r="K381" s="23"/>
      <c r="L381" s="47"/>
    </row>
    <row r="382" spans="6:12" x14ac:dyDescent="0.3">
      <c r="F382" s="20"/>
      <c r="G382" s="21"/>
      <c r="H382" s="21"/>
      <c r="I382" s="21"/>
      <c r="J382" s="22"/>
      <c r="K382" s="23"/>
      <c r="L382" s="47"/>
    </row>
    <row r="383" spans="6:12" x14ac:dyDescent="0.3">
      <c r="F383" s="20"/>
      <c r="G383" s="21"/>
      <c r="H383" s="21"/>
      <c r="I383" s="21"/>
      <c r="J383" s="22"/>
      <c r="K383" s="23"/>
      <c r="L383" s="47"/>
    </row>
    <row r="384" spans="6:12" x14ac:dyDescent="0.3">
      <c r="F384" s="20"/>
      <c r="G384" s="21"/>
      <c r="H384" s="21"/>
      <c r="I384" s="21"/>
      <c r="J384" s="22"/>
      <c r="K384" s="23"/>
      <c r="L384" s="47"/>
    </row>
    <row r="385" spans="6:12" x14ac:dyDescent="0.3">
      <c r="F385" s="20"/>
      <c r="G385" s="21"/>
      <c r="H385" s="21"/>
      <c r="I385" s="21"/>
      <c r="J385" s="22"/>
      <c r="K385" s="23"/>
      <c r="L385" s="47"/>
    </row>
    <row r="386" spans="6:12" x14ac:dyDescent="0.3">
      <c r="F386" s="20"/>
      <c r="G386" s="21"/>
      <c r="H386" s="21"/>
      <c r="I386" s="21"/>
      <c r="J386" s="22"/>
      <c r="K386" s="23"/>
      <c r="L386" s="47"/>
    </row>
    <row r="387" spans="6:12" x14ac:dyDescent="0.3">
      <c r="F387" s="20"/>
      <c r="G387" s="21"/>
      <c r="H387" s="21"/>
      <c r="I387" s="21"/>
      <c r="J387" s="22"/>
      <c r="K387" s="23"/>
      <c r="L387" s="47"/>
    </row>
    <row r="388" spans="6:12" x14ac:dyDescent="0.3">
      <c r="F388" s="20"/>
      <c r="G388" s="21"/>
      <c r="H388" s="21"/>
      <c r="I388" s="21"/>
      <c r="J388" s="22"/>
      <c r="K388" s="23"/>
      <c r="L388" s="47"/>
    </row>
    <row r="389" spans="6:12" x14ac:dyDescent="0.3">
      <c r="F389" s="20"/>
      <c r="G389" s="21"/>
      <c r="H389" s="21"/>
      <c r="I389" s="21"/>
      <c r="J389" s="22"/>
      <c r="K389" s="23"/>
      <c r="L389" s="47"/>
    </row>
    <row r="390" spans="6:12" x14ac:dyDescent="0.3">
      <c r="F390" s="20"/>
      <c r="G390" s="21"/>
      <c r="H390" s="21"/>
      <c r="I390" s="21"/>
      <c r="J390" s="22"/>
      <c r="K390" s="23"/>
      <c r="L390" s="47"/>
    </row>
    <row r="391" spans="6:12" x14ac:dyDescent="0.3">
      <c r="F391" s="20"/>
      <c r="G391" s="21"/>
      <c r="H391" s="21"/>
      <c r="I391" s="21"/>
      <c r="J391" s="22"/>
      <c r="K391" s="23"/>
      <c r="L391" s="47"/>
    </row>
    <row r="392" spans="6:12" x14ac:dyDescent="0.3">
      <c r="F392" s="20"/>
      <c r="G392" s="21"/>
      <c r="H392" s="21"/>
      <c r="I392" s="21"/>
      <c r="J392" s="22"/>
      <c r="K392" s="23"/>
      <c r="L392" s="47"/>
    </row>
    <row r="393" spans="6:12" x14ac:dyDescent="0.3">
      <c r="F393" s="20"/>
      <c r="G393" s="21"/>
      <c r="H393" s="21"/>
      <c r="I393" s="21"/>
      <c r="J393" s="22"/>
      <c r="K393" s="23"/>
      <c r="L393" s="47"/>
    </row>
    <row r="394" spans="6:12" x14ac:dyDescent="0.3">
      <c r="F394" s="20"/>
      <c r="G394" s="21"/>
      <c r="H394" s="21"/>
      <c r="I394" s="21"/>
      <c r="J394" s="22"/>
      <c r="K394" s="23"/>
      <c r="L394" s="47"/>
    </row>
    <row r="395" spans="6:12" x14ac:dyDescent="0.3">
      <c r="F395" s="20"/>
      <c r="G395" s="21"/>
      <c r="H395" s="21"/>
      <c r="I395" s="21"/>
      <c r="J395" s="22"/>
      <c r="K395" s="23"/>
      <c r="L395" s="47"/>
    </row>
    <row r="396" spans="6:12" x14ac:dyDescent="0.3">
      <c r="F396" s="20"/>
      <c r="G396" s="21"/>
      <c r="H396" s="21"/>
      <c r="I396" s="21"/>
      <c r="J396" s="22"/>
      <c r="K396" s="23"/>
      <c r="L396" s="47"/>
    </row>
    <row r="397" spans="6:12" x14ac:dyDescent="0.3">
      <c r="F397" s="20"/>
      <c r="G397" s="21"/>
      <c r="H397" s="21"/>
      <c r="I397" s="21"/>
      <c r="J397" s="22"/>
      <c r="K397" s="23"/>
      <c r="L397" s="47"/>
    </row>
    <row r="398" spans="6:12" x14ac:dyDescent="0.3">
      <c r="F398" s="20"/>
      <c r="G398" s="21"/>
      <c r="H398" s="21"/>
      <c r="I398" s="21"/>
      <c r="J398" s="22"/>
      <c r="K398" s="23"/>
      <c r="L398" s="47"/>
    </row>
    <row r="399" spans="6:12" x14ac:dyDescent="0.3">
      <c r="F399" s="20"/>
      <c r="G399" s="21"/>
      <c r="H399" s="21"/>
      <c r="I399" s="21"/>
      <c r="J399" s="22"/>
      <c r="K399" s="23"/>
      <c r="L399" s="47"/>
    </row>
    <row r="400" spans="6:12" x14ac:dyDescent="0.3">
      <c r="F400" s="20"/>
      <c r="G400" s="21"/>
      <c r="H400" s="21"/>
      <c r="I400" s="21"/>
      <c r="J400" s="22"/>
      <c r="K400" s="23"/>
      <c r="L400" s="47"/>
    </row>
    <row r="401" spans="6:12" x14ac:dyDescent="0.3">
      <c r="F401" s="20"/>
      <c r="G401" s="21"/>
      <c r="H401" s="21"/>
      <c r="I401" s="21"/>
      <c r="J401" s="22"/>
      <c r="K401" s="23"/>
      <c r="L401" s="47"/>
    </row>
    <row r="402" spans="6:12" x14ac:dyDescent="0.3">
      <c r="F402" s="20"/>
      <c r="G402" s="21"/>
      <c r="H402" s="21"/>
      <c r="I402" s="21"/>
      <c r="J402" s="22"/>
      <c r="K402" s="23"/>
      <c r="L402" s="47"/>
    </row>
    <row r="403" spans="6:12" x14ac:dyDescent="0.3">
      <c r="F403" s="20"/>
      <c r="G403" s="21"/>
      <c r="H403" s="21"/>
      <c r="I403" s="21"/>
      <c r="J403" s="22"/>
      <c r="K403" s="23"/>
      <c r="L403" s="47"/>
    </row>
    <row r="404" spans="6:12" x14ac:dyDescent="0.3">
      <c r="F404" s="20"/>
      <c r="G404" s="21"/>
      <c r="H404" s="21"/>
      <c r="I404" s="21"/>
      <c r="J404" s="22"/>
      <c r="K404" s="23"/>
      <c r="L404" s="47"/>
    </row>
    <row r="405" spans="6:12" x14ac:dyDescent="0.3">
      <c r="F405" s="20"/>
      <c r="G405" s="21"/>
      <c r="H405" s="21"/>
      <c r="I405" s="21"/>
      <c r="J405" s="22"/>
      <c r="K405" s="23"/>
      <c r="L405" s="47"/>
    </row>
    <row r="406" spans="6:12" x14ac:dyDescent="0.3">
      <c r="F406" s="20"/>
      <c r="G406" s="21"/>
      <c r="H406" s="21"/>
      <c r="I406" s="21"/>
      <c r="J406" s="22"/>
      <c r="K406" s="23"/>
      <c r="L406" s="47"/>
    </row>
    <row r="407" spans="6:12" x14ac:dyDescent="0.3">
      <c r="F407" s="20"/>
      <c r="G407" s="21"/>
      <c r="H407" s="21"/>
      <c r="I407" s="21"/>
      <c r="J407" s="22"/>
      <c r="K407" s="23"/>
      <c r="L407" s="47"/>
    </row>
    <row r="408" spans="6:12" x14ac:dyDescent="0.3">
      <c r="F408" s="20"/>
      <c r="G408" s="21"/>
      <c r="H408" s="21"/>
      <c r="I408" s="21"/>
      <c r="J408" s="22"/>
      <c r="K408" s="23"/>
      <c r="L408" s="47"/>
    </row>
    <row r="409" spans="6:12" x14ac:dyDescent="0.3">
      <c r="F409" s="20"/>
      <c r="G409" s="21"/>
      <c r="H409" s="21"/>
      <c r="I409" s="21"/>
      <c r="J409" s="22"/>
      <c r="K409" s="23"/>
      <c r="L409" s="47"/>
    </row>
    <row r="410" spans="6:12" x14ac:dyDescent="0.3">
      <c r="F410" s="20"/>
      <c r="G410" s="21"/>
      <c r="H410" s="21"/>
      <c r="I410" s="21"/>
      <c r="J410" s="22"/>
      <c r="K410" s="23"/>
      <c r="L410" s="47"/>
    </row>
    <row r="411" spans="6:12" x14ac:dyDescent="0.3">
      <c r="F411" s="20"/>
      <c r="G411" s="21"/>
      <c r="H411" s="21"/>
      <c r="I411" s="21"/>
      <c r="J411" s="22"/>
      <c r="K411" s="23"/>
      <c r="L411" s="47"/>
    </row>
    <row r="412" spans="6:12" x14ac:dyDescent="0.3">
      <c r="F412" s="20"/>
      <c r="G412" s="21"/>
      <c r="H412" s="21"/>
      <c r="I412" s="21"/>
      <c r="J412" s="22"/>
      <c r="K412" s="23"/>
      <c r="L412" s="47"/>
    </row>
    <row r="413" spans="6:12" x14ac:dyDescent="0.3">
      <c r="F413" s="20"/>
      <c r="G413" s="21"/>
      <c r="H413" s="21"/>
      <c r="I413" s="21"/>
      <c r="J413" s="22"/>
      <c r="K413" s="23"/>
      <c r="L413" s="47"/>
    </row>
    <row r="414" spans="6:12" x14ac:dyDescent="0.3">
      <c r="F414" s="20"/>
      <c r="G414" s="21"/>
      <c r="H414" s="21"/>
      <c r="I414" s="21"/>
      <c r="J414" s="22"/>
      <c r="K414" s="23"/>
      <c r="L414" s="47"/>
    </row>
    <row r="415" spans="6:12" x14ac:dyDescent="0.3">
      <c r="F415" s="20"/>
      <c r="G415" s="21"/>
      <c r="H415" s="21"/>
      <c r="I415" s="21"/>
      <c r="J415" s="22"/>
      <c r="K415" s="23"/>
      <c r="L415" s="47"/>
    </row>
    <row r="416" spans="6:12" x14ac:dyDescent="0.3">
      <c r="F416" s="20"/>
      <c r="G416" s="21"/>
      <c r="H416" s="21"/>
      <c r="I416" s="21"/>
      <c r="J416" s="22"/>
      <c r="K416" s="23"/>
      <c r="L416" s="47"/>
    </row>
    <row r="417" spans="6:12" x14ac:dyDescent="0.3">
      <c r="F417" s="20"/>
      <c r="G417" s="21"/>
      <c r="H417" s="21"/>
      <c r="I417" s="21"/>
      <c r="J417" s="22"/>
      <c r="K417" s="23"/>
      <c r="L417" s="47"/>
    </row>
    <row r="418" spans="6:12" x14ac:dyDescent="0.3">
      <c r="F418" s="20"/>
      <c r="G418" s="21"/>
      <c r="H418" s="21"/>
      <c r="I418" s="21"/>
      <c r="J418" s="22"/>
      <c r="K418" s="23"/>
      <c r="L418" s="47"/>
    </row>
    <row r="419" spans="6:12" x14ac:dyDescent="0.3">
      <c r="F419" s="20"/>
      <c r="G419" s="21"/>
      <c r="H419" s="21"/>
      <c r="I419" s="21"/>
      <c r="J419" s="22"/>
      <c r="K419" s="23"/>
      <c r="L419" s="47"/>
    </row>
    <row r="420" spans="6:12" x14ac:dyDescent="0.3">
      <c r="F420" s="20"/>
      <c r="G420" s="21"/>
      <c r="H420" s="21"/>
      <c r="I420" s="21"/>
      <c r="J420" s="22"/>
      <c r="K420" s="23"/>
      <c r="L420" s="47"/>
    </row>
    <row r="421" spans="6:12" x14ac:dyDescent="0.3">
      <c r="F421" s="20"/>
      <c r="G421" s="21"/>
      <c r="H421" s="21"/>
      <c r="I421" s="21"/>
      <c r="J421" s="22"/>
      <c r="K421" s="23"/>
      <c r="L421" s="47"/>
    </row>
    <row r="422" spans="6:12" x14ac:dyDescent="0.3">
      <c r="F422" s="20"/>
      <c r="G422" s="21"/>
      <c r="H422" s="21"/>
      <c r="I422" s="21"/>
      <c r="J422" s="22"/>
      <c r="K422" s="23"/>
      <c r="L422" s="47"/>
    </row>
    <row r="423" spans="6:12" x14ac:dyDescent="0.3">
      <c r="F423" s="20"/>
      <c r="G423" s="21"/>
      <c r="H423" s="21"/>
      <c r="I423" s="21"/>
      <c r="J423" s="22"/>
      <c r="K423" s="23"/>
      <c r="L423" s="47"/>
    </row>
    <row r="424" spans="6:12" x14ac:dyDescent="0.3">
      <c r="F424" s="20"/>
      <c r="G424" s="21"/>
      <c r="H424" s="21"/>
      <c r="I424" s="21"/>
      <c r="J424" s="22"/>
      <c r="K424" s="23"/>
      <c r="L424" s="47"/>
    </row>
    <row r="425" spans="6:12" x14ac:dyDescent="0.3">
      <c r="F425" s="20"/>
      <c r="G425" s="21"/>
      <c r="H425" s="21"/>
      <c r="I425" s="21"/>
      <c r="J425" s="22"/>
      <c r="K425" s="23"/>
      <c r="L425" s="47"/>
    </row>
    <row r="426" spans="6:12" x14ac:dyDescent="0.3">
      <c r="F426" s="20"/>
      <c r="G426" s="21"/>
      <c r="H426" s="21"/>
      <c r="I426" s="21"/>
      <c r="J426" s="22"/>
      <c r="K426" s="23"/>
      <c r="L426" s="47"/>
    </row>
    <row r="427" spans="6:12" x14ac:dyDescent="0.3">
      <c r="F427" s="20"/>
      <c r="G427" s="21"/>
      <c r="H427" s="21"/>
      <c r="I427" s="21"/>
      <c r="J427" s="22"/>
      <c r="K427" s="23"/>
      <c r="L427" s="47"/>
    </row>
    <row r="428" spans="6:12" x14ac:dyDescent="0.3">
      <c r="F428" s="20"/>
      <c r="G428" s="21"/>
      <c r="H428" s="21"/>
      <c r="I428" s="21"/>
      <c r="J428" s="22"/>
      <c r="K428" s="23"/>
      <c r="L428" s="47"/>
    </row>
    <row r="429" spans="6:12" x14ac:dyDescent="0.3">
      <c r="F429" s="20"/>
      <c r="G429" s="21"/>
      <c r="H429" s="21"/>
      <c r="I429" s="21"/>
      <c r="J429" s="22"/>
      <c r="K429" s="23"/>
      <c r="L429" s="47"/>
    </row>
    <row r="430" spans="6:12" x14ac:dyDescent="0.3">
      <c r="F430" s="20"/>
      <c r="G430" s="21"/>
      <c r="H430" s="21"/>
      <c r="I430" s="21"/>
      <c r="J430" s="22"/>
      <c r="K430" s="23"/>
      <c r="L430" s="47"/>
    </row>
    <row r="431" spans="6:12" x14ac:dyDescent="0.3">
      <c r="F431" s="20"/>
      <c r="G431" s="21"/>
      <c r="H431" s="21"/>
      <c r="I431" s="21"/>
      <c r="J431" s="22"/>
      <c r="K431" s="23"/>
      <c r="L431" s="47"/>
    </row>
    <row r="432" spans="6:12" x14ac:dyDescent="0.3">
      <c r="F432" s="20"/>
      <c r="G432" s="21"/>
      <c r="H432" s="21"/>
      <c r="I432" s="21"/>
      <c r="J432" s="22"/>
      <c r="K432" s="23"/>
      <c r="L432" s="47"/>
    </row>
    <row r="433" spans="6:12" x14ac:dyDescent="0.3">
      <c r="F433" s="20"/>
      <c r="G433" s="21"/>
      <c r="H433" s="21"/>
      <c r="I433" s="21"/>
      <c r="J433" s="22"/>
      <c r="K433" s="23"/>
      <c r="L433" s="47"/>
    </row>
    <row r="434" spans="6:12" x14ac:dyDescent="0.3">
      <c r="F434" s="20"/>
      <c r="G434" s="21"/>
      <c r="H434" s="21"/>
      <c r="I434" s="21"/>
      <c r="J434" s="22"/>
      <c r="K434" s="23"/>
      <c r="L434" s="47"/>
    </row>
    <row r="435" spans="6:12" x14ac:dyDescent="0.3">
      <c r="F435" s="20"/>
      <c r="G435" s="21"/>
      <c r="H435" s="21"/>
      <c r="I435" s="21"/>
      <c r="J435" s="22"/>
      <c r="K435" s="23"/>
      <c r="L435" s="47"/>
    </row>
    <row r="436" spans="6:12" x14ac:dyDescent="0.3">
      <c r="F436" s="20"/>
      <c r="G436" s="21"/>
      <c r="H436" s="21"/>
      <c r="I436" s="21"/>
      <c r="J436" s="22"/>
      <c r="K436" s="23"/>
      <c r="L436" s="47"/>
    </row>
    <row r="437" spans="6:12" x14ac:dyDescent="0.3">
      <c r="F437" s="20"/>
      <c r="G437" s="21"/>
      <c r="H437" s="21"/>
      <c r="I437" s="21"/>
      <c r="J437" s="22"/>
      <c r="K437" s="23"/>
      <c r="L437" s="47"/>
    </row>
    <row r="438" spans="6:12" x14ac:dyDescent="0.3">
      <c r="F438" s="20"/>
      <c r="G438" s="21"/>
      <c r="H438" s="21"/>
      <c r="I438" s="21"/>
      <c r="J438" s="22"/>
      <c r="K438" s="23"/>
      <c r="L438" s="47"/>
    </row>
    <row r="439" spans="6:12" x14ac:dyDescent="0.3">
      <c r="F439" s="20"/>
      <c r="G439" s="21"/>
      <c r="H439" s="21"/>
      <c r="I439" s="21"/>
      <c r="J439" s="22"/>
      <c r="K439" s="23"/>
      <c r="L439" s="47"/>
    </row>
    <row r="440" spans="6:12" x14ac:dyDescent="0.3">
      <c r="F440" s="20"/>
      <c r="G440" s="21"/>
      <c r="H440" s="21"/>
      <c r="I440" s="21"/>
      <c r="J440" s="22"/>
      <c r="K440" s="23"/>
      <c r="L440" s="47"/>
    </row>
    <row r="441" spans="6:12" x14ac:dyDescent="0.3">
      <c r="F441" s="20"/>
      <c r="G441" s="21"/>
      <c r="H441" s="21"/>
      <c r="I441" s="21"/>
      <c r="J441" s="22"/>
      <c r="K441" s="23"/>
      <c r="L441" s="47"/>
    </row>
    <row r="442" spans="6:12" x14ac:dyDescent="0.3">
      <c r="F442" s="20"/>
      <c r="G442" s="21"/>
      <c r="H442" s="21"/>
      <c r="I442" s="21"/>
      <c r="J442" s="22"/>
      <c r="K442" s="23"/>
      <c r="L442" s="47"/>
    </row>
    <row r="443" spans="6:12" x14ac:dyDescent="0.3">
      <c r="F443" s="20"/>
      <c r="G443" s="21"/>
      <c r="H443" s="21"/>
      <c r="I443" s="21"/>
      <c r="J443" s="22"/>
      <c r="K443" s="23"/>
      <c r="L443" s="47"/>
    </row>
    <row r="444" spans="6:12" x14ac:dyDescent="0.3">
      <c r="F444" s="20"/>
      <c r="G444" s="21"/>
      <c r="H444" s="21"/>
      <c r="I444" s="21"/>
      <c r="J444" s="22"/>
      <c r="K444" s="23"/>
      <c r="L444" s="47"/>
    </row>
    <row r="445" spans="6:12" x14ac:dyDescent="0.3">
      <c r="F445" s="20"/>
      <c r="G445" s="21"/>
      <c r="H445" s="21"/>
      <c r="I445" s="21"/>
      <c r="J445" s="22"/>
      <c r="K445" s="23"/>
      <c r="L445" s="47"/>
    </row>
    <row r="446" spans="6:12" x14ac:dyDescent="0.3">
      <c r="F446" s="20"/>
      <c r="G446" s="21"/>
      <c r="H446" s="21"/>
      <c r="I446" s="21"/>
      <c r="J446" s="22"/>
      <c r="K446" s="23"/>
      <c r="L446" s="47"/>
    </row>
    <row r="447" spans="6:12" x14ac:dyDescent="0.3">
      <c r="F447" s="20"/>
      <c r="G447" s="21"/>
      <c r="H447" s="21"/>
      <c r="I447" s="21"/>
      <c r="J447" s="22"/>
      <c r="K447" s="23"/>
      <c r="L447" s="47"/>
    </row>
    <row r="448" spans="6:12" x14ac:dyDescent="0.3">
      <c r="F448" s="20"/>
      <c r="G448" s="21"/>
      <c r="H448" s="21"/>
      <c r="I448" s="21"/>
      <c r="J448" s="22"/>
      <c r="K448" s="23"/>
      <c r="L448" s="47"/>
    </row>
    <row r="449" spans="6:12" x14ac:dyDescent="0.3">
      <c r="F449" s="20"/>
      <c r="G449" s="21"/>
      <c r="H449" s="21"/>
      <c r="I449" s="21"/>
      <c r="J449" s="22"/>
      <c r="K449" s="23"/>
      <c r="L449" s="47"/>
    </row>
    <row r="450" spans="6:12" x14ac:dyDescent="0.3">
      <c r="F450" s="20"/>
      <c r="G450" s="21"/>
      <c r="H450" s="21"/>
      <c r="I450" s="21"/>
      <c r="J450" s="22"/>
      <c r="K450" s="23"/>
      <c r="L450" s="47"/>
    </row>
    <row r="451" spans="6:12" x14ac:dyDescent="0.3">
      <c r="F451" s="20"/>
      <c r="G451" s="21"/>
      <c r="H451" s="21"/>
      <c r="I451" s="21"/>
      <c r="J451" s="22"/>
      <c r="K451" s="23"/>
      <c r="L451" s="47"/>
    </row>
    <row r="452" spans="6:12" x14ac:dyDescent="0.3">
      <c r="F452" s="20"/>
      <c r="G452" s="21"/>
      <c r="H452" s="21"/>
      <c r="I452" s="21"/>
      <c r="J452" s="22"/>
      <c r="K452" s="23"/>
      <c r="L452" s="47"/>
    </row>
    <row r="453" spans="6:12" x14ac:dyDescent="0.3">
      <c r="F453" s="20"/>
      <c r="G453" s="21"/>
      <c r="H453" s="21"/>
      <c r="I453" s="21"/>
      <c r="J453" s="22"/>
      <c r="K453" s="23"/>
      <c r="L453" s="47"/>
    </row>
    <row r="454" spans="6:12" x14ac:dyDescent="0.3">
      <c r="F454" s="20"/>
      <c r="G454" s="21"/>
      <c r="H454" s="21"/>
      <c r="I454" s="21"/>
      <c r="J454" s="22"/>
      <c r="K454" s="23"/>
      <c r="L454" s="47"/>
    </row>
    <row r="455" spans="6:12" x14ac:dyDescent="0.3">
      <c r="F455" s="20"/>
      <c r="G455" s="21"/>
      <c r="H455" s="21"/>
      <c r="I455" s="21"/>
      <c r="J455" s="22"/>
      <c r="K455" s="23"/>
      <c r="L455" s="47"/>
    </row>
    <row r="456" spans="6:12" x14ac:dyDescent="0.3">
      <c r="F456" s="20"/>
      <c r="G456" s="21"/>
      <c r="H456" s="21"/>
      <c r="I456" s="21"/>
      <c r="J456" s="22"/>
      <c r="K456" s="23"/>
      <c r="L456" s="47"/>
    </row>
    <row r="457" spans="6:12" x14ac:dyDescent="0.3">
      <c r="F457" s="20"/>
      <c r="G457" s="21"/>
      <c r="H457" s="21"/>
      <c r="I457" s="21"/>
      <c r="J457" s="22"/>
      <c r="K457" s="23"/>
      <c r="L457" s="47"/>
    </row>
    <row r="458" spans="6:12" x14ac:dyDescent="0.3">
      <c r="F458" s="20"/>
      <c r="G458" s="21"/>
      <c r="H458" s="21"/>
      <c r="I458" s="21"/>
      <c r="J458" s="22"/>
      <c r="K458" s="23"/>
      <c r="L458" s="47"/>
    </row>
    <row r="459" spans="6:12" x14ac:dyDescent="0.3">
      <c r="F459" s="20"/>
      <c r="G459" s="21"/>
      <c r="H459" s="21"/>
      <c r="I459" s="21"/>
      <c r="J459" s="22"/>
      <c r="K459" s="23"/>
      <c r="L459" s="47"/>
    </row>
    <row r="460" spans="6:12" x14ac:dyDescent="0.3">
      <c r="F460" s="20"/>
      <c r="G460" s="21"/>
      <c r="H460" s="21"/>
      <c r="I460" s="21"/>
      <c r="J460" s="22"/>
      <c r="K460" s="23"/>
      <c r="L460" s="47"/>
    </row>
    <row r="461" spans="6:12" x14ac:dyDescent="0.3">
      <c r="F461" s="20"/>
      <c r="G461" s="21"/>
      <c r="H461" s="21"/>
      <c r="I461" s="21"/>
      <c r="J461" s="22"/>
      <c r="K461" s="23"/>
      <c r="L461" s="47"/>
    </row>
    <row r="462" spans="6:12" x14ac:dyDescent="0.3">
      <c r="F462" s="20"/>
      <c r="G462" s="21"/>
      <c r="H462" s="21"/>
      <c r="I462" s="21"/>
      <c r="J462" s="22"/>
      <c r="K462" s="23"/>
      <c r="L462" s="47"/>
    </row>
    <row r="463" spans="6:12" x14ac:dyDescent="0.3">
      <c r="F463" s="20"/>
      <c r="G463" s="21"/>
      <c r="H463" s="21"/>
      <c r="I463" s="21"/>
      <c r="J463" s="22"/>
      <c r="K463" s="23"/>
      <c r="L463" s="47"/>
    </row>
    <row r="464" spans="6:12" x14ac:dyDescent="0.3">
      <c r="F464" s="20"/>
      <c r="G464" s="21"/>
      <c r="H464" s="21"/>
      <c r="I464" s="21"/>
      <c r="J464" s="22"/>
      <c r="K464" s="23"/>
      <c r="L464" s="47"/>
    </row>
    <row r="465" spans="6:12" x14ac:dyDescent="0.3">
      <c r="F465" s="20"/>
      <c r="G465" s="21"/>
      <c r="H465" s="21"/>
      <c r="I465" s="21"/>
      <c r="J465" s="22"/>
      <c r="K465" s="23"/>
      <c r="L465" s="47"/>
    </row>
    <row r="466" spans="6:12" x14ac:dyDescent="0.3">
      <c r="F466" s="20"/>
      <c r="G466" s="21"/>
      <c r="H466" s="21"/>
      <c r="I466" s="21"/>
      <c r="J466" s="22"/>
      <c r="K466" s="23"/>
      <c r="L466" s="47"/>
    </row>
    <row r="467" spans="6:12" x14ac:dyDescent="0.3">
      <c r="F467" s="20"/>
      <c r="G467" s="21"/>
      <c r="H467" s="21"/>
      <c r="I467" s="21"/>
      <c r="J467" s="22"/>
      <c r="K467" s="23"/>
      <c r="L467" s="47"/>
    </row>
    <row r="468" spans="6:12" x14ac:dyDescent="0.3">
      <c r="F468" s="20"/>
      <c r="G468" s="21"/>
      <c r="H468" s="21"/>
      <c r="I468" s="21"/>
      <c r="J468" s="22"/>
      <c r="K468" s="23"/>
      <c r="L468" s="47"/>
    </row>
    <row r="469" spans="6:12" x14ac:dyDescent="0.3">
      <c r="F469" s="20"/>
      <c r="G469" s="21"/>
      <c r="H469" s="21"/>
      <c r="I469" s="21"/>
      <c r="J469" s="22"/>
      <c r="K469" s="23"/>
      <c r="L469" s="47"/>
    </row>
    <row r="470" spans="6:12" x14ac:dyDescent="0.3">
      <c r="F470" s="20"/>
      <c r="G470" s="21"/>
      <c r="H470" s="21"/>
      <c r="I470" s="21"/>
      <c r="J470" s="22"/>
      <c r="K470" s="23"/>
      <c r="L470" s="47"/>
    </row>
    <row r="471" spans="6:12" x14ac:dyDescent="0.3">
      <c r="F471" s="20"/>
      <c r="G471" s="21"/>
      <c r="H471" s="21"/>
      <c r="I471" s="21"/>
      <c r="J471" s="22"/>
      <c r="K471" s="23"/>
      <c r="L471" s="47"/>
    </row>
    <row r="472" spans="6:12" x14ac:dyDescent="0.3">
      <c r="F472" s="20"/>
      <c r="G472" s="21"/>
      <c r="H472" s="21"/>
      <c r="I472" s="21"/>
      <c r="J472" s="22"/>
      <c r="K472" s="23"/>
      <c r="L472" s="47"/>
    </row>
    <row r="473" spans="6:12" x14ac:dyDescent="0.3">
      <c r="F473" s="20"/>
      <c r="G473" s="21"/>
      <c r="H473" s="21"/>
      <c r="I473" s="21"/>
      <c r="J473" s="22"/>
      <c r="K473" s="23"/>
      <c r="L473" s="47"/>
    </row>
    <row r="474" spans="6:12" x14ac:dyDescent="0.3">
      <c r="F474" s="20"/>
      <c r="G474" s="21"/>
      <c r="H474" s="21"/>
      <c r="I474" s="21"/>
      <c r="J474" s="22"/>
      <c r="K474" s="23"/>
      <c r="L474" s="47"/>
    </row>
    <row r="475" spans="6:12" x14ac:dyDescent="0.3">
      <c r="F475" s="20"/>
      <c r="G475" s="21"/>
      <c r="H475" s="21"/>
      <c r="I475" s="21"/>
      <c r="J475" s="22"/>
      <c r="K475" s="23"/>
      <c r="L475" s="47"/>
    </row>
    <row r="476" spans="6:12" x14ac:dyDescent="0.3">
      <c r="F476" s="20"/>
      <c r="G476" s="21"/>
      <c r="H476" s="21"/>
      <c r="I476" s="21"/>
      <c r="J476" s="22"/>
      <c r="K476" s="23"/>
      <c r="L476" s="47"/>
    </row>
    <row r="477" spans="6:12" x14ac:dyDescent="0.3">
      <c r="F477" s="20"/>
      <c r="G477" s="21"/>
      <c r="H477" s="21"/>
      <c r="I477" s="21"/>
      <c r="J477" s="22"/>
      <c r="K477" s="23"/>
      <c r="L477" s="47"/>
    </row>
    <row r="478" spans="6:12" x14ac:dyDescent="0.3">
      <c r="F478" s="20"/>
      <c r="G478" s="21"/>
      <c r="H478" s="21"/>
      <c r="I478" s="21"/>
      <c r="J478" s="22"/>
      <c r="K478" s="23"/>
      <c r="L478" s="47"/>
    </row>
    <row r="479" spans="6:12" x14ac:dyDescent="0.3">
      <c r="F479" s="20"/>
      <c r="G479" s="21"/>
      <c r="H479" s="21"/>
      <c r="I479" s="21"/>
      <c r="J479" s="22"/>
      <c r="K479" s="23"/>
      <c r="L479" s="47"/>
    </row>
    <row r="480" spans="6:12" x14ac:dyDescent="0.3">
      <c r="F480" s="20"/>
      <c r="G480" s="21"/>
      <c r="H480" s="21"/>
      <c r="I480" s="21"/>
      <c r="J480" s="22"/>
      <c r="K480" s="23"/>
      <c r="L480" s="47"/>
    </row>
    <row r="481" spans="6:12" x14ac:dyDescent="0.3">
      <c r="F481" s="20"/>
      <c r="G481" s="21"/>
      <c r="H481" s="21"/>
      <c r="I481" s="21"/>
      <c r="J481" s="22"/>
      <c r="K481" s="23"/>
      <c r="L481" s="47"/>
    </row>
    <row r="482" spans="6:12" x14ac:dyDescent="0.3">
      <c r="F482" s="20"/>
      <c r="G482" s="21"/>
      <c r="H482" s="21"/>
      <c r="I482" s="21"/>
      <c r="J482" s="22"/>
      <c r="K482" s="23"/>
      <c r="L482" s="47"/>
    </row>
    <row r="483" spans="6:12" x14ac:dyDescent="0.3">
      <c r="F483" s="20"/>
      <c r="G483" s="21"/>
      <c r="H483" s="21"/>
      <c r="I483" s="21"/>
      <c r="J483" s="22"/>
      <c r="K483" s="23"/>
      <c r="L483" s="47"/>
    </row>
    <row r="484" spans="6:12" x14ac:dyDescent="0.3">
      <c r="F484" s="20"/>
      <c r="G484" s="21"/>
      <c r="H484" s="21"/>
      <c r="I484" s="21"/>
      <c r="J484" s="22"/>
      <c r="K484" s="23"/>
      <c r="L484" s="47"/>
    </row>
    <row r="485" spans="6:12" x14ac:dyDescent="0.3">
      <c r="F485" s="20"/>
      <c r="G485" s="21"/>
      <c r="H485" s="21"/>
      <c r="I485" s="21"/>
      <c r="J485" s="22"/>
      <c r="K485" s="23"/>
      <c r="L485" s="47"/>
    </row>
    <row r="486" spans="6:12" x14ac:dyDescent="0.3">
      <c r="F486" s="20"/>
      <c r="G486" s="21"/>
      <c r="H486" s="21"/>
      <c r="I486" s="21"/>
      <c r="J486" s="22"/>
      <c r="K486" s="23"/>
      <c r="L486" s="47"/>
    </row>
    <row r="487" spans="6:12" x14ac:dyDescent="0.3">
      <c r="F487" s="20"/>
      <c r="G487" s="21"/>
      <c r="H487" s="21"/>
      <c r="I487" s="21"/>
      <c r="J487" s="22"/>
      <c r="K487" s="23"/>
      <c r="L487" s="47"/>
    </row>
    <row r="488" spans="6:12" x14ac:dyDescent="0.3">
      <c r="F488" s="20"/>
      <c r="G488" s="21"/>
      <c r="H488" s="21"/>
      <c r="I488" s="21"/>
      <c r="J488" s="22"/>
      <c r="K488" s="23"/>
      <c r="L488" s="47"/>
    </row>
    <row r="489" spans="6:12" x14ac:dyDescent="0.3">
      <c r="F489" s="20"/>
      <c r="G489" s="21"/>
      <c r="H489" s="21"/>
      <c r="I489" s="21"/>
      <c r="J489" s="22"/>
      <c r="K489" s="23"/>
      <c r="L489" s="47"/>
    </row>
    <row r="490" spans="6:12" x14ac:dyDescent="0.3">
      <c r="F490" s="20"/>
      <c r="G490" s="21"/>
      <c r="H490" s="21"/>
      <c r="I490" s="21"/>
      <c r="J490" s="22"/>
      <c r="K490" s="23"/>
      <c r="L490" s="47"/>
    </row>
    <row r="491" spans="6:12" x14ac:dyDescent="0.3">
      <c r="F491" s="20"/>
      <c r="G491" s="21"/>
      <c r="H491" s="21"/>
      <c r="I491" s="21"/>
      <c r="J491" s="22"/>
      <c r="K491" s="23"/>
      <c r="L491" s="47"/>
    </row>
    <row r="492" spans="6:12" x14ac:dyDescent="0.3">
      <c r="F492" s="20"/>
      <c r="G492" s="21"/>
      <c r="H492" s="21"/>
      <c r="I492" s="21"/>
      <c r="J492" s="22"/>
      <c r="K492" s="23"/>
      <c r="L492" s="47"/>
    </row>
    <row r="493" spans="6:12" x14ac:dyDescent="0.3">
      <c r="F493" s="20"/>
      <c r="G493" s="21"/>
      <c r="H493" s="21"/>
      <c r="I493" s="21"/>
      <c r="J493" s="22"/>
      <c r="K493" s="23"/>
      <c r="L493" s="47"/>
    </row>
    <row r="494" spans="6:12" x14ac:dyDescent="0.3">
      <c r="F494" s="20"/>
      <c r="G494" s="21"/>
      <c r="H494" s="21"/>
      <c r="I494" s="21"/>
      <c r="J494" s="22"/>
      <c r="K494" s="23"/>
      <c r="L494" s="47"/>
    </row>
    <row r="495" spans="6:12" x14ac:dyDescent="0.3">
      <c r="F495" s="20"/>
      <c r="G495" s="21"/>
      <c r="H495" s="21"/>
      <c r="I495" s="21"/>
      <c r="J495" s="22"/>
      <c r="K495" s="23"/>
      <c r="L495" s="47"/>
    </row>
    <row r="496" spans="6:12" x14ac:dyDescent="0.3">
      <c r="F496" s="20"/>
      <c r="G496" s="21"/>
      <c r="H496" s="21"/>
      <c r="I496" s="21"/>
      <c r="J496" s="22"/>
      <c r="K496" s="23"/>
      <c r="L496" s="47"/>
    </row>
    <row r="497" spans="6:12" x14ac:dyDescent="0.3">
      <c r="F497" s="20"/>
      <c r="G497" s="21"/>
      <c r="H497" s="21"/>
      <c r="I497" s="21"/>
      <c r="J497" s="22"/>
      <c r="K497" s="23"/>
      <c r="L497" s="47"/>
    </row>
    <row r="498" spans="6:12" x14ac:dyDescent="0.3">
      <c r="F498" s="20"/>
      <c r="G498" s="21"/>
      <c r="H498" s="21"/>
      <c r="I498" s="21"/>
      <c r="J498" s="22"/>
      <c r="K498" s="23"/>
      <c r="L498" s="47"/>
    </row>
    <row r="499" spans="6:12" x14ac:dyDescent="0.3">
      <c r="F499" s="20"/>
      <c r="G499" s="21"/>
      <c r="H499" s="21"/>
      <c r="I499" s="21"/>
      <c r="J499" s="22"/>
      <c r="K499" s="23"/>
      <c r="L499" s="47"/>
    </row>
    <row r="500" spans="6:12" x14ac:dyDescent="0.3">
      <c r="F500" s="20"/>
      <c r="G500" s="21"/>
      <c r="H500" s="21"/>
      <c r="I500" s="21"/>
      <c r="J500" s="22"/>
      <c r="K500" s="23"/>
      <c r="L500" s="47"/>
    </row>
    <row r="501" spans="6:12" x14ac:dyDescent="0.3">
      <c r="F501" s="20"/>
      <c r="G501" s="21"/>
      <c r="H501" s="21"/>
      <c r="I501" s="21"/>
      <c r="J501" s="22"/>
      <c r="K501" s="23"/>
      <c r="L501" s="47"/>
    </row>
    <row r="502" spans="6:12" x14ac:dyDescent="0.3">
      <c r="F502" s="20"/>
      <c r="G502" s="21"/>
      <c r="H502" s="21"/>
      <c r="I502" s="21"/>
      <c r="J502" s="22"/>
      <c r="K502" s="23"/>
      <c r="L502" s="47"/>
    </row>
    <row r="503" spans="6:12" x14ac:dyDescent="0.3">
      <c r="F503" s="20"/>
      <c r="G503" s="21"/>
      <c r="H503" s="21"/>
      <c r="I503" s="21"/>
      <c r="J503" s="22"/>
      <c r="K503" s="23"/>
      <c r="L503" s="47"/>
    </row>
    <row r="504" spans="6:12" x14ac:dyDescent="0.3">
      <c r="F504" s="20"/>
      <c r="G504" s="21"/>
      <c r="H504" s="21"/>
      <c r="I504" s="21"/>
      <c r="J504" s="22"/>
      <c r="K504" s="23"/>
      <c r="L504" s="47"/>
    </row>
    <row r="505" spans="6:12" x14ac:dyDescent="0.3">
      <c r="F505" s="20"/>
      <c r="G505" s="21"/>
      <c r="H505" s="21"/>
      <c r="I505" s="21"/>
      <c r="J505" s="22"/>
      <c r="K505" s="23"/>
      <c r="L505" s="47"/>
    </row>
    <row r="506" spans="6:12" x14ac:dyDescent="0.3">
      <c r="F506" s="20"/>
      <c r="G506" s="21"/>
      <c r="H506" s="21"/>
      <c r="I506" s="21"/>
      <c r="J506" s="22"/>
      <c r="K506" s="23"/>
      <c r="L506" s="47"/>
    </row>
    <row r="507" spans="6:12" x14ac:dyDescent="0.3">
      <c r="F507" s="20"/>
      <c r="G507" s="21"/>
      <c r="H507" s="21"/>
      <c r="I507" s="21"/>
      <c r="J507" s="22"/>
      <c r="K507" s="23"/>
      <c r="L507" s="47"/>
    </row>
    <row r="508" spans="6:12" x14ac:dyDescent="0.3">
      <c r="F508" s="20"/>
      <c r="G508" s="21"/>
      <c r="H508" s="21"/>
      <c r="I508" s="21"/>
      <c r="J508" s="22"/>
      <c r="K508" s="23"/>
      <c r="L508" s="47"/>
    </row>
    <row r="509" spans="6:12" x14ac:dyDescent="0.3">
      <c r="F509" s="20"/>
      <c r="G509" s="21"/>
      <c r="H509" s="21"/>
      <c r="I509" s="21"/>
      <c r="J509" s="22"/>
      <c r="K509" s="23"/>
      <c r="L509" s="47"/>
    </row>
    <row r="510" spans="6:12" x14ac:dyDescent="0.3">
      <c r="F510" s="20"/>
      <c r="G510" s="21"/>
      <c r="H510" s="21"/>
      <c r="I510" s="21"/>
      <c r="J510" s="22"/>
      <c r="K510" s="23"/>
      <c r="L510" s="47"/>
    </row>
    <row r="511" spans="6:12" x14ac:dyDescent="0.3">
      <c r="F511" s="20"/>
      <c r="G511" s="21"/>
      <c r="H511" s="21"/>
      <c r="I511" s="21"/>
      <c r="J511" s="22"/>
      <c r="K511" s="23"/>
      <c r="L511" s="47"/>
    </row>
    <row r="512" spans="6:12" x14ac:dyDescent="0.3">
      <c r="F512" s="20"/>
      <c r="G512" s="21"/>
      <c r="H512" s="21"/>
      <c r="I512" s="21"/>
      <c r="J512" s="22"/>
      <c r="K512" s="23"/>
      <c r="L512" s="47"/>
    </row>
    <row r="513" spans="6:12" x14ac:dyDescent="0.3">
      <c r="F513" s="20"/>
      <c r="G513" s="21"/>
      <c r="H513" s="21"/>
      <c r="I513" s="21"/>
      <c r="J513" s="22"/>
      <c r="K513" s="23"/>
      <c r="L513" s="47"/>
    </row>
    <row r="514" spans="6:12" x14ac:dyDescent="0.3">
      <c r="F514" s="20"/>
      <c r="G514" s="21"/>
      <c r="H514" s="21"/>
      <c r="I514" s="21"/>
      <c r="J514" s="22"/>
      <c r="K514" s="23"/>
      <c r="L514" s="47"/>
    </row>
    <row r="515" spans="6:12" x14ac:dyDescent="0.3">
      <c r="F515" s="20"/>
      <c r="G515" s="21"/>
      <c r="H515" s="21"/>
      <c r="I515" s="21"/>
      <c r="J515" s="22"/>
      <c r="K515" s="23"/>
      <c r="L515" s="47"/>
    </row>
    <row r="516" spans="6:12" x14ac:dyDescent="0.3">
      <c r="F516" s="20"/>
      <c r="G516" s="21"/>
      <c r="H516" s="21"/>
      <c r="I516" s="21"/>
      <c r="J516" s="22"/>
      <c r="K516" s="23"/>
      <c r="L516" s="47"/>
    </row>
    <row r="517" spans="6:12" x14ac:dyDescent="0.3">
      <c r="F517" s="20"/>
      <c r="G517" s="21"/>
      <c r="H517" s="21"/>
      <c r="I517" s="21"/>
      <c r="J517" s="22"/>
      <c r="K517" s="23"/>
      <c r="L517" s="47"/>
    </row>
    <row r="518" spans="6:12" x14ac:dyDescent="0.3">
      <c r="F518" s="20"/>
      <c r="G518" s="21"/>
      <c r="H518" s="21"/>
      <c r="I518" s="21"/>
      <c r="J518" s="22"/>
      <c r="K518" s="23"/>
      <c r="L518" s="47"/>
    </row>
    <row r="519" spans="6:12" x14ac:dyDescent="0.3">
      <c r="F519" s="20"/>
      <c r="G519" s="21"/>
      <c r="H519" s="21"/>
      <c r="I519" s="21"/>
      <c r="J519" s="22"/>
      <c r="K519" s="23"/>
      <c r="L519" s="47"/>
    </row>
    <row r="520" spans="6:12" x14ac:dyDescent="0.3">
      <c r="F520" s="20"/>
      <c r="G520" s="21"/>
      <c r="H520" s="21"/>
      <c r="I520" s="21"/>
      <c r="J520" s="22"/>
      <c r="K520" s="23"/>
      <c r="L520" s="47"/>
    </row>
    <row r="521" spans="6:12" x14ac:dyDescent="0.3">
      <c r="F521" s="20"/>
      <c r="G521" s="21"/>
      <c r="H521" s="21"/>
      <c r="I521" s="21"/>
      <c r="J521" s="22"/>
      <c r="K521" s="23"/>
      <c r="L521" s="47"/>
    </row>
    <row r="522" spans="6:12" x14ac:dyDescent="0.3">
      <c r="F522" s="20"/>
      <c r="G522" s="21"/>
      <c r="H522" s="21"/>
      <c r="I522" s="21"/>
      <c r="J522" s="22"/>
      <c r="K522" s="23"/>
      <c r="L522" s="47"/>
    </row>
    <row r="523" spans="6:12" x14ac:dyDescent="0.3">
      <c r="F523" s="20"/>
      <c r="G523" s="21"/>
      <c r="H523" s="21"/>
      <c r="I523" s="21"/>
      <c r="J523" s="22"/>
      <c r="K523" s="23"/>
      <c r="L523" s="47"/>
    </row>
    <row r="524" spans="6:12" x14ac:dyDescent="0.3">
      <c r="F524" s="20"/>
      <c r="G524" s="21"/>
      <c r="H524" s="21"/>
      <c r="I524" s="21"/>
      <c r="J524" s="22"/>
      <c r="K524" s="23"/>
      <c r="L524" s="47"/>
    </row>
    <row r="525" spans="6:12" x14ac:dyDescent="0.3">
      <c r="F525" s="20"/>
      <c r="G525" s="21"/>
      <c r="H525" s="21"/>
      <c r="I525" s="21"/>
      <c r="J525" s="22"/>
      <c r="K525" s="23"/>
      <c r="L525" s="47"/>
    </row>
    <row r="526" spans="6:12" x14ac:dyDescent="0.3">
      <c r="F526" s="20"/>
      <c r="G526" s="21"/>
      <c r="H526" s="21"/>
      <c r="I526" s="21"/>
      <c r="J526" s="22"/>
      <c r="K526" s="23"/>
      <c r="L526" s="47"/>
    </row>
    <row r="527" spans="6:12" x14ac:dyDescent="0.3">
      <c r="F527" s="20"/>
      <c r="G527" s="21"/>
      <c r="H527" s="21"/>
      <c r="I527" s="21"/>
      <c r="J527" s="22"/>
      <c r="K527" s="23"/>
      <c r="L527" s="47"/>
    </row>
    <row r="528" spans="6:12" x14ac:dyDescent="0.3">
      <c r="F528" s="20"/>
      <c r="G528" s="21"/>
      <c r="H528" s="21"/>
      <c r="I528" s="21"/>
      <c r="J528" s="22"/>
      <c r="K528" s="23"/>
      <c r="L528" s="47"/>
    </row>
    <row r="529" spans="6:12" x14ac:dyDescent="0.3">
      <c r="F529" s="20"/>
      <c r="G529" s="21"/>
      <c r="H529" s="21"/>
      <c r="I529" s="21"/>
      <c r="J529" s="22"/>
      <c r="K529" s="23"/>
      <c r="L529" s="47"/>
    </row>
    <row r="530" spans="6:12" x14ac:dyDescent="0.3">
      <c r="F530" s="20"/>
      <c r="G530" s="21"/>
      <c r="H530" s="21"/>
      <c r="I530" s="21"/>
      <c r="J530" s="22"/>
      <c r="K530" s="23"/>
      <c r="L530" s="47"/>
    </row>
    <row r="531" spans="6:12" x14ac:dyDescent="0.3">
      <c r="F531" s="20"/>
      <c r="G531" s="21"/>
      <c r="H531" s="21"/>
      <c r="I531" s="21"/>
      <c r="J531" s="22"/>
      <c r="K531" s="23"/>
      <c r="L531" s="47"/>
    </row>
    <row r="532" spans="6:12" x14ac:dyDescent="0.3">
      <c r="F532" s="20"/>
      <c r="G532" s="21"/>
      <c r="H532" s="21"/>
      <c r="I532" s="21"/>
      <c r="J532" s="22"/>
      <c r="K532" s="23"/>
      <c r="L532" s="47"/>
    </row>
    <row r="533" spans="6:12" x14ac:dyDescent="0.3">
      <c r="F533" s="20"/>
      <c r="G533" s="21"/>
      <c r="H533" s="21"/>
      <c r="I533" s="21"/>
      <c r="J533" s="22"/>
      <c r="K533" s="23"/>
      <c r="L533" s="47"/>
    </row>
    <row r="534" spans="6:12" x14ac:dyDescent="0.3">
      <c r="F534" s="20"/>
      <c r="G534" s="21"/>
      <c r="H534" s="21"/>
      <c r="I534" s="21"/>
      <c r="J534" s="22"/>
      <c r="K534" s="23"/>
      <c r="L534" s="47"/>
    </row>
    <row r="535" spans="6:12" x14ac:dyDescent="0.3">
      <c r="F535" s="20"/>
      <c r="G535" s="21"/>
      <c r="H535" s="21"/>
      <c r="I535" s="21"/>
      <c r="J535" s="22"/>
      <c r="K535" s="23"/>
      <c r="L535" s="47"/>
    </row>
    <row r="536" spans="6:12" x14ac:dyDescent="0.3">
      <c r="F536" s="20"/>
      <c r="G536" s="21"/>
      <c r="H536" s="21"/>
      <c r="I536" s="21"/>
      <c r="J536" s="22"/>
      <c r="K536" s="23"/>
      <c r="L536" s="47"/>
    </row>
    <row r="537" spans="6:12" x14ac:dyDescent="0.3">
      <c r="F537" s="20"/>
      <c r="G537" s="21"/>
      <c r="H537" s="21"/>
      <c r="I537" s="21"/>
      <c r="J537" s="22"/>
      <c r="K537" s="23"/>
      <c r="L537" s="47"/>
    </row>
    <row r="538" spans="6:12" x14ac:dyDescent="0.3">
      <c r="F538" s="20"/>
      <c r="G538" s="21"/>
      <c r="H538" s="21"/>
      <c r="I538" s="21"/>
      <c r="J538" s="22"/>
      <c r="K538" s="23"/>
      <c r="L538" s="47"/>
    </row>
    <row r="539" spans="6:12" x14ac:dyDescent="0.3">
      <c r="F539" s="20"/>
      <c r="G539" s="21"/>
      <c r="H539" s="21"/>
      <c r="I539" s="21"/>
      <c r="J539" s="22"/>
      <c r="K539" s="23"/>
      <c r="L539" s="47"/>
    </row>
    <row r="540" spans="6:12" x14ac:dyDescent="0.3">
      <c r="F540" s="20"/>
      <c r="G540" s="21"/>
      <c r="H540" s="21"/>
      <c r="I540" s="21"/>
      <c r="J540" s="22"/>
      <c r="K540" s="23"/>
      <c r="L540" s="47"/>
    </row>
    <row r="541" spans="6:12" x14ac:dyDescent="0.3">
      <c r="F541" s="20"/>
      <c r="G541" s="21"/>
      <c r="H541" s="21"/>
      <c r="I541" s="21"/>
      <c r="J541" s="22"/>
      <c r="K541" s="23"/>
      <c r="L541" s="47"/>
    </row>
    <row r="542" spans="6:12" x14ac:dyDescent="0.3">
      <c r="F542" s="20"/>
      <c r="G542" s="21"/>
      <c r="H542" s="21"/>
      <c r="I542" s="21"/>
      <c r="J542" s="22"/>
      <c r="K542" s="23"/>
      <c r="L542" s="47"/>
    </row>
    <row r="543" spans="6:12" x14ac:dyDescent="0.3">
      <c r="F543" s="20"/>
      <c r="G543" s="21"/>
      <c r="H543" s="21"/>
      <c r="I543" s="21"/>
      <c r="J543" s="22"/>
      <c r="K543" s="23"/>
      <c r="L543" s="47"/>
    </row>
    <row r="544" spans="6:12" x14ac:dyDescent="0.3">
      <c r="F544" s="20"/>
      <c r="G544" s="21"/>
      <c r="H544" s="21"/>
      <c r="I544" s="21"/>
      <c r="J544" s="22"/>
      <c r="K544" s="23"/>
      <c r="L544" s="47"/>
    </row>
    <row r="545" spans="6:12" x14ac:dyDescent="0.3">
      <c r="F545" s="20"/>
      <c r="G545" s="21"/>
      <c r="H545" s="21"/>
      <c r="I545" s="21"/>
      <c r="J545" s="22"/>
      <c r="K545" s="23"/>
      <c r="L545" s="47"/>
    </row>
    <row r="546" spans="6:12" x14ac:dyDescent="0.3">
      <c r="F546" s="20"/>
      <c r="G546" s="21"/>
      <c r="H546" s="21"/>
      <c r="I546" s="21"/>
      <c r="J546" s="22"/>
      <c r="K546" s="23"/>
      <c r="L546" s="47"/>
    </row>
    <row r="547" spans="6:12" x14ac:dyDescent="0.3">
      <c r="F547" s="20"/>
      <c r="G547" s="21"/>
      <c r="H547" s="21"/>
      <c r="I547" s="21"/>
      <c r="J547" s="22"/>
      <c r="K547" s="23"/>
      <c r="L547" s="47"/>
    </row>
    <row r="548" spans="6:12" x14ac:dyDescent="0.3">
      <c r="F548" s="20"/>
      <c r="G548" s="21"/>
      <c r="H548" s="21"/>
      <c r="I548" s="21"/>
      <c r="J548" s="22"/>
      <c r="K548" s="23"/>
      <c r="L548" s="47"/>
    </row>
    <row r="549" spans="6:12" x14ac:dyDescent="0.3">
      <c r="F549" s="20"/>
      <c r="G549" s="21"/>
      <c r="H549" s="21"/>
      <c r="I549" s="21"/>
      <c r="J549" s="22"/>
      <c r="K549" s="23"/>
      <c r="L549" s="47"/>
    </row>
    <row r="550" spans="6:12" x14ac:dyDescent="0.3">
      <c r="F550" s="20"/>
      <c r="G550" s="21"/>
      <c r="H550" s="21"/>
      <c r="I550" s="21"/>
      <c r="J550" s="22"/>
      <c r="K550" s="23"/>
      <c r="L550" s="47"/>
    </row>
    <row r="551" spans="6:12" x14ac:dyDescent="0.3">
      <c r="F551" s="20"/>
      <c r="G551" s="21"/>
      <c r="H551" s="21"/>
      <c r="I551" s="21"/>
      <c r="J551" s="22"/>
      <c r="K551" s="23"/>
      <c r="L551" s="47"/>
    </row>
    <row r="552" spans="6:12" x14ac:dyDescent="0.3">
      <c r="F552" s="20"/>
      <c r="G552" s="21"/>
      <c r="H552" s="21"/>
      <c r="I552" s="21"/>
      <c r="J552" s="22"/>
      <c r="K552" s="23"/>
      <c r="L552" s="47"/>
    </row>
    <row r="553" spans="6:12" x14ac:dyDescent="0.3">
      <c r="F553" s="20"/>
      <c r="G553" s="21"/>
      <c r="H553" s="21"/>
      <c r="I553" s="21"/>
      <c r="J553" s="22"/>
      <c r="K553" s="23"/>
      <c r="L553" s="47"/>
    </row>
    <row r="554" spans="6:12" x14ac:dyDescent="0.3">
      <c r="F554" s="20"/>
      <c r="G554" s="21"/>
      <c r="H554" s="21"/>
      <c r="I554" s="21"/>
      <c r="J554" s="22"/>
      <c r="K554" s="23"/>
      <c r="L554" s="47"/>
    </row>
    <row r="555" spans="6:12" x14ac:dyDescent="0.3">
      <c r="F555" s="20"/>
      <c r="G555" s="21"/>
      <c r="H555" s="21"/>
      <c r="I555" s="21"/>
      <c r="J555" s="22"/>
      <c r="K555" s="23"/>
      <c r="L555" s="47"/>
    </row>
    <row r="556" spans="6:12" x14ac:dyDescent="0.3">
      <c r="F556" s="20"/>
      <c r="G556" s="21"/>
      <c r="H556" s="21"/>
      <c r="I556" s="21"/>
      <c r="J556" s="22"/>
      <c r="K556" s="23"/>
      <c r="L556" s="47"/>
    </row>
    <row r="557" spans="6:12" x14ac:dyDescent="0.3">
      <c r="F557" s="20"/>
      <c r="G557" s="21"/>
      <c r="H557" s="21"/>
      <c r="I557" s="21"/>
      <c r="J557" s="22"/>
      <c r="K557" s="23"/>
      <c r="L557" s="47"/>
    </row>
    <row r="558" spans="6:12" x14ac:dyDescent="0.3">
      <c r="F558" s="20"/>
      <c r="G558" s="21"/>
      <c r="H558" s="21"/>
      <c r="I558" s="21"/>
      <c r="J558" s="22"/>
      <c r="K558" s="23"/>
      <c r="L558" s="47"/>
    </row>
    <row r="559" spans="6:12" x14ac:dyDescent="0.3">
      <c r="F559" s="20"/>
      <c r="G559" s="21"/>
      <c r="H559" s="21"/>
      <c r="I559" s="21"/>
      <c r="J559" s="22"/>
      <c r="K559" s="23"/>
      <c r="L559" s="47"/>
    </row>
    <row r="560" spans="6:12" x14ac:dyDescent="0.3">
      <c r="F560" s="20"/>
      <c r="G560" s="21"/>
      <c r="H560" s="21"/>
      <c r="I560" s="21"/>
      <c r="J560" s="22"/>
      <c r="K560" s="23"/>
      <c r="L560" s="47"/>
    </row>
    <row r="561" spans="6:12" x14ac:dyDescent="0.3">
      <c r="F561" s="20"/>
      <c r="G561" s="21"/>
      <c r="H561" s="21"/>
      <c r="I561" s="21"/>
      <c r="J561" s="22"/>
      <c r="K561" s="23"/>
      <c r="L561" s="47"/>
    </row>
    <row r="562" spans="6:12" x14ac:dyDescent="0.3">
      <c r="F562" s="20"/>
      <c r="G562" s="21"/>
      <c r="H562" s="21"/>
      <c r="I562" s="21"/>
      <c r="J562" s="22"/>
      <c r="K562" s="23"/>
      <c r="L562" s="47"/>
    </row>
    <row r="563" spans="6:12" x14ac:dyDescent="0.3">
      <c r="F563" s="20"/>
      <c r="G563" s="21"/>
      <c r="H563" s="21"/>
      <c r="I563" s="21"/>
      <c r="J563" s="22"/>
      <c r="K563" s="23"/>
      <c r="L563" s="47"/>
    </row>
    <row r="564" spans="6:12" x14ac:dyDescent="0.3">
      <c r="F564" s="20"/>
      <c r="G564" s="21"/>
      <c r="H564" s="21"/>
      <c r="I564" s="21"/>
      <c r="J564" s="22"/>
      <c r="K564" s="23"/>
      <c r="L564" s="47"/>
    </row>
    <row r="565" spans="6:12" x14ac:dyDescent="0.3">
      <c r="F565" s="20"/>
      <c r="G565" s="21"/>
      <c r="H565" s="21"/>
      <c r="I565" s="21"/>
      <c r="J565" s="22"/>
      <c r="K565" s="23"/>
      <c r="L565" s="47"/>
    </row>
    <row r="566" spans="6:12" x14ac:dyDescent="0.3">
      <c r="F566" s="20"/>
      <c r="G566" s="21"/>
      <c r="H566" s="21"/>
      <c r="I566" s="21"/>
      <c r="J566" s="22"/>
      <c r="K566" s="23"/>
      <c r="L566" s="47"/>
    </row>
    <row r="567" spans="6:12" x14ac:dyDescent="0.3">
      <c r="F567" s="20"/>
      <c r="G567" s="21"/>
      <c r="H567" s="21"/>
      <c r="I567" s="21"/>
      <c r="J567" s="22"/>
      <c r="K567" s="23"/>
      <c r="L567" s="47"/>
    </row>
    <row r="568" spans="6:12" x14ac:dyDescent="0.3">
      <c r="F568" s="20"/>
      <c r="G568" s="21"/>
      <c r="H568" s="21"/>
      <c r="I568" s="21"/>
      <c r="J568" s="22"/>
      <c r="K568" s="23"/>
      <c r="L568" s="47"/>
    </row>
    <row r="569" spans="6:12" x14ac:dyDescent="0.3">
      <c r="F569" s="20"/>
      <c r="G569" s="21"/>
      <c r="H569" s="21"/>
      <c r="I569" s="21"/>
      <c r="J569" s="22"/>
      <c r="K569" s="23"/>
      <c r="L569" s="47"/>
    </row>
    <row r="570" spans="6:12" x14ac:dyDescent="0.3">
      <c r="F570" s="20"/>
      <c r="G570" s="21"/>
      <c r="H570" s="21"/>
      <c r="I570" s="21"/>
      <c r="J570" s="22"/>
      <c r="K570" s="23"/>
      <c r="L570" s="47"/>
    </row>
    <row r="571" spans="6:12" x14ac:dyDescent="0.3">
      <c r="F571" s="20"/>
      <c r="G571" s="21"/>
      <c r="H571" s="21"/>
      <c r="I571" s="21"/>
      <c r="J571" s="22"/>
      <c r="K571" s="23"/>
      <c r="L571" s="47"/>
    </row>
    <row r="572" spans="6:12" x14ac:dyDescent="0.3">
      <c r="F572" s="20"/>
      <c r="G572" s="21"/>
      <c r="H572" s="21"/>
      <c r="I572" s="21"/>
      <c r="J572" s="22"/>
      <c r="K572" s="23"/>
      <c r="L572" s="47"/>
    </row>
    <row r="573" spans="6:12" x14ac:dyDescent="0.3">
      <c r="F573" s="20"/>
      <c r="G573" s="21"/>
      <c r="H573" s="21"/>
      <c r="I573" s="21"/>
      <c r="J573" s="22"/>
      <c r="K573" s="23"/>
      <c r="L573" s="47"/>
    </row>
    <row r="574" spans="6:12" x14ac:dyDescent="0.3">
      <c r="F574" s="20"/>
      <c r="G574" s="21"/>
      <c r="H574" s="21"/>
      <c r="I574" s="21"/>
      <c r="J574" s="22"/>
      <c r="K574" s="23"/>
      <c r="L574" s="47"/>
    </row>
    <row r="575" spans="6:12" x14ac:dyDescent="0.3">
      <c r="F575" s="20"/>
      <c r="G575" s="21"/>
      <c r="H575" s="21"/>
      <c r="I575" s="21"/>
      <c r="J575" s="22"/>
      <c r="K575" s="23"/>
      <c r="L575" s="47"/>
    </row>
    <row r="576" spans="6:12" x14ac:dyDescent="0.3">
      <c r="F576" s="20"/>
      <c r="G576" s="21"/>
      <c r="H576" s="21"/>
      <c r="I576" s="21"/>
      <c r="J576" s="22"/>
      <c r="K576" s="23"/>
      <c r="L576" s="47"/>
    </row>
    <row r="577" spans="6:12" x14ac:dyDescent="0.3">
      <c r="F577" s="20"/>
      <c r="G577" s="21"/>
      <c r="H577" s="21"/>
      <c r="I577" s="21"/>
      <c r="J577" s="22"/>
      <c r="K577" s="23"/>
      <c r="L577" s="47"/>
    </row>
    <row r="578" spans="6:12" x14ac:dyDescent="0.3">
      <c r="F578" s="20"/>
      <c r="G578" s="21"/>
      <c r="H578" s="21"/>
      <c r="I578" s="21"/>
      <c r="J578" s="22"/>
      <c r="K578" s="23"/>
      <c r="L578" s="47"/>
    </row>
    <row r="579" spans="6:12" x14ac:dyDescent="0.3">
      <c r="F579" s="20"/>
      <c r="G579" s="21"/>
      <c r="H579" s="21"/>
      <c r="I579" s="21"/>
      <c r="J579" s="22"/>
      <c r="K579" s="23"/>
      <c r="L579" s="47"/>
    </row>
    <row r="580" spans="6:12" x14ac:dyDescent="0.3">
      <c r="F580" s="20"/>
      <c r="G580" s="21"/>
      <c r="H580" s="21"/>
      <c r="I580" s="21"/>
      <c r="J580" s="22"/>
      <c r="K580" s="23"/>
      <c r="L580" s="47"/>
    </row>
    <row r="581" spans="6:12" x14ac:dyDescent="0.3">
      <c r="F581" s="20"/>
      <c r="G581" s="21"/>
      <c r="H581" s="21"/>
      <c r="I581" s="21"/>
      <c r="J581" s="22"/>
      <c r="K581" s="23"/>
      <c r="L581" s="47"/>
    </row>
    <row r="582" spans="6:12" x14ac:dyDescent="0.3">
      <c r="F582" s="20"/>
      <c r="G582" s="21"/>
      <c r="H582" s="21"/>
      <c r="I582" s="21"/>
      <c r="J582" s="22"/>
      <c r="K582" s="23"/>
      <c r="L582" s="47"/>
    </row>
    <row r="583" spans="6:12" x14ac:dyDescent="0.3">
      <c r="F583" s="20"/>
      <c r="G583" s="21"/>
      <c r="H583" s="21"/>
      <c r="I583" s="21"/>
      <c r="J583" s="22"/>
      <c r="K583" s="23"/>
      <c r="L583" s="47"/>
    </row>
    <row r="584" spans="6:12" x14ac:dyDescent="0.3">
      <c r="F584" s="20"/>
      <c r="G584" s="21"/>
      <c r="H584" s="21"/>
      <c r="I584" s="21"/>
      <c r="J584" s="22"/>
      <c r="K584" s="23"/>
      <c r="L584" s="47"/>
    </row>
    <row r="585" spans="6:12" x14ac:dyDescent="0.3">
      <c r="F585" s="20"/>
      <c r="G585" s="21"/>
      <c r="H585" s="21"/>
      <c r="I585" s="21"/>
      <c r="J585" s="22"/>
      <c r="K585" s="23"/>
      <c r="L585" s="47"/>
    </row>
    <row r="586" spans="6:12" x14ac:dyDescent="0.3">
      <c r="F586" s="20"/>
      <c r="G586" s="21"/>
      <c r="H586" s="21"/>
      <c r="I586" s="21"/>
      <c r="J586" s="22"/>
      <c r="K586" s="23"/>
      <c r="L586" s="47"/>
    </row>
    <row r="587" spans="6:12" x14ac:dyDescent="0.3">
      <c r="F587" s="20"/>
      <c r="G587" s="21"/>
      <c r="H587" s="21"/>
      <c r="I587" s="21"/>
      <c r="J587" s="22"/>
      <c r="K587" s="23"/>
      <c r="L587" s="47"/>
    </row>
    <row r="588" spans="6:12" x14ac:dyDescent="0.3">
      <c r="F588" s="20"/>
      <c r="G588" s="21"/>
      <c r="H588" s="21"/>
      <c r="I588" s="21"/>
      <c r="J588" s="22"/>
      <c r="K588" s="23"/>
      <c r="L588" s="47"/>
    </row>
    <row r="589" spans="6:12" x14ac:dyDescent="0.3">
      <c r="F589" s="20"/>
      <c r="G589" s="21"/>
      <c r="H589" s="21"/>
      <c r="I589" s="21"/>
      <c r="J589" s="22"/>
      <c r="K589" s="23"/>
      <c r="L589" s="47"/>
    </row>
    <row r="590" spans="6:12" x14ac:dyDescent="0.3">
      <c r="F590" s="20"/>
      <c r="G590" s="21"/>
      <c r="H590" s="21"/>
      <c r="I590" s="21"/>
      <c r="J590" s="22"/>
      <c r="K590" s="23"/>
      <c r="L590" s="47"/>
    </row>
    <row r="591" spans="6:12" x14ac:dyDescent="0.3">
      <c r="F591" s="20"/>
      <c r="G591" s="21"/>
      <c r="H591" s="21"/>
      <c r="I591" s="21"/>
      <c r="J591" s="22"/>
      <c r="K591" s="23"/>
      <c r="L591" s="47"/>
    </row>
    <row r="592" spans="6:12" x14ac:dyDescent="0.3">
      <c r="F592" s="20"/>
      <c r="G592" s="21"/>
      <c r="H592" s="21"/>
      <c r="I592" s="21"/>
      <c r="J592" s="22"/>
      <c r="K592" s="23"/>
      <c r="L592" s="47"/>
    </row>
    <row r="593" spans="6:12" x14ac:dyDescent="0.3">
      <c r="F593" s="20"/>
      <c r="G593" s="21"/>
      <c r="H593" s="21"/>
      <c r="I593" s="21"/>
      <c r="J593" s="22"/>
      <c r="K593" s="23"/>
      <c r="L593" s="47"/>
    </row>
    <row r="594" spans="6:12" x14ac:dyDescent="0.3">
      <c r="F594" s="20"/>
      <c r="G594" s="21"/>
      <c r="H594" s="21"/>
      <c r="I594" s="21"/>
      <c r="J594" s="22"/>
      <c r="K594" s="23"/>
      <c r="L594" s="47"/>
    </row>
    <row r="595" spans="6:12" x14ac:dyDescent="0.3">
      <c r="F595" s="20"/>
      <c r="G595" s="21"/>
      <c r="H595" s="21"/>
      <c r="I595" s="21"/>
      <c r="J595" s="22"/>
      <c r="K595" s="23"/>
      <c r="L595" s="47"/>
    </row>
    <row r="596" spans="6:12" x14ac:dyDescent="0.3">
      <c r="F596" s="20"/>
      <c r="G596" s="21"/>
      <c r="H596" s="21"/>
      <c r="I596" s="21"/>
      <c r="J596" s="22"/>
      <c r="K596" s="23"/>
      <c r="L596" s="47"/>
    </row>
    <row r="597" spans="6:12" x14ac:dyDescent="0.3">
      <c r="F597" s="20"/>
      <c r="G597" s="21"/>
      <c r="H597" s="21"/>
      <c r="I597" s="21"/>
      <c r="J597" s="22"/>
      <c r="K597" s="23"/>
      <c r="L597" s="47"/>
    </row>
    <row r="598" spans="6:12" x14ac:dyDescent="0.3">
      <c r="F598" s="20"/>
      <c r="G598" s="21"/>
      <c r="H598" s="21"/>
      <c r="I598" s="21"/>
      <c r="J598" s="22"/>
      <c r="K598" s="23"/>
      <c r="L598" s="47"/>
    </row>
    <row r="599" spans="6:12" x14ac:dyDescent="0.3">
      <c r="F599" s="20"/>
      <c r="G599" s="21"/>
      <c r="H599" s="21"/>
      <c r="I599" s="21"/>
      <c r="J599" s="22"/>
      <c r="K599" s="23"/>
      <c r="L599" s="47"/>
    </row>
    <row r="600" spans="6:12" x14ac:dyDescent="0.3">
      <c r="F600" s="20"/>
      <c r="G600" s="21"/>
      <c r="H600" s="21"/>
      <c r="I600" s="21"/>
      <c r="J600" s="22"/>
      <c r="K600" s="23"/>
      <c r="L600" s="47"/>
    </row>
    <row r="601" spans="6:12" x14ac:dyDescent="0.3">
      <c r="F601" s="20"/>
      <c r="G601" s="21"/>
      <c r="H601" s="21"/>
      <c r="I601" s="21"/>
      <c r="J601" s="22"/>
      <c r="K601" s="23"/>
      <c r="L601" s="47"/>
    </row>
    <row r="602" spans="6:12" x14ac:dyDescent="0.3">
      <c r="F602" s="20"/>
      <c r="G602" s="21"/>
      <c r="H602" s="21"/>
      <c r="I602" s="21"/>
      <c r="J602" s="22"/>
      <c r="K602" s="23"/>
      <c r="L602" s="47"/>
    </row>
    <row r="603" spans="6:12" x14ac:dyDescent="0.3">
      <c r="F603" s="20"/>
      <c r="G603" s="21"/>
      <c r="H603" s="21"/>
      <c r="I603" s="21"/>
      <c r="J603" s="22"/>
      <c r="K603" s="23"/>
      <c r="L603" s="47"/>
    </row>
    <row r="604" spans="6:12" x14ac:dyDescent="0.3">
      <c r="F604" s="20"/>
      <c r="G604" s="21"/>
      <c r="H604" s="21"/>
      <c r="I604" s="21"/>
      <c r="J604" s="22"/>
      <c r="K604" s="23"/>
      <c r="L604" s="47"/>
    </row>
    <row r="605" spans="6:12" x14ac:dyDescent="0.3">
      <c r="F605" s="20"/>
      <c r="G605" s="21"/>
      <c r="H605" s="21"/>
      <c r="I605" s="21"/>
      <c r="J605" s="22"/>
      <c r="K605" s="23"/>
      <c r="L605" s="47"/>
    </row>
    <row r="606" spans="6:12" x14ac:dyDescent="0.3">
      <c r="F606" s="20"/>
      <c r="G606" s="21"/>
      <c r="H606" s="21"/>
      <c r="I606" s="21"/>
      <c r="J606" s="22"/>
      <c r="K606" s="23"/>
      <c r="L606" s="47"/>
    </row>
    <row r="607" spans="6:12" x14ac:dyDescent="0.3">
      <c r="F607" s="20"/>
      <c r="G607" s="21"/>
      <c r="H607" s="21"/>
      <c r="I607" s="21"/>
      <c r="J607" s="22"/>
      <c r="K607" s="23"/>
      <c r="L607" s="47"/>
    </row>
    <row r="608" spans="6:12" x14ac:dyDescent="0.3">
      <c r="F608" s="20"/>
      <c r="G608" s="21"/>
      <c r="H608" s="21"/>
      <c r="I608" s="21"/>
      <c r="J608" s="22"/>
      <c r="K608" s="23"/>
      <c r="L608" s="47"/>
    </row>
    <row r="609" spans="6:12" x14ac:dyDescent="0.3">
      <c r="F609" s="20"/>
      <c r="G609" s="21"/>
      <c r="H609" s="21"/>
      <c r="I609" s="21"/>
      <c r="J609" s="22"/>
      <c r="K609" s="23"/>
      <c r="L609" s="47"/>
    </row>
    <row r="610" spans="6:12" x14ac:dyDescent="0.3">
      <c r="F610" s="20"/>
      <c r="G610" s="21"/>
      <c r="H610" s="21"/>
      <c r="I610" s="21"/>
      <c r="J610" s="22"/>
      <c r="K610" s="23"/>
      <c r="L610" s="47"/>
    </row>
    <row r="611" spans="6:12" x14ac:dyDescent="0.3">
      <c r="F611" s="20"/>
      <c r="G611" s="21"/>
      <c r="H611" s="21"/>
      <c r="I611" s="21"/>
      <c r="J611" s="22"/>
      <c r="K611" s="23"/>
      <c r="L611" s="47"/>
    </row>
    <row r="612" spans="6:12" x14ac:dyDescent="0.3">
      <c r="F612" s="20"/>
      <c r="G612" s="21"/>
      <c r="H612" s="21"/>
      <c r="I612" s="21"/>
      <c r="J612" s="22"/>
      <c r="K612" s="23"/>
      <c r="L612" s="47"/>
    </row>
    <row r="613" spans="6:12" x14ac:dyDescent="0.3">
      <c r="F613" s="20"/>
      <c r="G613" s="21"/>
      <c r="H613" s="21"/>
      <c r="I613" s="21"/>
      <c r="J613" s="22"/>
      <c r="K613" s="23"/>
      <c r="L613" s="47"/>
    </row>
    <row r="614" spans="6:12" x14ac:dyDescent="0.3">
      <c r="F614" s="20"/>
      <c r="G614" s="21"/>
      <c r="H614" s="21"/>
      <c r="I614" s="21"/>
      <c r="J614" s="22"/>
      <c r="K614" s="23"/>
      <c r="L614" s="47"/>
    </row>
    <row r="615" spans="6:12" x14ac:dyDescent="0.3">
      <c r="F615" s="20"/>
      <c r="G615" s="21"/>
      <c r="H615" s="21"/>
      <c r="I615" s="21"/>
      <c r="J615" s="22"/>
      <c r="K615" s="23"/>
      <c r="L615" s="47"/>
    </row>
    <row r="616" spans="6:12" x14ac:dyDescent="0.3">
      <c r="F616" s="20"/>
      <c r="G616" s="21"/>
      <c r="H616" s="21"/>
      <c r="I616" s="21"/>
      <c r="J616" s="22"/>
      <c r="K616" s="23"/>
      <c r="L616" s="47"/>
    </row>
    <row r="617" spans="6:12" x14ac:dyDescent="0.3">
      <c r="F617" s="20"/>
      <c r="G617" s="21"/>
      <c r="H617" s="21"/>
      <c r="I617" s="21"/>
      <c r="J617" s="22"/>
      <c r="K617" s="23"/>
      <c r="L617" s="47"/>
    </row>
    <row r="618" spans="6:12" x14ac:dyDescent="0.3">
      <c r="F618" s="20"/>
      <c r="G618" s="21"/>
      <c r="H618" s="21"/>
      <c r="I618" s="21"/>
      <c r="J618" s="22"/>
      <c r="K618" s="23"/>
      <c r="L618" s="47"/>
    </row>
    <row r="619" spans="6:12" x14ac:dyDescent="0.3">
      <c r="F619" s="20"/>
      <c r="G619" s="21"/>
      <c r="H619" s="21"/>
      <c r="I619" s="21"/>
      <c r="J619" s="22"/>
      <c r="K619" s="23"/>
      <c r="L619" s="47"/>
    </row>
    <row r="620" spans="6:12" x14ac:dyDescent="0.3">
      <c r="F620" s="20"/>
      <c r="G620" s="21"/>
      <c r="H620" s="21"/>
      <c r="I620" s="21"/>
      <c r="J620" s="22"/>
      <c r="K620" s="23"/>
      <c r="L620" s="47"/>
    </row>
    <row r="621" spans="6:12" x14ac:dyDescent="0.3">
      <c r="F621" s="20"/>
      <c r="G621" s="21"/>
      <c r="H621" s="21"/>
      <c r="I621" s="21"/>
      <c r="J621" s="22"/>
      <c r="K621" s="23"/>
      <c r="L621" s="47"/>
    </row>
    <row r="622" spans="6:12" x14ac:dyDescent="0.3">
      <c r="F622" s="20"/>
      <c r="G622" s="21"/>
      <c r="H622" s="21"/>
      <c r="I622" s="21"/>
      <c r="J622" s="22"/>
      <c r="K622" s="23"/>
      <c r="L622" s="47"/>
    </row>
    <row r="623" spans="6:12" x14ac:dyDescent="0.3">
      <c r="F623" s="20"/>
      <c r="G623" s="21"/>
      <c r="H623" s="21"/>
      <c r="I623" s="21"/>
      <c r="J623" s="22"/>
      <c r="K623" s="23"/>
      <c r="L623" s="47"/>
    </row>
    <row r="624" spans="6:12" x14ac:dyDescent="0.3">
      <c r="F624" s="20"/>
      <c r="G624" s="21"/>
      <c r="H624" s="21"/>
      <c r="I624" s="21"/>
      <c r="J624" s="22"/>
      <c r="K624" s="23"/>
      <c r="L624" s="47"/>
    </row>
    <row r="625" spans="6:12" x14ac:dyDescent="0.3">
      <c r="F625" s="20"/>
      <c r="G625" s="21"/>
      <c r="H625" s="21"/>
      <c r="I625" s="21"/>
      <c r="J625" s="22"/>
      <c r="K625" s="23"/>
      <c r="L625" s="47"/>
    </row>
    <row r="626" spans="6:12" x14ac:dyDescent="0.3">
      <c r="F626" s="20"/>
      <c r="G626" s="21"/>
      <c r="H626" s="21"/>
      <c r="I626" s="21"/>
      <c r="J626" s="22"/>
      <c r="K626" s="23"/>
      <c r="L626" s="47"/>
    </row>
    <row r="627" spans="6:12" x14ac:dyDescent="0.3">
      <c r="F627" s="20"/>
      <c r="G627" s="21"/>
      <c r="H627" s="21"/>
      <c r="I627" s="21"/>
      <c r="J627" s="22"/>
      <c r="K627" s="23"/>
      <c r="L627" s="47"/>
    </row>
    <row r="628" spans="6:12" x14ac:dyDescent="0.3">
      <c r="F628" s="20"/>
      <c r="G628" s="21"/>
      <c r="H628" s="21"/>
      <c r="I628" s="21"/>
      <c r="J628" s="22"/>
      <c r="K628" s="23"/>
      <c r="L628" s="47"/>
    </row>
    <row r="629" spans="6:12" x14ac:dyDescent="0.3">
      <c r="F629" s="20"/>
      <c r="G629" s="21"/>
      <c r="H629" s="21"/>
      <c r="I629" s="21"/>
      <c r="J629" s="22"/>
      <c r="K629" s="23"/>
      <c r="L629" s="47"/>
    </row>
    <row r="630" spans="6:12" x14ac:dyDescent="0.3">
      <c r="F630" s="20"/>
      <c r="G630" s="21"/>
      <c r="H630" s="21"/>
      <c r="I630" s="21"/>
      <c r="J630" s="22"/>
      <c r="K630" s="23"/>
      <c r="L630" s="47"/>
    </row>
    <row r="631" spans="6:12" x14ac:dyDescent="0.3">
      <c r="F631" s="20"/>
      <c r="G631" s="21"/>
      <c r="H631" s="21"/>
      <c r="I631" s="21"/>
      <c r="J631" s="22"/>
      <c r="K631" s="23"/>
      <c r="L631" s="47"/>
    </row>
    <row r="632" spans="6:12" x14ac:dyDescent="0.3">
      <c r="F632" s="20"/>
      <c r="G632" s="21"/>
      <c r="H632" s="21"/>
      <c r="I632" s="21"/>
      <c r="J632" s="22"/>
      <c r="K632" s="23"/>
      <c r="L632" s="47"/>
    </row>
    <row r="633" spans="6:12" x14ac:dyDescent="0.3">
      <c r="F633" s="20"/>
      <c r="G633" s="21"/>
      <c r="H633" s="21"/>
      <c r="I633" s="21"/>
      <c r="J633" s="22"/>
      <c r="K633" s="23"/>
      <c r="L633" s="47"/>
    </row>
    <row r="634" spans="6:12" x14ac:dyDescent="0.3">
      <c r="F634" s="20"/>
      <c r="G634" s="21"/>
      <c r="H634" s="21"/>
      <c r="I634" s="21"/>
      <c r="J634" s="22"/>
      <c r="K634" s="23"/>
      <c r="L634" s="47"/>
    </row>
    <row r="635" spans="6:12" x14ac:dyDescent="0.3">
      <c r="F635" s="20"/>
      <c r="G635" s="21"/>
      <c r="H635" s="21"/>
      <c r="I635" s="21"/>
      <c r="J635" s="22"/>
      <c r="K635" s="23"/>
      <c r="L635" s="47"/>
    </row>
    <row r="636" spans="6:12" x14ac:dyDescent="0.3">
      <c r="F636" s="20"/>
      <c r="G636" s="21"/>
      <c r="H636" s="21"/>
      <c r="I636" s="21"/>
      <c r="J636" s="22"/>
      <c r="K636" s="23"/>
      <c r="L636" s="47"/>
    </row>
    <row r="637" spans="6:12" x14ac:dyDescent="0.3">
      <c r="F637" s="20"/>
      <c r="G637" s="21"/>
      <c r="H637" s="21"/>
      <c r="I637" s="21"/>
      <c r="J637" s="22"/>
      <c r="K637" s="23"/>
      <c r="L637" s="47"/>
    </row>
    <row r="638" spans="6:12" x14ac:dyDescent="0.3">
      <c r="F638" s="20"/>
      <c r="G638" s="21"/>
      <c r="H638" s="21"/>
      <c r="I638" s="21"/>
      <c r="J638" s="22"/>
      <c r="K638" s="23"/>
      <c r="L638" s="47"/>
    </row>
    <row r="639" spans="6:12" x14ac:dyDescent="0.3">
      <c r="F639" s="20"/>
      <c r="G639" s="21"/>
      <c r="H639" s="21"/>
      <c r="I639" s="21"/>
      <c r="J639" s="22"/>
      <c r="K639" s="23"/>
      <c r="L639" s="47"/>
    </row>
    <row r="640" spans="6:12" x14ac:dyDescent="0.3">
      <c r="F640" s="20"/>
      <c r="G640" s="21"/>
      <c r="H640" s="21"/>
      <c r="I640" s="21"/>
      <c r="J640" s="22"/>
      <c r="K640" s="23"/>
      <c r="L640" s="47"/>
    </row>
    <row r="641" spans="6:12" x14ac:dyDescent="0.3">
      <c r="F641" s="20"/>
      <c r="G641" s="21"/>
      <c r="H641" s="21"/>
      <c r="I641" s="21"/>
      <c r="J641" s="22"/>
      <c r="K641" s="23"/>
      <c r="L641" s="47"/>
    </row>
    <row r="642" spans="6:12" x14ac:dyDescent="0.3">
      <c r="F642" s="20"/>
      <c r="G642" s="21"/>
      <c r="H642" s="21"/>
      <c r="I642" s="21"/>
      <c r="J642" s="22"/>
      <c r="K642" s="23"/>
      <c r="L642" s="47"/>
    </row>
    <row r="643" spans="6:12" x14ac:dyDescent="0.3">
      <c r="F643" s="20"/>
      <c r="G643" s="21"/>
      <c r="H643" s="21"/>
      <c r="I643" s="21"/>
      <c r="J643" s="22"/>
      <c r="K643" s="23"/>
      <c r="L643" s="47"/>
    </row>
    <row r="644" spans="6:12" x14ac:dyDescent="0.3">
      <c r="F644" s="20"/>
      <c r="G644" s="21"/>
      <c r="H644" s="21"/>
      <c r="I644" s="21"/>
      <c r="J644" s="22"/>
      <c r="K644" s="23"/>
      <c r="L644" s="47"/>
    </row>
    <row r="645" spans="6:12" x14ac:dyDescent="0.3">
      <c r="F645" s="20"/>
      <c r="G645" s="21"/>
      <c r="H645" s="21"/>
      <c r="I645" s="21"/>
      <c r="J645" s="22"/>
      <c r="K645" s="23"/>
      <c r="L645" s="47"/>
    </row>
    <row r="646" spans="6:12" x14ac:dyDescent="0.3">
      <c r="F646" s="20"/>
      <c r="G646" s="21"/>
      <c r="H646" s="21"/>
      <c r="I646" s="21"/>
      <c r="J646" s="22"/>
      <c r="K646" s="23"/>
      <c r="L646" s="47"/>
    </row>
    <row r="647" spans="6:12" x14ac:dyDescent="0.3">
      <c r="F647" s="20"/>
      <c r="G647" s="21"/>
      <c r="H647" s="21"/>
      <c r="I647" s="21"/>
      <c r="J647" s="22"/>
      <c r="K647" s="23"/>
      <c r="L647" s="47"/>
    </row>
    <row r="648" spans="6:12" x14ac:dyDescent="0.3">
      <c r="F648" s="20"/>
      <c r="G648" s="21"/>
      <c r="H648" s="21"/>
      <c r="I648" s="21"/>
      <c r="J648" s="22"/>
      <c r="K648" s="23"/>
      <c r="L648" s="47"/>
    </row>
    <row r="649" spans="6:12" x14ac:dyDescent="0.3">
      <c r="F649" s="20"/>
      <c r="G649" s="21"/>
      <c r="H649" s="21"/>
      <c r="I649" s="21"/>
      <c r="J649" s="22"/>
      <c r="K649" s="23"/>
      <c r="L649" s="47"/>
    </row>
    <row r="650" spans="6:12" x14ac:dyDescent="0.3">
      <c r="F650" s="20"/>
      <c r="G650" s="21"/>
      <c r="H650" s="21"/>
      <c r="I650" s="21"/>
      <c r="J650" s="22"/>
      <c r="K650" s="23"/>
      <c r="L650" s="47"/>
    </row>
    <row r="651" spans="6:12" x14ac:dyDescent="0.3">
      <c r="F651" s="20"/>
      <c r="G651" s="21"/>
      <c r="H651" s="21"/>
      <c r="I651" s="21"/>
      <c r="J651" s="22"/>
      <c r="K651" s="23"/>
      <c r="L651" s="47"/>
    </row>
    <row r="652" spans="6:12" x14ac:dyDescent="0.3">
      <c r="F652" s="20"/>
      <c r="G652" s="21"/>
      <c r="H652" s="21"/>
      <c r="I652" s="21"/>
      <c r="J652" s="22"/>
      <c r="K652" s="23"/>
      <c r="L652" s="47"/>
    </row>
    <row r="653" spans="6:12" x14ac:dyDescent="0.3">
      <c r="F653" s="20"/>
      <c r="G653" s="21"/>
      <c r="H653" s="21"/>
      <c r="I653" s="21"/>
      <c r="J653" s="22"/>
      <c r="K653" s="23"/>
      <c r="L653" s="47"/>
    </row>
    <row r="654" spans="6:12" x14ac:dyDescent="0.3">
      <c r="F654" s="20"/>
      <c r="G654" s="21"/>
      <c r="H654" s="21"/>
      <c r="I654" s="21"/>
      <c r="J654" s="22"/>
      <c r="K654" s="23"/>
      <c r="L654" s="47"/>
    </row>
    <row r="655" spans="6:12" x14ac:dyDescent="0.3">
      <c r="F655" s="20"/>
      <c r="G655" s="21"/>
      <c r="H655" s="21"/>
      <c r="I655" s="21"/>
      <c r="J655" s="22"/>
      <c r="K655" s="23"/>
      <c r="L655" s="47"/>
    </row>
    <row r="656" spans="6:12" x14ac:dyDescent="0.3">
      <c r="F656" s="20"/>
      <c r="G656" s="21"/>
      <c r="H656" s="21"/>
      <c r="I656" s="21"/>
      <c r="J656" s="22"/>
      <c r="K656" s="23"/>
      <c r="L656" s="47"/>
    </row>
    <row r="657" spans="6:12" x14ac:dyDescent="0.3">
      <c r="F657" s="20"/>
      <c r="G657" s="21"/>
      <c r="H657" s="21"/>
      <c r="I657" s="21"/>
      <c r="J657" s="22"/>
      <c r="K657" s="23"/>
      <c r="L657" s="47"/>
    </row>
    <row r="658" spans="6:12" x14ac:dyDescent="0.3">
      <c r="F658" s="20"/>
      <c r="G658" s="21"/>
      <c r="H658" s="21"/>
      <c r="I658" s="21"/>
      <c r="J658" s="22"/>
      <c r="K658" s="23"/>
      <c r="L658" s="47"/>
    </row>
    <row r="659" spans="6:12" x14ac:dyDescent="0.3">
      <c r="F659" s="20"/>
      <c r="G659" s="21"/>
      <c r="H659" s="21"/>
      <c r="I659" s="21"/>
      <c r="J659" s="22"/>
      <c r="K659" s="23"/>
      <c r="L659" s="47"/>
    </row>
    <row r="660" spans="6:12" x14ac:dyDescent="0.3">
      <c r="F660" s="20"/>
      <c r="G660" s="21"/>
      <c r="H660" s="21"/>
      <c r="I660" s="21"/>
      <c r="J660" s="22"/>
      <c r="K660" s="23"/>
      <c r="L660" s="47"/>
    </row>
    <row r="661" spans="6:12" x14ac:dyDescent="0.3">
      <c r="F661" s="20"/>
      <c r="G661" s="21"/>
      <c r="H661" s="21"/>
      <c r="I661" s="21"/>
      <c r="J661" s="22"/>
      <c r="K661" s="23"/>
      <c r="L661" s="47"/>
    </row>
    <row r="662" spans="6:12" x14ac:dyDescent="0.3">
      <c r="F662" s="20"/>
      <c r="G662" s="21"/>
      <c r="H662" s="21"/>
      <c r="I662" s="21"/>
      <c r="J662" s="22"/>
      <c r="K662" s="23"/>
      <c r="L662" s="47"/>
    </row>
    <row r="663" spans="6:12" x14ac:dyDescent="0.3">
      <c r="F663" s="20"/>
      <c r="G663" s="21"/>
      <c r="H663" s="21"/>
      <c r="I663" s="21"/>
      <c r="J663" s="22"/>
      <c r="K663" s="23"/>
      <c r="L663" s="47"/>
    </row>
    <row r="664" spans="6:12" x14ac:dyDescent="0.3">
      <c r="F664" s="20"/>
      <c r="G664" s="21"/>
      <c r="H664" s="21"/>
      <c r="I664" s="21"/>
      <c r="J664" s="22"/>
      <c r="K664" s="23"/>
      <c r="L664" s="47"/>
    </row>
    <row r="665" spans="6:12" x14ac:dyDescent="0.3">
      <c r="F665" s="20"/>
      <c r="G665" s="21"/>
      <c r="H665" s="21"/>
      <c r="I665" s="21"/>
      <c r="J665" s="22"/>
      <c r="K665" s="23"/>
      <c r="L665" s="47"/>
    </row>
    <row r="666" spans="6:12" x14ac:dyDescent="0.3">
      <c r="F666" s="20"/>
      <c r="G666" s="21"/>
      <c r="H666" s="21"/>
      <c r="I666" s="21"/>
      <c r="J666" s="22"/>
      <c r="K666" s="23"/>
      <c r="L666" s="47"/>
    </row>
    <row r="667" spans="6:12" x14ac:dyDescent="0.3">
      <c r="F667" s="20"/>
      <c r="G667" s="21"/>
      <c r="H667" s="21"/>
      <c r="I667" s="21"/>
      <c r="J667" s="22"/>
      <c r="K667" s="23"/>
      <c r="L667" s="47"/>
    </row>
    <row r="668" spans="6:12" x14ac:dyDescent="0.3">
      <c r="F668" s="20"/>
      <c r="G668" s="21"/>
      <c r="H668" s="21"/>
      <c r="I668" s="21"/>
      <c r="J668" s="22"/>
      <c r="K668" s="23"/>
      <c r="L668" s="47"/>
    </row>
    <row r="669" spans="6:12" x14ac:dyDescent="0.3">
      <c r="F669" s="20"/>
      <c r="G669" s="21"/>
      <c r="H669" s="21"/>
      <c r="I669" s="21"/>
      <c r="J669" s="22"/>
      <c r="K669" s="23"/>
      <c r="L669" s="47"/>
    </row>
    <row r="670" spans="6:12" x14ac:dyDescent="0.3">
      <c r="F670" s="20"/>
      <c r="G670" s="21"/>
      <c r="H670" s="21"/>
      <c r="I670" s="21"/>
      <c r="J670" s="22"/>
      <c r="K670" s="23"/>
      <c r="L670" s="47"/>
    </row>
    <row r="671" spans="6:12" x14ac:dyDescent="0.3">
      <c r="F671" s="20"/>
      <c r="G671" s="21"/>
      <c r="H671" s="21"/>
      <c r="I671" s="21"/>
      <c r="J671" s="22"/>
      <c r="K671" s="23"/>
      <c r="L671" s="47"/>
    </row>
    <row r="672" spans="6:12" x14ac:dyDescent="0.3">
      <c r="F672" s="20"/>
      <c r="G672" s="21"/>
      <c r="H672" s="21"/>
      <c r="I672" s="21"/>
      <c r="J672" s="22"/>
      <c r="K672" s="23"/>
      <c r="L672" s="47"/>
    </row>
    <row r="673" spans="6:12" x14ac:dyDescent="0.3">
      <c r="F673" s="20"/>
      <c r="G673" s="21"/>
      <c r="H673" s="21"/>
      <c r="I673" s="21"/>
      <c r="J673" s="22"/>
      <c r="K673" s="23"/>
      <c r="L673" s="47"/>
    </row>
    <row r="674" spans="6:12" x14ac:dyDescent="0.3">
      <c r="F674" s="20"/>
      <c r="G674" s="21"/>
      <c r="H674" s="21"/>
      <c r="I674" s="21"/>
      <c r="J674" s="22"/>
      <c r="K674" s="23"/>
      <c r="L674" s="47"/>
    </row>
    <row r="675" spans="6:12" x14ac:dyDescent="0.3">
      <c r="F675" s="20"/>
      <c r="G675" s="21"/>
      <c r="H675" s="21"/>
      <c r="I675" s="21"/>
      <c r="J675" s="22"/>
      <c r="K675" s="23"/>
      <c r="L675" s="47"/>
    </row>
    <row r="676" spans="6:12" x14ac:dyDescent="0.3">
      <c r="F676" s="20"/>
      <c r="G676" s="21"/>
      <c r="H676" s="21"/>
      <c r="I676" s="21"/>
      <c r="J676" s="22"/>
      <c r="K676" s="23"/>
      <c r="L676" s="47"/>
    </row>
    <row r="677" spans="6:12" x14ac:dyDescent="0.3">
      <c r="F677" s="20"/>
      <c r="G677" s="21"/>
      <c r="H677" s="21"/>
      <c r="I677" s="21"/>
      <c r="J677" s="22"/>
      <c r="K677" s="23"/>
      <c r="L677" s="47"/>
    </row>
    <row r="678" spans="6:12" x14ac:dyDescent="0.3">
      <c r="F678" s="20"/>
      <c r="G678" s="21"/>
      <c r="H678" s="21"/>
      <c r="I678" s="21"/>
      <c r="J678" s="22"/>
      <c r="K678" s="23"/>
      <c r="L678" s="47"/>
    </row>
    <row r="679" spans="6:12" x14ac:dyDescent="0.3">
      <c r="F679" s="20"/>
      <c r="G679" s="21"/>
      <c r="H679" s="21"/>
      <c r="I679" s="21"/>
      <c r="J679" s="22"/>
      <c r="K679" s="23"/>
      <c r="L679" s="47"/>
    </row>
    <row r="680" spans="6:12" x14ac:dyDescent="0.3">
      <c r="F680" s="20"/>
      <c r="G680" s="21"/>
      <c r="H680" s="21"/>
      <c r="I680" s="21"/>
      <c r="J680" s="22"/>
      <c r="K680" s="23"/>
      <c r="L680" s="47"/>
    </row>
    <row r="681" spans="6:12" x14ac:dyDescent="0.3">
      <c r="F681" s="20"/>
      <c r="G681" s="21"/>
      <c r="H681" s="21"/>
      <c r="I681" s="21"/>
      <c r="J681" s="22"/>
      <c r="K681" s="23"/>
      <c r="L681" s="47"/>
    </row>
    <row r="682" spans="6:12" x14ac:dyDescent="0.3">
      <c r="F682" s="20"/>
      <c r="G682" s="21"/>
      <c r="H682" s="21"/>
      <c r="I682" s="21"/>
      <c r="J682" s="22"/>
      <c r="K682" s="23"/>
      <c r="L682" s="47"/>
    </row>
    <row r="683" spans="6:12" x14ac:dyDescent="0.3">
      <c r="F683" s="20"/>
      <c r="G683" s="21"/>
      <c r="H683" s="21"/>
      <c r="I683" s="21"/>
      <c r="J683" s="22"/>
      <c r="K683" s="23"/>
      <c r="L683" s="47"/>
    </row>
    <row r="684" spans="6:12" x14ac:dyDescent="0.3">
      <c r="F684" s="20"/>
      <c r="G684" s="21"/>
      <c r="H684" s="21"/>
      <c r="I684" s="21"/>
      <c r="J684" s="22"/>
      <c r="K684" s="23"/>
      <c r="L684" s="47"/>
    </row>
    <row r="685" spans="6:12" x14ac:dyDescent="0.3">
      <c r="F685" s="20"/>
      <c r="G685" s="21"/>
      <c r="H685" s="21"/>
      <c r="I685" s="21"/>
      <c r="J685" s="22"/>
      <c r="K685" s="23"/>
      <c r="L685" s="47"/>
    </row>
    <row r="686" spans="6:12" x14ac:dyDescent="0.3">
      <c r="F686" s="20"/>
      <c r="G686" s="21"/>
      <c r="H686" s="21"/>
      <c r="I686" s="21"/>
      <c r="J686" s="22"/>
      <c r="K686" s="23"/>
      <c r="L686" s="47"/>
    </row>
    <row r="687" spans="6:12" x14ac:dyDescent="0.3">
      <c r="F687" s="20"/>
      <c r="G687" s="21"/>
      <c r="H687" s="21"/>
      <c r="I687" s="21"/>
      <c r="J687" s="22"/>
      <c r="K687" s="23"/>
      <c r="L687" s="47"/>
    </row>
    <row r="688" spans="6:12" x14ac:dyDescent="0.3">
      <c r="F688" s="20"/>
      <c r="G688" s="21"/>
      <c r="H688" s="21"/>
      <c r="I688" s="21"/>
      <c r="J688" s="22"/>
      <c r="K688" s="23"/>
      <c r="L688" s="47"/>
    </row>
    <row r="689" spans="6:12" x14ac:dyDescent="0.3">
      <c r="F689" s="20"/>
      <c r="G689" s="21"/>
      <c r="H689" s="21"/>
      <c r="I689" s="21"/>
      <c r="J689" s="22"/>
      <c r="K689" s="23"/>
      <c r="L689" s="47"/>
    </row>
    <row r="690" spans="6:12" x14ac:dyDescent="0.3">
      <c r="F690" s="20"/>
      <c r="G690" s="21"/>
      <c r="H690" s="21"/>
      <c r="I690" s="21"/>
      <c r="J690" s="22"/>
      <c r="K690" s="23"/>
      <c r="L690" s="47"/>
    </row>
    <row r="691" spans="6:12" x14ac:dyDescent="0.3">
      <c r="F691" s="20"/>
      <c r="G691" s="21"/>
      <c r="H691" s="21"/>
      <c r="I691" s="21"/>
      <c r="J691" s="22"/>
      <c r="K691" s="23"/>
      <c r="L691" s="47"/>
    </row>
    <row r="692" spans="6:12" x14ac:dyDescent="0.3">
      <c r="F692" s="20"/>
      <c r="G692" s="21"/>
      <c r="H692" s="21"/>
      <c r="I692" s="21"/>
      <c r="J692" s="22"/>
      <c r="K692" s="23"/>
      <c r="L692" s="47"/>
    </row>
    <row r="693" spans="6:12" x14ac:dyDescent="0.3">
      <c r="F693" s="20"/>
      <c r="G693" s="21"/>
      <c r="H693" s="21"/>
      <c r="I693" s="21"/>
      <c r="J693" s="22"/>
      <c r="K693" s="23"/>
      <c r="L693" s="47"/>
    </row>
    <row r="694" spans="6:12" x14ac:dyDescent="0.3">
      <c r="F694" s="20"/>
      <c r="G694" s="21"/>
      <c r="H694" s="21"/>
      <c r="I694" s="21"/>
      <c r="J694" s="22"/>
      <c r="K694" s="23"/>
      <c r="L694" s="47"/>
    </row>
    <row r="695" spans="6:12" x14ac:dyDescent="0.3">
      <c r="F695" s="20"/>
      <c r="G695" s="21"/>
      <c r="H695" s="21"/>
      <c r="I695" s="21"/>
      <c r="J695" s="22"/>
      <c r="K695" s="23"/>
      <c r="L695" s="47"/>
    </row>
    <row r="696" spans="6:12" x14ac:dyDescent="0.3">
      <c r="F696" s="20"/>
      <c r="G696" s="21"/>
      <c r="H696" s="21"/>
      <c r="I696" s="21"/>
      <c r="J696" s="22"/>
      <c r="K696" s="23"/>
      <c r="L696" s="47"/>
    </row>
    <row r="697" spans="6:12" x14ac:dyDescent="0.3">
      <c r="F697" s="20"/>
      <c r="G697" s="21"/>
      <c r="H697" s="21"/>
      <c r="I697" s="21"/>
      <c r="J697" s="22"/>
      <c r="K697" s="23"/>
      <c r="L697" s="47"/>
    </row>
    <row r="698" spans="6:12" x14ac:dyDescent="0.3">
      <c r="F698" s="20"/>
      <c r="G698" s="21"/>
      <c r="H698" s="21"/>
      <c r="I698" s="21"/>
      <c r="J698" s="22"/>
      <c r="K698" s="23"/>
      <c r="L698" s="47"/>
    </row>
    <row r="699" spans="6:12" x14ac:dyDescent="0.3">
      <c r="F699" s="20"/>
      <c r="G699" s="21"/>
      <c r="H699" s="21"/>
      <c r="I699" s="21"/>
      <c r="J699" s="22"/>
      <c r="K699" s="23"/>
      <c r="L699" s="47"/>
    </row>
    <row r="700" spans="6:12" x14ac:dyDescent="0.3">
      <c r="F700" s="20"/>
      <c r="G700" s="21"/>
      <c r="H700" s="21"/>
      <c r="I700" s="21"/>
      <c r="J700" s="22"/>
      <c r="K700" s="23"/>
      <c r="L700" s="47"/>
    </row>
    <row r="701" spans="6:12" x14ac:dyDescent="0.3">
      <c r="F701" s="20"/>
      <c r="G701" s="21"/>
      <c r="H701" s="21"/>
      <c r="I701" s="21"/>
      <c r="J701" s="22"/>
      <c r="K701" s="23"/>
      <c r="L701" s="47"/>
    </row>
    <row r="702" spans="6:12" x14ac:dyDescent="0.3">
      <c r="F702" s="20"/>
      <c r="G702" s="21"/>
      <c r="H702" s="21"/>
      <c r="I702" s="21"/>
      <c r="J702" s="22"/>
      <c r="K702" s="23"/>
      <c r="L702" s="47"/>
    </row>
    <row r="703" spans="6:12" x14ac:dyDescent="0.3">
      <c r="F703" s="20"/>
      <c r="G703" s="21"/>
      <c r="H703" s="21"/>
      <c r="I703" s="21"/>
      <c r="J703" s="22"/>
      <c r="K703" s="23"/>
      <c r="L703" s="47"/>
    </row>
    <row r="704" spans="6:12" x14ac:dyDescent="0.3">
      <c r="F704" s="20"/>
      <c r="G704" s="21"/>
      <c r="H704" s="21"/>
      <c r="I704" s="21"/>
      <c r="J704" s="22"/>
      <c r="K704" s="23"/>
      <c r="L704" s="47"/>
    </row>
    <row r="705" spans="6:12" x14ac:dyDescent="0.3">
      <c r="F705" s="20"/>
      <c r="G705" s="21"/>
      <c r="H705" s="21"/>
      <c r="I705" s="21"/>
      <c r="J705" s="22"/>
      <c r="K705" s="23"/>
      <c r="L705" s="47"/>
    </row>
    <row r="706" spans="6:12" x14ac:dyDescent="0.3">
      <c r="F706" s="20"/>
      <c r="G706" s="21"/>
      <c r="H706" s="21"/>
      <c r="I706" s="21"/>
      <c r="J706" s="22"/>
      <c r="K706" s="23"/>
      <c r="L706" s="47"/>
    </row>
    <row r="707" spans="6:12" x14ac:dyDescent="0.3">
      <c r="F707" s="20"/>
      <c r="G707" s="21"/>
      <c r="H707" s="21"/>
      <c r="I707" s="21"/>
      <c r="J707" s="22"/>
      <c r="K707" s="23"/>
      <c r="L707" s="47"/>
    </row>
    <row r="708" spans="6:12" x14ac:dyDescent="0.3">
      <c r="F708" s="20"/>
      <c r="G708" s="21"/>
      <c r="H708" s="21"/>
      <c r="I708" s="21"/>
      <c r="J708" s="22"/>
      <c r="K708" s="23"/>
      <c r="L708" s="47"/>
    </row>
    <row r="709" spans="6:12" x14ac:dyDescent="0.3">
      <c r="F709" s="20"/>
      <c r="G709" s="21"/>
      <c r="H709" s="21"/>
      <c r="I709" s="21"/>
      <c r="J709" s="22"/>
      <c r="K709" s="23"/>
      <c r="L709" s="47"/>
    </row>
    <row r="710" spans="6:12" x14ac:dyDescent="0.3">
      <c r="F710" s="20"/>
      <c r="G710" s="21"/>
      <c r="H710" s="21"/>
      <c r="I710" s="21"/>
      <c r="J710" s="22"/>
      <c r="K710" s="23"/>
      <c r="L710" s="47"/>
    </row>
    <row r="711" spans="6:12" x14ac:dyDescent="0.3">
      <c r="F711" s="20"/>
      <c r="G711" s="21"/>
      <c r="H711" s="21"/>
      <c r="I711" s="21"/>
      <c r="J711" s="22"/>
      <c r="K711" s="23"/>
      <c r="L711" s="47"/>
    </row>
    <row r="712" spans="6:12" x14ac:dyDescent="0.3">
      <c r="F712" s="20"/>
      <c r="G712" s="21"/>
      <c r="H712" s="21"/>
      <c r="I712" s="21"/>
      <c r="J712" s="22"/>
      <c r="K712" s="23"/>
      <c r="L712" s="47"/>
    </row>
    <row r="713" spans="6:12" x14ac:dyDescent="0.3">
      <c r="F713" s="20"/>
      <c r="G713" s="21"/>
      <c r="H713" s="21"/>
      <c r="I713" s="21"/>
      <c r="J713" s="22"/>
      <c r="K713" s="23"/>
      <c r="L713" s="47"/>
    </row>
    <row r="714" spans="6:12" x14ac:dyDescent="0.3">
      <c r="F714" s="20"/>
      <c r="G714" s="21"/>
      <c r="H714" s="21"/>
      <c r="I714" s="21"/>
      <c r="J714" s="22"/>
      <c r="K714" s="23"/>
      <c r="L714" s="47"/>
    </row>
    <row r="715" spans="6:12" x14ac:dyDescent="0.3">
      <c r="F715" s="20"/>
      <c r="G715" s="21"/>
      <c r="H715" s="21"/>
      <c r="I715" s="21"/>
      <c r="J715" s="22"/>
      <c r="K715" s="23"/>
      <c r="L715" s="47"/>
    </row>
    <row r="716" spans="6:12" x14ac:dyDescent="0.3">
      <c r="F716" s="20"/>
      <c r="G716" s="21"/>
      <c r="H716" s="21"/>
      <c r="I716" s="21"/>
      <c r="J716" s="22"/>
      <c r="K716" s="23"/>
      <c r="L716" s="47"/>
    </row>
    <row r="717" spans="6:12" x14ac:dyDescent="0.3">
      <c r="F717" s="20"/>
      <c r="G717" s="21"/>
      <c r="H717" s="21"/>
      <c r="I717" s="21"/>
      <c r="J717" s="22"/>
      <c r="K717" s="23"/>
      <c r="L717" s="47"/>
    </row>
    <row r="718" spans="6:12" x14ac:dyDescent="0.3">
      <c r="F718" s="20"/>
      <c r="G718" s="21"/>
      <c r="H718" s="21"/>
      <c r="I718" s="21"/>
      <c r="J718" s="22"/>
      <c r="K718" s="23"/>
      <c r="L718" s="47"/>
    </row>
    <row r="719" spans="6:12" x14ac:dyDescent="0.3">
      <c r="F719" s="20"/>
      <c r="G719" s="21"/>
      <c r="H719" s="21"/>
      <c r="I719" s="21"/>
      <c r="J719" s="22"/>
      <c r="K719" s="23"/>
      <c r="L719" s="47"/>
    </row>
    <row r="720" spans="6:12" x14ac:dyDescent="0.3">
      <c r="F720" s="20"/>
      <c r="G720" s="21"/>
      <c r="H720" s="21"/>
      <c r="I720" s="21"/>
      <c r="J720" s="22"/>
      <c r="K720" s="23"/>
      <c r="L720" s="47"/>
    </row>
    <row r="721" spans="6:12" x14ac:dyDescent="0.3">
      <c r="F721" s="20"/>
      <c r="G721" s="21"/>
      <c r="H721" s="21"/>
      <c r="I721" s="21"/>
      <c r="J721" s="22"/>
      <c r="K721" s="23"/>
      <c r="L721" s="47"/>
    </row>
    <row r="722" spans="6:12" x14ac:dyDescent="0.3">
      <c r="F722" s="20"/>
      <c r="G722" s="21"/>
      <c r="H722" s="21"/>
      <c r="I722" s="21"/>
      <c r="J722" s="22"/>
      <c r="K722" s="23"/>
      <c r="L722" s="47"/>
    </row>
    <row r="723" spans="6:12" x14ac:dyDescent="0.3">
      <c r="F723" s="20"/>
      <c r="G723" s="21"/>
      <c r="H723" s="21"/>
      <c r="I723" s="21"/>
      <c r="J723" s="22"/>
      <c r="K723" s="23"/>
      <c r="L723" s="47"/>
    </row>
    <row r="724" spans="6:12" x14ac:dyDescent="0.3">
      <c r="F724" s="20"/>
      <c r="G724" s="21"/>
      <c r="H724" s="21"/>
      <c r="I724" s="21"/>
      <c r="J724" s="22"/>
      <c r="K724" s="23"/>
      <c r="L724" s="47"/>
    </row>
    <row r="725" spans="6:12" x14ac:dyDescent="0.3">
      <c r="F725" s="20"/>
      <c r="G725" s="21"/>
      <c r="H725" s="21"/>
      <c r="I725" s="21"/>
      <c r="J725" s="22"/>
      <c r="K725" s="23"/>
      <c r="L725" s="47"/>
    </row>
    <row r="726" spans="6:12" x14ac:dyDescent="0.3">
      <c r="F726" s="20"/>
      <c r="G726" s="21"/>
      <c r="H726" s="21"/>
      <c r="I726" s="21"/>
      <c r="J726" s="22"/>
      <c r="K726" s="23"/>
      <c r="L726" s="47"/>
    </row>
    <row r="727" spans="6:12" x14ac:dyDescent="0.3">
      <c r="F727" s="20"/>
      <c r="G727" s="21"/>
      <c r="H727" s="21"/>
      <c r="I727" s="21"/>
      <c r="J727" s="22"/>
      <c r="K727" s="23"/>
      <c r="L727" s="47"/>
    </row>
    <row r="728" spans="6:12" x14ac:dyDescent="0.3">
      <c r="F728" s="20"/>
      <c r="G728" s="21"/>
      <c r="H728" s="21"/>
      <c r="I728" s="21"/>
      <c r="J728" s="22"/>
      <c r="K728" s="23"/>
      <c r="L728" s="47"/>
    </row>
    <row r="729" spans="6:12" x14ac:dyDescent="0.3">
      <c r="F729" s="20"/>
      <c r="G729" s="21"/>
      <c r="H729" s="21"/>
      <c r="I729" s="21"/>
      <c r="J729" s="22"/>
      <c r="K729" s="23"/>
      <c r="L729" s="47"/>
    </row>
    <row r="730" spans="6:12" x14ac:dyDescent="0.3">
      <c r="F730" s="20"/>
      <c r="G730" s="21"/>
      <c r="H730" s="21"/>
      <c r="I730" s="21"/>
      <c r="J730" s="22"/>
      <c r="K730" s="23"/>
      <c r="L730" s="47"/>
    </row>
    <row r="731" spans="6:12" x14ac:dyDescent="0.3">
      <c r="F731" s="20"/>
      <c r="G731" s="21"/>
      <c r="H731" s="21"/>
      <c r="I731" s="21"/>
      <c r="J731" s="22"/>
      <c r="K731" s="23"/>
      <c r="L731" s="47"/>
    </row>
    <row r="732" spans="6:12" x14ac:dyDescent="0.3">
      <c r="F732" s="20"/>
      <c r="G732" s="21"/>
      <c r="H732" s="21"/>
      <c r="I732" s="21"/>
      <c r="J732" s="22"/>
      <c r="K732" s="23"/>
      <c r="L732" s="47"/>
    </row>
    <row r="733" spans="6:12" x14ac:dyDescent="0.3">
      <c r="F733" s="20"/>
      <c r="G733" s="21"/>
      <c r="H733" s="21"/>
      <c r="I733" s="21"/>
      <c r="J733" s="22"/>
      <c r="K733" s="23"/>
      <c r="L733" s="47"/>
    </row>
    <row r="734" spans="6:12" x14ac:dyDescent="0.3">
      <c r="F734" s="20"/>
      <c r="G734" s="21"/>
      <c r="H734" s="21"/>
      <c r="I734" s="21"/>
      <c r="J734" s="22"/>
      <c r="K734" s="23"/>
      <c r="L734" s="47"/>
    </row>
    <row r="735" spans="6:12" x14ac:dyDescent="0.3">
      <c r="F735" s="20"/>
      <c r="G735" s="21"/>
      <c r="H735" s="21"/>
      <c r="I735" s="21"/>
      <c r="J735" s="22"/>
      <c r="K735" s="23"/>
      <c r="L735" s="47"/>
    </row>
    <row r="736" spans="6:12" x14ac:dyDescent="0.3">
      <c r="F736" s="20"/>
      <c r="G736" s="21"/>
      <c r="H736" s="21"/>
      <c r="I736" s="21"/>
      <c r="J736" s="22"/>
      <c r="K736" s="23"/>
      <c r="L736" s="47"/>
    </row>
    <row r="737" spans="6:12" x14ac:dyDescent="0.3">
      <c r="F737" s="20"/>
      <c r="G737" s="21"/>
      <c r="H737" s="21"/>
      <c r="I737" s="21"/>
      <c r="J737" s="22"/>
      <c r="K737" s="23"/>
      <c r="L737" s="47"/>
    </row>
    <row r="738" spans="6:12" x14ac:dyDescent="0.3">
      <c r="F738" s="20"/>
      <c r="G738" s="21"/>
      <c r="H738" s="21"/>
      <c r="I738" s="21"/>
      <c r="J738" s="22"/>
      <c r="K738" s="23"/>
      <c r="L738" s="47"/>
    </row>
    <row r="739" spans="6:12" x14ac:dyDescent="0.3">
      <c r="F739" s="20"/>
      <c r="G739" s="21"/>
      <c r="H739" s="21"/>
      <c r="I739" s="21"/>
      <c r="J739" s="22"/>
      <c r="K739" s="23"/>
      <c r="L739" s="47"/>
    </row>
    <row r="740" spans="6:12" x14ac:dyDescent="0.3">
      <c r="F740" s="20"/>
      <c r="G740" s="21"/>
      <c r="H740" s="21"/>
      <c r="I740" s="21"/>
      <c r="J740" s="22"/>
      <c r="K740" s="23"/>
      <c r="L740" s="47"/>
    </row>
    <row r="741" spans="6:12" x14ac:dyDescent="0.3">
      <c r="F741" s="20"/>
      <c r="G741" s="21"/>
      <c r="H741" s="21"/>
      <c r="I741" s="21"/>
      <c r="J741" s="22"/>
      <c r="K741" s="23"/>
      <c r="L741" s="47"/>
    </row>
    <row r="742" spans="6:12" x14ac:dyDescent="0.3">
      <c r="F742" s="20"/>
      <c r="G742" s="21"/>
      <c r="H742" s="21"/>
      <c r="I742" s="21"/>
      <c r="J742" s="22"/>
      <c r="K742" s="23"/>
      <c r="L742" s="47"/>
    </row>
    <row r="743" spans="6:12" x14ac:dyDescent="0.3">
      <c r="F743" s="20"/>
      <c r="G743" s="21"/>
      <c r="H743" s="21"/>
      <c r="I743" s="21"/>
      <c r="J743" s="22"/>
      <c r="K743" s="23"/>
      <c r="L743" s="47"/>
    </row>
    <row r="744" spans="6:12" x14ac:dyDescent="0.3">
      <c r="F744" s="20"/>
      <c r="G744" s="21"/>
      <c r="H744" s="21"/>
      <c r="I744" s="21"/>
      <c r="J744" s="22"/>
      <c r="K744" s="23"/>
      <c r="L744" s="47"/>
    </row>
    <row r="745" spans="6:12" x14ac:dyDescent="0.3">
      <c r="F745" s="20"/>
      <c r="G745" s="21"/>
      <c r="H745" s="21"/>
      <c r="I745" s="21"/>
      <c r="J745" s="22"/>
      <c r="K745" s="23"/>
      <c r="L745" s="47"/>
    </row>
    <row r="746" spans="6:12" x14ac:dyDescent="0.3">
      <c r="F746" s="20"/>
      <c r="G746" s="21"/>
      <c r="H746" s="21"/>
      <c r="I746" s="21"/>
      <c r="J746" s="22"/>
      <c r="K746" s="23"/>
      <c r="L746" s="47"/>
    </row>
    <row r="747" spans="6:12" x14ac:dyDescent="0.3">
      <c r="F747" s="20"/>
      <c r="G747" s="21"/>
      <c r="H747" s="21"/>
      <c r="I747" s="21"/>
      <c r="J747" s="22"/>
      <c r="K747" s="23"/>
      <c r="L747" s="47"/>
    </row>
    <row r="748" spans="6:12" x14ac:dyDescent="0.3">
      <c r="F748" s="20"/>
      <c r="G748" s="21"/>
      <c r="H748" s="21"/>
      <c r="I748" s="21"/>
      <c r="J748" s="22"/>
      <c r="K748" s="23"/>
      <c r="L748" s="47"/>
    </row>
    <row r="749" spans="6:12" x14ac:dyDescent="0.3">
      <c r="F749" s="20"/>
      <c r="G749" s="21"/>
      <c r="H749" s="21"/>
      <c r="I749" s="21"/>
      <c r="J749" s="22"/>
      <c r="K749" s="23"/>
      <c r="L749" s="47"/>
    </row>
    <row r="750" spans="6:12" x14ac:dyDescent="0.3">
      <c r="F750" s="20"/>
      <c r="G750" s="21"/>
      <c r="H750" s="21"/>
      <c r="I750" s="21"/>
      <c r="J750" s="22"/>
      <c r="K750" s="23"/>
      <c r="L750" s="47"/>
    </row>
    <row r="751" spans="6:12" x14ac:dyDescent="0.3">
      <c r="F751" s="20"/>
      <c r="G751" s="21"/>
      <c r="H751" s="21"/>
      <c r="I751" s="21"/>
      <c r="J751" s="22"/>
      <c r="K751" s="23"/>
      <c r="L751" s="47"/>
    </row>
    <row r="752" spans="6:12" x14ac:dyDescent="0.3">
      <c r="F752" s="20"/>
      <c r="G752" s="21"/>
      <c r="H752" s="21"/>
      <c r="I752" s="21"/>
      <c r="J752" s="22"/>
      <c r="K752" s="23"/>
      <c r="L752" s="47"/>
    </row>
    <row r="753" spans="6:12" x14ac:dyDescent="0.3">
      <c r="F753" s="20"/>
      <c r="G753" s="21"/>
      <c r="H753" s="21"/>
      <c r="I753" s="21"/>
      <c r="J753" s="22"/>
      <c r="K753" s="23"/>
      <c r="L753" s="47"/>
    </row>
    <row r="754" spans="6:12" x14ac:dyDescent="0.3">
      <c r="F754" s="20"/>
      <c r="G754" s="21"/>
      <c r="H754" s="21"/>
      <c r="I754" s="21"/>
      <c r="J754" s="22"/>
      <c r="K754" s="23"/>
      <c r="L754" s="47"/>
    </row>
    <row r="755" spans="6:12" x14ac:dyDescent="0.3">
      <c r="F755" s="20"/>
      <c r="G755" s="21"/>
      <c r="H755" s="21"/>
      <c r="I755" s="21"/>
      <c r="J755" s="22"/>
      <c r="K755" s="23"/>
      <c r="L755" s="47"/>
    </row>
    <row r="756" spans="6:12" x14ac:dyDescent="0.3">
      <c r="F756" s="20"/>
      <c r="G756" s="21"/>
      <c r="H756" s="21"/>
      <c r="I756" s="21"/>
      <c r="J756" s="22"/>
      <c r="K756" s="23"/>
      <c r="L756" s="47"/>
    </row>
    <row r="757" spans="6:12" x14ac:dyDescent="0.3">
      <c r="F757" s="20"/>
      <c r="G757" s="21"/>
      <c r="H757" s="21"/>
      <c r="I757" s="21"/>
      <c r="J757" s="22"/>
      <c r="K757" s="23"/>
      <c r="L757" s="47"/>
    </row>
    <row r="758" spans="6:12" x14ac:dyDescent="0.3">
      <c r="F758" s="20"/>
      <c r="G758" s="21"/>
      <c r="H758" s="21"/>
      <c r="I758" s="21"/>
      <c r="J758" s="22"/>
      <c r="K758" s="23"/>
      <c r="L758" s="47"/>
    </row>
    <row r="759" spans="6:12" x14ac:dyDescent="0.3">
      <c r="F759" s="20"/>
      <c r="G759" s="21"/>
      <c r="H759" s="21"/>
      <c r="I759" s="21"/>
      <c r="J759" s="22"/>
      <c r="K759" s="23"/>
      <c r="L759" s="47"/>
    </row>
    <row r="760" spans="6:12" x14ac:dyDescent="0.3">
      <c r="F760" s="20"/>
      <c r="G760" s="21"/>
      <c r="H760" s="21"/>
      <c r="I760" s="21"/>
      <c r="J760" s="22"/>
      <c r="K760" s="23"/>
      <c r="L760" s="47"/>
    </row>
    <row r="761" spans="6:12" x14ac:dyDescent="0.3">
      <c r="F761" s="20"/>
      <c r="G761" s="21"/>
      <c r="H761" s="21"/>
      <c r="I761" s="21"/>
      <c r="J761" s="22"/>
      <c r="K761" s="23"/>
      <c r="L761" s="47"/>
    </row>
    <row r="762" spans="6:12" x14ac:dyDescent="0.3">
      <c r="F762" s="20"/>
      <c r="G762" s="21"/>
      <c r="H762" s="21"/>
      <c r="I762" s="21"/>
      <c r="J762" s="22"/>
      <c r="K762" s="23"/>
      <c r="L762" s="47"/>
    </row>
    <row r="763" spans="6:12" x14ac:dyDescent="0.3">
      <c r="F763" s="20"/>
      <c r="G763" s="21"/>
      <c r="H763" s="21"/>
      <c r="I763" s="21"/>
      <c r="J763" s="22"/>
      <c r="K763" s="23"/>
      <c r="L763" s="47"/>
    </row>
    <row r="764" spans="6:12" x14ac:dyDescent="0.3">
      <c r="F764" s="20"/>
      <c r="G764" s="21"/>
      <c r="H764" s="21"/>
      <c r="I764" s="21"/>
      <c r="J764" s="22"/>
      <c r="K764" s="23"/>
      <c r="L764" s="47"/>
    </row>
    <row r="765" spans="6:12" x14ac:dyDescent="0.3">
      <c r="F765" s="20"/>
      <c r="G765" s="21"/>
      <c r="H765" s="21"/>
      <c r="I765" s="21"/>
      <c r="J765" s="22"/>
      <c r="K765" s="23"/>
      <c r="L765" s="47"/>
    </row>
    <row r="766" spans="6:12" x14ac:dyDescent="0.3">
      <c r="F766" s="20"/>
      <c r="G766" s="21"/>
      <c r="H766" s="21"/>
      <c r="I766" s="21"/>
      <c r="J766" s="22"/>
      <c r="K766" s="23"/>
      <c r="L766" s="47"/>
    </row>
    <row r="767" spans="6:12" x14ac:dyDescent="0.3">
      <c r="F767" s="20"/>
      <c r="G767" s="21"/>
      <c r="H767" s="21"/>
      <c r="I767" s="21"/>
      <c r="J767" s="22"/>
      <c r="K767" s="23"/>
      <c r="L767" s="47"/>
    </row>
    <row r="768" spans="6:12" x14ac:dyDescent="0.3">
      <c r="F768" s="20"/>
      <c r="G768" s="21"/>
      <c r="H768" s="21"/>
      <c r="I768" s="21"/>
      <c r="J768" s="22"/>
      <c r="K768" s="23"/>
      <c r="L768" s="47"/>
    </row>
    <row r="769" spans="6:12" x14ac:dyDescent="0.3">
      <c r="F769" s="20"/>
      <c r="G769" s="21"/>
      <c r="H769" s="21"/>
      <c r="I769" s="21"/>
      <c r="J769" s="22"/>
      <c r="K769" s="23"/>
      <c r="L769" s="47"/>
    </row>
    <row r="770" spans="6:12" x14ac:dyDescent="0.3">
      <c r="F770" s="20"/>
      <c r="G770" s="21"/>
      <c r="H770" s="21"/>
      <c r="I770" s="21"/>
      <c r="J770" s="22"/>
      <c r="K770" s="23"/>
      <c r="L770" s="47"/>
    </row>
    <row r="771" spans="6:12" x14ac:dyDescent="0.3">
      <c r="F771" s="20"/>
      <c r="G771" s="21"/>
      <c r="H771" s="21"/>
      <c r="I771" s="21"/>
      <c r="J771" s="22"/>
      <c r="K771" s="23"/>
      <c r="L771" s="47"/>
    </row>
    <row r="772" spans="6:12" x14ac:dyDescent="0.3">
      <c r="F772" s="20"/>
      <c r="G772" s="21"/>
      <c r="H772" s="21"/>
      <c r="I772" s="21"/>
      <c r="J772" s="22"/>
      <c r="K772" s="23"/>
      <c r="L772" s="47"/>
    </row>
    <row r="773" spans="6:12" x14ac:dyDescent="0.3">
      <c r="F773" s="20"/>
      <c r="G773" s="21"/>
      <c r="H773" s="21"/>
      <c r="I773" s="21"/>
      <c r="J773" s="22"/>
      <c r="K773" s="23"/>
      <c r="L773" s="47"/>
    </row>
    <row r="774" spans="6:12" x14ac:dyDescent="0.3">
      <c r="F774" s="20"/>
      <c r="G774" s="21"/>
      <c r="H774" s="21"/>
      <c r="I774" s="21"/>
      <c r="J774" s="22"/>
      <c r="K774" s="23"/>
      <c r="L774" s="47"/>
    </row>
    <row r="775" spans="6:12" x14ac:dyDescent="0.3">
      <c r="F775" s="20"/>
      <c r="G775" s="21"/>
      <c r="H775" s="21"/>
      <c r="I775" s="21"/>
      <c r="J775" s="22"/>
      <c r="K775" s="23"/>
      <c r="L775" s="47"/>
    </row>
    <row r="776" spans="6:12" x14ac:dyDescent="0.3">
      <c r="F776" s="20"/>
      <c r="G776" s="21"/>
      <c r="H776" s="21"/>
      <c r="I776" s="21"/>
      <c r="J776" s="22"/>
      <c r="K776" s="23"/>
      <c r="L776" s="47"/>
    </row>
    <row r="777" spans="6:12" x14ac:dyDescent="0.3">
      <c r="F777" s="20"/>
      <c r="G777" s="21"/>
      <c r="H777" s="21"/>
      <c r="I777" s="21"/>
      <c r="J777" s="22"/>
      <c r="K777" s="23"/>
      <c r="L777" s="47"/>
    </row>
    <row r="778" spans="6:12" x14ac:dyDescent="0.3">
      <c r="F778" s="20"/>
      <c r="G778" s="21"/>
      <c r="H778" s="21"/>
      <c r="I778" s="21"/>
      <c r="J778" s="22"/>
      <c r="K778" s="23"/>
      <c r="L778" s="47"/>
    </row>
    <row r="779" spans="6:12" x14ac:dyDescent="0.3">
      <c r="F779" s="20"/>
      <c r="G779" s="21"/>
      <c r="H779" s="21"/>
      <c r="I779" s="21"/>
      <c r="J779" s="22"/>
      <c r="K779" s="23"/>
      <c r="L779" s="47"/>
    </row>
    <row r="780" spans="6:12" x14ac:dyDescent="0.3">
      <c r="F780" s="20"/>
      <c r="G780" s="21"/>
      <c r="H780" s="21"/>
      <c r="I780" s="21"/>
      <c r="J780" s="22"/>
      <c r="K780" s="23"/>
      <c r="L780" s="47"/>
    </row>
    <row r="781" spans="6:12" x14ac:dyDescent="0.3">
      <c r="F781" s="20"/>
      <c r="G781" s="21"/>
      <c r="H781" s="21"/>
      <c r="I781" s="21"/>
      <c r="J781" s="22"/>
      <c r="K781" s="23"/>
      <c r="L781" s="47"/>
    </row>
    <row r="782" spans="6:12" x14ac:dyDescent="0.3">
      <c r="F782" s="20"/>
      <c r="G782" s="21"/>
      <c r="H782" s="21"/>
      <c r="I782" s="21"/>
      <c r="J782" s="22"/>
      <c r="K782" s="23"/>
      <c r="L782" s="47"/>
    </row>
    <row r="783" spans="6:12" x14ac:dyDescent="0.3">
      <c r="F783" s="20"/>
      <c r="G783" s="21"/>
      <c r="H783" s="21"/>
      <c r="I783" s="21"/>
      <c r="J783" s="22"/>
      <c r="K783" s="23"/>
      <c r="L783" s="47"/>
    </row>
    <row r="784" spans="6:12" x14ac:dyDescent="0.3">
      <c r="F784" s="20"/>
      <c r="G784" s="21"/>
      <c r="H784" s="21"/>
      <c r="I784" s="21"/>
      <c r="J784" s="22"/>
      <c r="K784" s="23"/>
      <c r="L784" s="47"/>
    </row>
    <row r="785" spans="6:12" x14ac:dyDescent="0.3">
      <c r="F785" s="20"/>
      <c r="G785" s="21"/>
      <c r="H785" s="21"/>
      <c r="I785" s="21"/>
      <c r="J785" s="22"/>
      <c r="K785" s="23"/>
      <c r="L785" s="47"/>
    </row>
    <row r="786" spans="6:12" x14ac:dyDescent="0.3">
      <c r="F786" s="20"/>
      <c r="G786" s="21"/>
      <c r="H786" s="21"/>
      <c r="I786" s="21"/>
      <c r="J786" s="22"/>
      <c r="K786" s="23"/>
      <c r="L786" s="47"/>
    </row>
    <row r="787" spans="6:12" x14ac:dyDescent="0.3">
      <c r="F787" s="20"/>
      <c r="G787" s="21"/>
      <c r="H787" s="21"/>
      <c r="I787" s="21"/>
      <c r="J787" s="22"/>
      <c r="K787" s="23"/>
      <c r="L787" s="47"/>
    </row>
    <row r="788" spans="6:12" x14ac:dyDescent="0.3">
      <c r="F788" s="20"/>
      <c r="G788" s="21"/>
      <c r="H788" s="21"/>
      <c r="I788" s="21"/>
      <c r="J788" s="22"/>
      <c r="K788" s="23"/>
      <c r="L788" s="47"/>
    </row>
    <row r="789" spans="6:12" x14ac:dyDescent="0.3">
      <c r="F789" s="20"/>
      <c r="G789" s="21"/>
      <c r="H789" s="21"/>
      <c r="I789" s="21"/>
      <c r="J789" s="22"/>
      <c r="K789" s="23"/>
      <c r="L789" s="47"/>
    </row>
    <row r="790" spans="6:12" x14ac:dyDescent="0.3">
      <c r="F790" s="20"/>
      <c r="G790" s="21"/>
      <c r="H790" s="21"/>
      <c r="I790" s="21"/>
      <c r="J790" s="22"/>
      <c r="K790" s="23"/>
      <c r="L790" s="47"/>
    </row>
    <row r="791" spans="6:12" x14ac:dyDescent="0.3">
      <c r="F791" s="20"/>
      <c r="G791" s="21"/>
      <c r="H791" s="21"/>
      <c r="I791" s="21"/>
      <c r="J791" s="22"/>
      <c r="K791" s="23"/>
      <c r="L791" s="47"/>
    </row>
    <row r="792" spans="6:12" x14ac:dyDescent="0.3">
      <c r="F792" s="20"/>
      <c r="G792" s="21"/>
      <c r="H792" s="21"/>
      <c r="I792" s="21"/>
      <c r="J792" s="22"/>
      <c r="K792" s="23"/>
      <c r="L792" s="47"/>
    </row>
    <row r="793" spans="6:12" x14ac:dyDescent="0.3">
      <c r="F793" s="20"/>
      <c r="G793" s="21"/>
      <c r="H793" s="21"/>
      <c r="I793" s="21"/>
      <c r="J793" s="22"/>
      <c r="K793" s="23"/>
      <c r="L793" s="47"/>
    </row>
    <row r="794" spans="6:12" x14ac:dyDescent="0.3">
      <c r="F794" s="20"/>
      <c r="G794" s="21"/>
      <c r="H794" s="21"/>
      <c r="I794" s="21"/>
      <c r="J794" s="22"/>
      <c r="K794" s="23"/>
      <c r="L794" s="47"/>
    </row>
    <row r="795" spans="6:12" x14ac:dyDescent="0.3">
      <c r="F795" s="20"/>
      <c r="G795" s="21"/>
      <c r="H795" s="21"/>
      <c r="I795" s="21"/>
      <c r="J795" s="22"/>
      <c r="K795" s="23"/>
      <c r="L795" s="47"/>
    </row>
    <row r="796" spans="6:12" x14ac:dyDescent="0.3">
      <c r="F796" s="20"/>
      <c r="G796" s="21"/>
      <c r="H796" s="21"/>
      <c r="I796" s="21"/>
      <c r="J796" s="22"/>
      <c r="K796" s="23"/>
      <c r="L796" s="47"/>
    </row>
    <row r="797" spans="6:12" x14ac:dyDescent="0.3">
      <c r="F797" s="20"/>
      <c r="G797" s="21"/>
      <c r="H797" s="21"/>
      <c r="I797" s="21"/>
      <c r="J797" s="22"/>
      <c r="K797" s="23"/>
      <c r="L797" s="47"/>
    </row>
    <row r="798" spans="6:12" x14ac:dyDescent="0.3">
      <c r="F798" s="20"/>
      <c r="G798" s="21"/>
      <c r="H798" s="21"/>
      <c r="I798" s="21"/>
      <c r="J798" s="22"/>
      <c r="K798" s="23"/>
      <c r="L798" s="47"/>
    </row>
    <row r="799" spans="6:12" x14ac:dyDescent="0.3">
      <c r="F799" s="20"/>
      <c r="G799" s="21"/>
      <c r="H799" s="21"/>
      <c r="I799" s="21"/>
      <c r="J799" s="22"/>
      <c r="K799" s="23"/>
      <c r="L799" s="47"/>
    </row>
    <row r="800" spans="6:12" x14ac:dyDescent="0.3">
      <c r="F800" s="20"/>
      <c r="G800" s="21"/>
      <c r="H800" s="21"/>
      <c r="I800" s="21"/>
      <c r="J800" s="22"/>
      <c r="K800" s="23"/>
      <c r="L800" s="47"/>
    </row>
    <row r="801" spans="6:12" x14ac:dyDescent="0.3">
      <c r="F801" s="20"/>
      <c r="G801" s="21"/>
      <c r="H801" s="21"/>
      <c r="I801" s="21"/>
      <c r="J801" s="22"/>
      <c r="K801" s="23"/>
      <c r="L801" s="47"/>
    </row>
    <row r="802" spans="6:12" x14ac:dyDescent="0.3">
      <c r="F802" s="20"/>
      <c r="G802" s="21"/>
      <c r="H802" s="21"/>
      <c r="I802" s="21"/>
      <c r="J802" s="22"/>
      <c r="K802" s="23"/>
      <c r="L802" s="47"/>
    </row>
    <row r="803" spans="6:12" x14ac:dyDescent="0.3">
      <c r="F803" s="20"/>
      <c r="G803" s="21"/>
      <c r="H803" s="21"/>
      <c r="I803" s="21"/>
      <c r="J803" s="22"/>
      <c r="K803" s="23"/>
      <c r="L803" s="47"/>
    </row>
    <row r="804" spans="6:12" x14ac:dyDescent="0.3">
      <c r="F804" s="20"/>
      <c r="G804" s="21"/>
      <c r="H804" s="21"/>
      <c r="I804" s="21"/>
      <c r="J804" s="22"/>
      <c r="K804" s="23"/>
      <c r="L804" s="47"/>
    </row>
    <row r="805" spans="6:12" x14ac:dyDescent="0.3">
      <c r="F805" s="20"/>
      <c r="G805" s="21"/>
      <c r="H805" s="21"/>
      <c r="I805" s="21"/>
      <c r="J805" s="22"/>
      <c r="K805" s="23"/>
      <c r="L805" s="47"/>
    </row>
    <row r="806" spans="6:12" x14ac:dyDescent="0.3">
      <c r="F806" s="20"/>
      <c r="G806" s="21"/>
      <c r="H806" s="21"/>
      <c r="I806" s="21"/>
      <c r="J806" s="22"/>
      <c r="K806" s="23"/>
      <c r="L806" s="47"/>
    </row>
    <row r="807" spans="6:12" x14ac:dyDescent="0.3">
      <c r="F807" s="20"/>
      <c r="G807" s="21"/>
      <c r="H807" s="21"/>
      <c r="I807" s="21"/>
      <c r="J807" s="22"/>
      <c r="K807" s="23"/>
      <c r="L807" s="47"/>
    </row>
    <row r="808" spans="6:12" x14ac:dyDescent="0.3">
      <c r="F808" s="20"/>
      <c r="G808" s="21"/>
      <c r="H808" s="21"/>
      <c r="I808" s="21"/>
      <c r="J808" s="22"/>
      <c r="K808" s="23"/>
      <c r="L808" s="47"/>
    </row>
    <row r="809" spans="6:12" x14ac:dyDescent="0.3">
      <c r="F809" s="20"/>
      <c r="G809" s="21"/>
      <c r="H809" s="21"/>
      <c r="I809" s="21"/>
      <c r="J809" s="22"/>
      <c r="K809" s="23"/>
      <c r="L809" s="47"/>
    </row>
    <row r="810" spans="6:12" x14ac:dyDescent="0.3">
      <c r="F810" s="20"/>
      <c r="G810" s="21"/>
      <c r="H810" s="21"/>
      <c r="I810" s="21"/>
      <c r="J810" s="22"/>
      <c r="K810" s="23"/>
      <c r="L810" s="47"/>
    </row>
    <row r="811" spans="6:12" x14ac:dyDescent="0.3">
      <c r="F811" s="20"/>
      <c r="G811" s="21"/>
      <c r="H811" s="21"/>
      <c r="I811" s="21"/>
      <c r="J811" s="22"/>
      <c r="K811" s="23"/>
      <c r="L811" s="47"/>
    </row>
    <row r="812" spans="6:12" x14ac:dyDescent="0.3">
      <c r="F812" s="20"/>
      <c r="G812" s="21"/>
      <c r="H812" s="21"/>
      <c r="I812" s="21"/>
      <c r="J812" s="22"/>
      <c r="K812" s="23"/>
      <c r="L812" s="47"/>
    </row>
    <row r="813" spans="6:12" x14ac:dyDescent="0.3">
      <c r="F813" s="20"/>
      <c r="G813" s="21"/>
      <c r="H813" s="21"/>
      <c r="I813" s="21"/>
      <c r="J813" s="22"/>
      <c r="K813" s="23"/>
      <c r="L813" s="47"/>
    </row>
    <row r="814" spans="6:12" x14ac:dyDescent="0.3">
      <c r="F814" s="20"/>
      <c r="G814" s="21"/>
      <c r="H814" s="21"/>
      <c r="I814" s="21"/>
      <c r="J814" s="22"/>
      <c r="K814" s="23"/>
      <c r="L814" s="47"/>
    </row>
    <row r="815" spans="6:12" x14ac:dyDescent="0.3">
      <c r="F815" s="20"/>
      <c r="G815" s="21"/>
      <c r="H815" s="21"/>
      <c r="I815" s="21"/>
      <c r="J815" s="22"/>
      <c r="K815" s="23"/>
      <c r="L815" s="47"/>
    </row>
    <row r="816" spans="6:12" x14ac:dyDescent="0.3">
      <c r="F816" s="20"/>
      <c r="G816" s="21"/>
      <c r="H816" s="21"/>
      <c r="I816" s="21"/>
      <c r="J816" s="22"/>
      <c r="K816" s="23"/>
      <c r="L816" s="47"/>
    </row>
    <row r="817" spans="6:12" x14ac:dyDescent="0.3">
      <c r="F817" s="20"/>
      <c r="G817" s="21"/>
      <c r="H817" s="21"/>
      <c r="I817" s="21"/>
      <c r="J817" s="22"/>
      <c r="K817" s="23"/>
      <c r="L817" s="47"/>
    </row>
    <row r="818" spans="6:12" x14ac:dyDescent="0.3">
      <c r="F818" s="20"/>
      <c r="G818" s="21"/>
      <c r="H818" s="21"/>
      <c r="I818" s="21"/>
      <c r="J818" s="22"/>
      <c r="K818" s="23"/>
      <c r="L818" s="47"/>
    </row>
    <row r="819" spans="6:12" x14ac:dyDescent="0.3">
      <c r="F819" s="20"/>
      <c r="G819" s="21"/>
      <c r="H819" s="21"/>
      <c r="I819" s="21"/>
      <c r="J819" s="22"/>
      <c r="K819" s="23"/>
      <c r="L819" s="47"/>
    </row>
    <row r="820" spans="6:12" x14ac:dyDescent="0.3">
      <c r="F820" s="20"/>
      <c r="G820" s="21"/>
      <c r="H820" s="21"/>
      <c r="I820" s="21"/>
      <c r="J820" s="22"/>
      <c r="K820" s="23"/>
      <c r="L820" s="47"/>
    </row>
    <row r="821" spans="6:12" x14ac:dyDescent="0.3">
      <c r="F821" s="20"/>
      <c r="G821" s="21"/>
      <c r="H821" s="21"/>
      <c r="I821" s="21"/>
      <c r="J821" s="22"/>
      <c r="K821" s="23"/>
      <c r="L821" s="47"/>
    </row>
    <row r="822" spans="6:12" x14ac:dyDescent="0.3">
      <c r="F822" s="20"/>
      <c r="G822" s="21"/>
      <c r="H822" s="21"/>
      <c r="I822" s="21"/>
      <c r="J822" s="22"/>
      <c r="K822" s="23"/>
      <c r="L822" s="47"/>
    </row>
    <row r="823" spans="6:12" x14ac:dyDescent="0.3">
      <c r="F823" s="20"/>
      <c r="G823" s="21"/>
      <c r="H823" s="21"/>
      <c r="I823" s="21"/>
      <c r="J823" s="22"/>
      <c r="K823" s="23"/>
      <c r="L823" s="47"/>
    </row>
    <row r="824" spans="6:12" x14ac:dyDescent="0.3">
      <c r="F824" s="20"/>
      <c r="G824" s="21"/>
      <c r="H824" s="21"/>
      <c r="I824" s="21"/>
      <c r="J824" s="22"/>
      <c r="K824" s="23"/>
      <c r="L824" s="47"/>
    </row>
    <row r="825" spans="6:12" x14ac:dyDescent="0.3">
      <c r="F825" s="20"/>
      <c r="G825" s="21"/>
      <c r="H825" s="21"/>
      <c r="I825" s="21"/>
      <c r="J825" s="22"/>
      <c r="K825" s="23"/>
      <c r="L825" s="47"/>
    </row>
    <row r="826" spans="6:12" x14ac:dyDescent="0.3">
      <c r="F826" s="20"/>
      <c r="G826" s="21"/>
      <c r="H826" s="21"/>
      <c r="I826" s="21"/>
      <c r="J826" s="22"/>
      <c r="K826" s="23"/>
      <c r="L826" s="47"/>
    </row>
    <row r="827" spans="6:12" x14ac:dyDescent="0.3">
      <c r="F827" s="20"/>
      <c r="G827" s="21"/>
      <c r="H827" s="21"/>
      <c r="I827" s="21"/>
      <c r="J827" s="22"/>
      <c r="K827" s="23"/>
      <c r="L827" s="47"/>
    </row>
    <row r="828" spans="6:12" x14ac:dyDescent="0.3">
      <c r="F828" s="20"/>
      <c r="G828" s="21"/>
      <c r="H828" s="21"/>
      <c r="I828" s="21"/>
      <c r="J828" s="22"/>
      <c r="K828" s="23"/>
      <c r="L828" s="47"/>
    </row>
    <row r="829" spans="6:12" x14ac:dyDescent="0.3">
      <c r="F829" s="20"/>
      <c r="G829" s="21"/>
      <c r="H829" s="21"/>
      <c r="I829" s="21"/>
      <c r="J829" s="22"/>
      <c r="K829" s="23"/>
      <c r="L829" s="47"/>
    </row>
    <row r="830" spans="6:12" x14ac:dyDescent="0.3">
      <c r="F830" s="20"/>
      <c r="G830" s="21"/>
      <c r="H830" s="21"/>
      <c r="I830" s="21"/>
      <c r="J830" s="22"/>
      <c r="K830" s="23"/>
      <c r="L830" s="47"/>
    </row>
    <row r="831" spans="6:12" x14ac:dyDescent="0.3">
      <c r="F831" s="20"/>
      <c r="G831" s="21"/>
      <c r="H831" s="21"/>
      <c r="I831" s="21"/>
      <c r="J831" s="22"/>
      <c r="K831" s="23"/>
      <c r="L831" s="47"/>
    </row>
    <row r="832" spans="6:12" x14ac:dyDescent="0.3">
      <c r="F832" s="20"/>
      <c r="G832" s="21"/>
      <c r="H832" s="21"/>
      <c r="I832" s="21"/>
      <c r="J832" s="22"/>
      <c r="K832" s="23"/>
      <c r="L832" s="47"/>
    </row>
    <row r="833" spans="6:12" x14ac:dyDescent="0.3">
      <c r="F833" s="20"/>
      <c r="G833" s="21"/>
      <c r="H833" s="21"/>
      <c r="I833" s="21"/>
      <c r="J833" s="22"/>
      <c r="K833" s="23"/>
      <c r="L833" s="47"/>
    </row>
    <row r="834" spans="6:12" x14ac:dyDescent="0.3">
      <c r="F834" s="20"/>
      <c r="G834" s="21"/>
      <c r="H834" s="21"/>
      <c r="I834" s="21"/>
      <c r="J834" s="22"/>
      <c r="K834" s="23"/>
      <c r="L834" s="47"/>
    </row>
    <row r="835" spans="6:12" x14ac:dyDescent="0.3">
      <c r="F835" s="20"/>
      <c r="G835" s="21"/>
      <c r="H835" s="21"/>
      <c r="I835" s="21"/>
      <c r="J835" s="22"/>
      <c r="K835" s="23"/>
      <c r="L835" s="47"/>
    </row>
    <row r="836" spans="6:12" x14ac:dyDescent="0.3">
      <c r="F836" s="20"/>
      <c r="G836" s="21"/>
      <c r="H836" s="21"/>
      <c r="I836" s="21"/>
      <c r="J836" s="22"/>
      <c r="K836" s="23"/>
      <c r="L836" s="47"/>
    </row>
    <row r="837" spans="6:12" x14ac:dyDescent="0.3">
      <c r="F837" s="20"/>
      <c r="G837" s="21"/>
      <c r="H837" s="21"/>
      <c r="I837" s="21"/>
      <c r="J837" s="22"/>
      <c r="K837" s="23"/>
      <c r="L837" s="47"/>
    </row>
    <row r="838" spans="6:12" x14ac:dyDescent="0.3">
      <c r="F838" s="20"/>
      <c r="G838" s="21"/>
      <c r="H838" s="21"/>
      <c r="I838" s="21"/>
      <c r="J838" s="22"/>
      <c r="K838" s="23"/>
      <c r="L838" s="47"/>
    </row>
    <row r="839" spans="6:12" x14ac:dyDescent="0.3">
      <c r="F839" s="20"/>
      <c r="G839" s="21"/>
      <c r="H839" s="21"/>
      <c r="I839" s="21"/>
      <c r="J839" s="22"/>
      <c r="K839" s="23"/>
      <c r="L839" s="47"/>
    </row>
    <row r="840" spans="6:12" x14ac:dyDescent="0.3">
      <c r="F840" s="20"/>
      <c r="G840" s="21"/>
      <c r="H840" s="21"/>
      <c r="I840" s="21"/>
      <c r="J840" s="22"/>
      <c r="K840" s="23"/>
      <c r="L840" s="47"/>
    </row>
    <row r="841" spans="6:12" x14ac:dyDescent="0.3">
      <c r="F841" s="20"/>
      <c r="G841" s="21"/>
      <c r="H841" s="21"/>
      <c r="I841" s="21"/>
      <c r="J841" s="22"/>
      <c r="K841" s="23"/>
      <c r="L841" s="47"/>
    </row>
    <row r="842" spans="6:12" x14ac:dyDescent="0.3">
      <c r="F842" s="20"/>
      <c r="G842" s="21"/>
      <c r="H842" s="21"/>
      <c r="I842" s="21"/>
      <c r="J842" s="22"/>
      <c r="K842" s="23"/>
      <c r="L842" s="47"/>
    </row>
    <row r="843" spans="6:12" x14ac:dyDescent="0.3">
      <c r="F843" s="20"/>
      <c r="G843" s="21"/>
      <c r="H843" s="21"/>
      <c r="I843" s="21"/>
      <c r="J843" s="22"/>
      <c r="K843" s="23"/>
      <c r="L843" s="47"/>
    </row>
    <row r="844" spans="6:12" x14ac:dyDescent="0.3">
      <c r="F844" s="20"/>
      <c r="G844" s="21"/>
      <c r="H844" s="21"/>
      <c r="I844" s="21"/>
      <c r="J844" s="22"/>
      <c r="K844" s="23"/>
      <c r="L844" s="47"/>
    </row>
    <row r="845" spans="6:12" x14ac:dyDescent="0.3">
      <c r="F845" s="20"/>
      <c r="G845" s="21"/>
      <c r="H845" s="21"/>
      <c r="I845" s="21"/>
      <c r="J845" s="22"/>
      <c r="K845" s="23"/>
      <c r="L845" s="47"/>
    </row>
    <row r="846" spans="6:12" x14ac:dyDescent="0.3">
      <c r="F846" s="20"/>
      <c r="G846" s="21"/>
      <c r="H846" s="21"/>
      <c r="I846" s="21"/>
      <c r="J846" s="22"/>
      <c r="K846" s="23"/>
      <c r="L846" s="47"/>
    </row>
    <row r="847" spans="6:12" x14ac:dyDescent="0.3">
      <c r="F847" s="20"/>
      <c r="G847" s="21"/>
      <c r="H847" s="21"/>
      <c r="I847" s="21"/>
      <c r="J847" s="22"/>
      <c r="K847" s="23"/>
      <c r="L847" s="47"/>
    </row>
    <row r="848" spans="6:12" x14ac:dyDescent="0.3">
      <c r="F848" s="20"/>
      <c r="G848" s="21"/>
      <c r="H848" s="21"/>
      <c r="I848" s="21"/>
      <c r="J848" s="22"/>
      <c r="K848" s="23"/>
      <c r="L848" s="47"/>
    </row>
    <row r="849" spans="6:12" x14ac:dyDescent="0.3">
      <c r="F849" s="20"/>
      <c r="G849" s="21"/>
      <c r="H849" s="21"/>
      <c r="I849" s="21"/>
      <c r="J849" s="22"/>
      <c r="K849" s="23"/>
      <c r="L849" s="47"/>
    </row>
    <row r="850" spans="6:12" x14ac:dyDescent="0.3">
      <c r="F850" s="20"/>
      <c r="G850" s="21"/>
      <c r="H850" s="21"/>
      <c r="I850" s="21"/>
      <c r="J850" s="22"/>
      <c r="K850" s="23"/>
      <c r="L850" s="47"/>
    </row>
    <row r="851" spans="6:12" x14ac:dyDescent="0.3">
      <c r="F851" s="20"/>
      <c r="G851" s="21"/>
      <c r="H851" s="21"/>
      <c r="I851" s="21"/>
      <c r="J851" s="22"/>
      <c r="K851" s="23"/>
      <c r="L851" s="47"/>
    </row>
    <row r="852" spans="6:12" x14ac:dyDescent="0.3">
      <c r="F852" s="20"/>
      <c r="G852" s="21"/>
      <c r="H852" s="21"/>
      <c r="I852" s="21"/>
      <c r="J852" s="22"/>
      <c r="K852" s="23"/>
      <c r="L852" s="47"/>
    </row>
    <row r="853" spans="6:12" x14ac:dyDescent="0.3">
      <c r="F853" s="20"/>
      <c r="G853" s="21"/>
      <c r="H853" s="21"/>
      <c r="I853" s="21"/>
      <c r="J853" s="22"/>
      <c r="K853" s="23"/>
      <c r="L853" s="47"/>
    </row>
    <row r="854" spans="6:12" x14ac:dyDescent="0.3">
      <c r="F854" s="20"/>
      <c r="G854" s="21"/>
      <c r="H854" s="21"/>
      <c r="I854" s="21"/>
      <c r="J854" s="22"/>
      <c r="K854" s="23"/>
      <c r="L854" s="47"/>
    </row>
    <row r="855" spans="6:12" x14ac:dyDescent="0.3">
      <c r="F855" s="20"/>
      <c r="G855" s="21"/>
      <c r="H855" s="21"/>
      <c r="I855" s="21"/>
      <c r="J855" s="22"/>
      <c r="K855" s="23"/>
      <c r="L855" s="47"/>
    </row>
    <row r="856" spans="6:12" x14ac:dyDescent="0.3">
      <c r="F856" s="20"/>
      <c r="G856" s="21"/>
      <c r="H856" s="21"/>
      <c r="I856" s="21"/>
      <c r="J856" s="22"/>
      <c r="K856" s="23"/>
      <c r="L856" s="47"/>
    </row>
    <row r="857" spans="6:12" x14ac:dyDescent="0.3">
      <c r="F857" s="20"/>
      <c r="G857" s="21"/>
      <c r="H857" s="21"/>
      <c r="I857" s="21"/>
      <c r="J857" s="22"/>
      <c r="K857" s="23"/>
      <c r="L857" s="47"/>
    </row>
    <row r="858" spans="6:12" x14ac:dyDescent="0.3">
      <c r="F858" s="20"/>
      <c r="G858" s="21"/>
      <c r="H858" s="21"/>
      <c r="I858" s="21"/>
      <c r="J858" s="22"/>
      <c r="K858" s="23"/>
      <c r="L858" s="47"/>
    </row>
    <row r="859" spans="6:12" x14ac:dyDescent="0.3">
      <c r="F859" s="20"/>
      <c r="G859" s="21"/>
      <c r="H859" s="21"/>
      <c r="I859" s="21"/>
      <c r="J859" s="22"/>
      <c r="K859" s="23"/>
      <c r="L859" s="47"/>
    </row>
    <row r="860" spans="6:12" x14ac:dyDescent="0.3">
      <c r="F860" s="20"/>
      <c r="G860" s="21"/>
      <c r="H860" s="21"/>
      <c r="I860" s="21"/>
      <c r="J860" s="22"/>
      <c r="K860" s="23"/>
      <c r="L860" s="47"/>
    </row>
    <row r="861" spans="6:12" x14ac:dyDescent="0.3">
      <c r="F861" s="20"/>
      <c r="G861" s="21"/>
      <c r="H861" s="21"/>
      <c r="I861" s="21"/>
      <c r="J861" s="22"/>
      <c r="K861" s="23"/>
      <c r="L861" s="47"/>
    </row>
    <row r="862" spans="6:12" x14ac:dyDescent="0.3">
      <c r="F862" s="20"/>
      <c r="G862" s="21"/>
      <c r="H862" s="21"/>
      <c r="I862" s="21"/>
      <c r="J862" s="22"/>
      <c r="K862" s="23"/>
      <c r="L862" s="47"/>
    </row>
    <row r="863" spans="6:12" x14ac:dyDescent="0.3">
      <c r="F863" s="20"/>
      <c r="G863" s="21"/>
      <c r="H863" s="21"/>
      <c r="I863" s="21"/>
      <c r="J863" s="22"/>
      <c r="K863" s="23"/>
      <c r="L863" s="47"/>
    </row>
    <row r="864" spans="6:12" x14ac:dyDescent="0.3">
      <c r="F864" s="20"/>
      <c r="G864" s="21"/>
      <c r="H864" s="21"/>
      <c r="I864" s="21"/>
      <c r="J864" s="22"/>
      <c r="K864" s="23"/>
      <c r="L864" s="47"/>
    </row>
    <row r="865" spans="6:12" x14ac:dyDescent="0.3">
      <c r="F865" s="20"/>
      <c r="G865" s="21"/>
      <c r="H865" s="21"/>
      <c r="I865" s="21"/>
      <c r="J865" s="22"/>
      <c r="K865" s="23"/>
      <c r="L865" s="47"/>
    </row>
    <row r="866" spans="6:12" x14ac:dyDescent="0.3">
      <c r="F866" s="20"/>
      <c r="G866" s="21"/>
      <c r="H866" s="21"/>
      <c r="I866" s="21"/>
      <c r="J866" s="22"/>
      <c r="K866" s="23"/>
      <c r="L866" s="47"/>
    </row>
    <row r="867" spans="6:12" x14ac:dyDescent="0.3">
      <c r="F867" s="20"/>
      <c r="G867" s="21"/>
      <c r="H867" s="21"/>
      <c r="I867" s="21"/>
      <c r="J867" s="22"/>
      <c r="K867" s="23"/>
      <c r="L867" s="47"/>
    </row>
    <row r="868" spans="6:12" x14ac:dyDescent="0.3">
      <c r="F868" s="20"/>
      <c r="G868" s="21"/>
      <c r="H868" s="21"/>
      <c r="I868" s="21"/>
      <c r="J868" s="22"/>
      <c r="K868" s="23"/>
      <c r="L868" s="47"/>
    </row>
    <row r="869" spans="6:12" x14ac:dyDescent="0.3">
      <c r="F869" s="20"/>
      <c r="G869" s="21"/>
      <c r="H869" s="21"/>
      <c r="I869" s="21"/>
      <c r="J869" s="22"/>
      <c r="K869" s="23"/>
      <c r="L869" s="47"/>
    </row>
    <row r="870" spans="6:12" x14ac:dyDescent="0.3">
      <c r="F870" s="20"/>
      <c r="G870" s="21"/>
      <c r="H870" s="21"/>
      <c r="I870" s="21"/>
      <c r="J870" s="22"/>
      <c r="K870" s="23"/>
      <c r="L870" s="47"/>
    </row>
    <row r="871" spans="6:12" x14ac:dyDescent="0.3">
      <c r="F871" s="20"/>
      <c r="G871" s="21"/>
      <c r="H871" s="21"/>
      <c r="I871" s="21"/>
      <c r="J871" s="22"/>
      <c r="K871" s="23"/>
      <c r="L871" s="47"/>
    </row>
    <row r="872" spans="6:12" x14ac:dyDescent="0.3">
      <c r="F872" s="20"/>
      <c r="G872" s="21"/>
      <c r="H872" s="21"/>
      <c r="I872" s="21"/>
      <c r="J872" s="22"/>
      <c r="K872" s="23"/>
      <c r="L872" s="47"/>
    </row>
    <row r="873" spans="6:12" x14ac:dyDescent="0.3">
      <c r="F873" s="20"/>
      <c r="G873" s="21"/>
      <c r="H873" s="21"/>
      <c r="I873" s="21"/>
      <c r="J873" s="22"/>
      <c r="K873" s="23"/>
      <c r="L873" s="47"/>
    </row>
    <row r="874" spans="6:12" x14ac:dyDescent="0.3">
      <c r="F874" s="20"/>
      <c r="G874" s="21"/>
      <c r="H874" s="21"/>
      <c r="I874" s="21"/>
      <c r="J874" s="22"/>
      <c r="K874" s="23"/>
      <c r="L874" s="47"/>
    </row>
    <row r="875" spans="6:12" x14ac:dyDescent="0.3">
      <c r="F875" s="20"/>
      <c r="G875" s="21"/>
      <c r="H875" s="21"/>
      <c r="I875" s="21"/>
      <c r="J875" s="22"/>
      <c r="K875" s="23"/>
      <c r="L875" s="47"/>
    </row>
    <row r="876" spans="6:12" x14ac:dyDescent="0.3">
      <c r="F876" s="20"/>
      <c r="G876" s="21"/>
      <c r="H876" s="21"/>
      <c r="I876" s="21"/>
      <c r="J876" s="22"/>
      <c r="K876" s="23"/>
      <c r="L876" s="47"/>
    </row>
    <row r="877" spans="6:12" x14ac:dyDescent="0.3">
      <c r="F877" s="20"/>
      <c r="G877" s="21"/>
      <c r="H877" s="21"/>
      <c r="I877" s="21"/>
      <c r="J877" s="22"/>
      <c r="K877" s="23"/>
      <c r="L877" s="47"/>
    </row>
    <row r="878" spans="6:12" x14ac:dyDescent="0.3">
      <c r="F878" s="20"/>
      <c r="G878" s="21"/>
      <c r="H878" s="21"/>
      <c r="I878" s="21"/>
      <c r="J878" s="22"/>
      <c r="K878" s="23"/>
      <c r="L878" s="47"/>
    </row>
    <row r="879" spans="6:12" x14ac:dyDescent="0.3">
      <c r="F879" s="20"/>
      <c r="G879" s="21"/>
      <c r="H879" s="21"/>
      <c r="I879" s="21"/>
      <c r="J879" s="22"/>
      <c r="K879" s="23"/>
      <c r="L879" s="47"/>
    </row>
    <row r="880" spans="6:12" x14ac:dyDescent="0.3">
      <c r="F880" s="20"/>
      <c r="G880" s="21"/>
      <c r="H880" s="21"/>
      <c r="I880" s="21"/>
      <c r="J880" s="22"/>
      <c r="K880" s="23"/>
      <c r="L880" s="47"/>
    </row>
    <row r="881" spans="6:12" x14ac:dyDescent="0.3">
      <c r="F881" s="20"/>
      <c r="G881" s="21"/>
      <c r="H881" s="21"/>
      <c r="I881" s="21"/>
      <c r="J881" s="22"/>
      <c r="K881" s="23"/>
      <c r="L881" s="47"/>
    </row>
    <row r="882" spans="6:12" x14ac:dyDescent="0.3">
      <c r="F882" s="20"/>
      <c r="G882" s="21"/>
      <c r="H882" s="21"/>
      <c r="I882" s="21"/>
      <c r="J882" s="22"/>
      <c r="K882" s="23"/>
      <c r="L882" s="47"/>
    </row>
    <row r="883" spans="6:12" x14ac:dyDescent="0.3">
      <c r="F883" s="20"/>
      <c r="G883" s="21"/>
      <c r="H883" s="21"/>
      <c r="I883" s="21"/>
      <c r="J883" s="22"/>
      <c r="K883" s="23"/>
      <c r="L883" s="47"/>
    </row>
    <row r="884" spans="6:12" x14ac:dyDescent="0.3">
      <c r="F884" s="20"/>
      <c r="G884" s="21"/>
      <c r="H884" s="21"/>
      <c r="I884" s="21"/>
      <c r="J884" s="22"/>
      <c r="K884" s="23"/>
      <c r="L884" s="47"/>
    </row>
    <row r="885" spans="6:12" x14ac:dyDescent="0.3">
      <c r="F885" s="20"/>
      <c r="G885" s="21"/>
      <c r="H885" s="21"/>
      <c r="I885" s="21"/>
      <c r="J885" s="22"/>
      <c r="K885" s="23"/>
      <c r="L885" s="47"/>
    </row>
    <row r="886" spans="6:12" x14ac:dyDescent="0.3">
      <c r="F886" s="20"/>
      <c r="G886" s="21"/>
      <c r="H886" s="21"/>
      <c r="I886" s="21"/>
      <c r="J886" s="22"/>
      <c r="K886" s="23"/>
      <c r="L886" s="47"/>
    </row>
    <row r="887" spans="6:12" x14ac:dyDescent="0.3">
      <c r="F887" s="20"/>
      <c r="G887" s="21"/>
      <c r="H887" s="21"/>
      <c r="I887" s="21"/>
      <c r="J887" s="22"/>
      <c r="K887" s="23"/>
      <c r="L887" s="47"/>
    </row>
    <row r="888" spans="6:12" x14ac:dyDescent="0.3">
      <c r="F888" s="20"/>
      <c r="G888" s="21"/>
      <c r="H888" s="21"/>
      <c r="I888" s="21"/>
      <c r="J888" s="22"/>
      <c r="K888" s="23"/>
      <c r="L888" s="47"/>
    </row>
    <row r="889" spans="6:12" x14ac:dyDescent="0.3">
      <c r="F889" s="20"/>
      <c r="G889" s="21"/>
      <c r="H889" s="21"/>
      <c r="I889" s="21"/>
      <c r="J889" s="22"/>
      <c r="K889" s="23"/>
      <c r="L889" s="47"/>
    </row>
    <row r="890" spans="6:12" x14ac:dyDescent="0.3">
      <c r="F890" s="20"/>
      <c r="G890" s="21"/>
      <c r="H890" s="21"/>
      <c r="I890" s="21"/>
      <c r="J890" s="22"/>
      <c r="K890" s="23"/>
      <c r="L890" s="47"/>
    </row>
    <row r="891" spans="6:12" x14ac:dyDescent="0.3">
      <c r="F891" s="20"/>
      <c r="G891" s="21"/>
      <c r="H891" s="21"/>
      <c r="I891" s="21"/>
      <c r="J891" s="22"/>
      <c r="K891" s="23"/>
      <c r="L891" s="47"/>
    </row>
    <row r="892" spans="6:12" x14ac:dyDescent="0.3">
      <c r="F892" s="20"/>
      <c r="G892" s="21"/>
      <c r="H892" s="21"/>
      <c r="I892" s="21"/>
      <c r="J892" s="22"/>
      <c r="K892" s="23"/>
      <c r="L892" s="47"/>
    </row>
    <row r="893" spans="6:12" x14ac:dyDescent="0.3">
      <c r="F893" s="20"/>
      <c r="G893" s="21"/>
      <c r="H893" s="21"/>
      <c r="I893" s="21"/>
      <c r="J893" s="22"/>
      <c r="K893" s="23"/>
      <c r="L893" s="47"/>
    </row>
    <row r="894" spans="6:12" x14ac:dyDescent="0.3">
      <c r="F894" s="20"/>
      <c r="G894" s="21"/>
      <c r="H894" s="21"/>
      <c r="I894" s="21"/>
      <c r="J894" s="22"/>
      <c r="K894" s="23"/>
      <c r="L894" s="47"/>
    </row>
    <row r="895" spans="6:12" x14ac:dyDescent="0.3">
      <c r="F895" s="20"/>
      <c r="G895" s="21"/>
      <c r="H895" s="21"/>
      <c r="I895" s="21"/>
      <c r="J895" s="22"/>
      <c r="K895" s="23"/>
      <c r="L895" s="47"/>
    </row>
    <row r="896" spans="6:12" x14ac:dyDescent="0.3">
      <c r="F896" s="20"/>
      <c r="G896" s="21"/>
      <c r="H896" s="21"/>
      <c r="I896" s="21"/>
      <c r="J896" s="22"/>
      <c r="K896" s="23"/>
      <c r="L896" s="47"/>
    </row>
    <row r="897" spans="6:12" x14ac:dyDescent="0.3">
      <c r="F897" s="20"/>
      <c r="G897" s="21"/>
      <c r="H897" s="21"/>
      <c r="I897" s="21"/>
      <c r="J897" s="22"/>
      <c r="K897" s="23"/>
      <c r="L897" s="47"/>
    </row>
    <row r="898" spans="6:12" x14ac:dyDescent="0.3">
      <c r="F898" s="20"/>
      <c r="G898" s="21"/>
      <c r="H898" s="21"/>
      <c r="I898" s="21"/>
      <c r="J898" s="22"/>
      <c r="K898" s="23"/>
      <c r="L898" s="47"/>
    </row>
    <row r="899" spans="6:12" x14ac:dyDescent="0.3">
      <c r="F899" s="20"/>
      <c r="G899" s="21"/>
      <c r="H899" s="21"/>
      <c r="I899" s="21"/>
      <c r="J899" s="22"/>
      <c r="K899" s="23"/>
      <c r="L899" s="47"/>
    </row>
    <row r="900" spans="6:12" x14ac:dyDescent="0.3">
      <c r="F900" s="20"/>
      <c r="G900" s="21"/>
      <c r="H900" s="21"/>
      <c r="I900" s="21"/>
      <c r="J900" s="22"/>
      <c r="K900" s="23"/>
      <c r="L900" s="47"/>
    </row>
    <row r="901" spans="6:12" x14ac:dyDescent="0.3">
      <c r="F901" s="20"/>
      <c r="G901" s="21"/>
      <c r="H901" s="21"/>
      <c r="I901" s="21"/>
      <c r="J901" s="22"/>
      <c r="K901" s="23"/>
      <c r="L901" s="47"/>
    </row>
    <row r="902" spans="6:12" x14ac:dyDescent="0.3">
      <c r="F902" s="20"/>
      <c r="G902" s="21"/>
      <c r="H902" s="21"/>
      <c r="I902" s="21"/>
      <c r="J902" s="22"/>
      <c r="K902" s="23"/>
      <c r="L902" s="47"/>
    </row>
    <row r="903" spans="6:12" x14ac:dyDescent="0.3">
      <c r="F903" s="20"/>
      <c r="G903" s="21"/>
      <c r="H903" s="21"/>
      <c r="I903" s="21"/>
      <c r="J903" s="22"/>
      <c r="K903" s="23"/>
      <c r="L903" s="47"/>
    </row>
    <row r="904" spans="6:12" x14ac:dyDescent="0.3">
      <c r="F904" s="20"/>
      <c r="G904" s="21"/>
      <c r="H904" s="21"/>
      <c r="I904" s="21"/>
      <c r="J904" s="22"/>
      <c r="K904" s="23"/>
      <c r="L904" s="47"/>
    </row>
    <row r="905" spans="6:12" x14ac:dyDescent="0.3">
      <c r="F905" s="20"/>
      <c r="G905" s="21"/>
      <c r="H905" s="21"/>
      <c r="I905" s="21"/>
      <c r="J905" s="22"/>
      <c r="K905" s="23"/>
      <c r="L905" s="47"/>
    </row>
    <row r="906" spans="6:12" x14ac:dyDescent="0.3">
      <c r="F906" s="20"/>
      <c r="G906" s="21"/>
      <c r="H906" s="21"/>
      <c r="I906" s="21"/>
      <c r="J906" s="22"/>
      <c r="K906" s="23"/>
      <c r="L906" s="47"/>
    </row>
    <row r="907" spans="6:12" x14ac:dyDescent="0.3">
      <c r="F907" s="20"/>
      <c r="G907" s="21"/>
      <c r="H907" s="21"/>
      <c r="I907" s="21"/>
      <c r="J907" s="22"/>
      <c r="K907" s="23"/>
      <c r="L907" s="47"/>
    </row>
    <row r="908" spans="6:12" x14ac:dyDescent="0.3">
      <c r="F908" s="20"/>
      <c r="G908" s="21"/>
      <c r="H908" s="21"/>
      <c r="I908" s="21"/>
      <c r="J908" s="22"/>
      <c r="K908" s="23"/>
      <c r="L908" s="47"/>
    </row>
    <row r="909" spans="6:12" x14ac:dyDescent="0.3">
      <c r="F909" s="20"/>
      <c r="G909" s="21"/>
      <c r="H909" s="21"/>
      <c r="I909" s="21"/>
      <c r="J909" s="22"/>
      <c r="K909" s="23"/>
      <c r="L909" s="47"/>
    </row>
    <row r="910" spans="6:12" x14ac:dyDescent="0.3">
      <c r="F910" s="20"/>
      <c r="G910" s="21"/>
      <c r="H910" s="21"/>
      <c r="I910" s="21"/>
      <c r="J910" s="22"/>
      <c r="K910" s="23"/>
      <c r="L910" s="47"/>
    </row>
    <row r="911" spans="6:12" x14ac:dyDescent="0.3">
      <c r="F911" s="20"/>
      <c r="G911" s="21"/>
      <c r="H911" s="21"/>
      <c r="I911" s="21"/>
      <c r="J911" s="22"/>
      <c r="K911" s="23"/>
      <c r="L911" s="47"/>
    </row>
    <row r="912" spans="6:12" x14ac:dyDescent="0.3">
      <c r="F912" s="20"/>
      <c r="G912" s="21"/>
      <c r="H912" s="21"/>
      <c r="I912" s="21"/>
      <c r="J912" s="22"/>
      <c r="K912" s="23"/>
      <c r="L912" s="47"/>
    </row>
    <row r="913" spans="6:12" x14ac:dyDescent="0.3">
      <c r="F913" s="20"/>
      <c r="G913" s="21"/>
      <c r="H913" s="21"/>
      <c r="I913" s="21"/>
      <c r="J913" s="22"/>
      <c r="K913" s="23"/>
      <c r="L913" s="47"/>
    </row>
    <row r="914" spans="6:12" x14ac:dyDescent="0.3">
      <c r="F914" s="20"/>
      <c r="G914" s="21"/>
      <c r="H914" s="21"/>
      <c r="I914" s="21"/>
      <c r="J914" s="22"/>
      <c r="K914" s="23"/>
      <c r="L914" s="47"/>
    </row>
    <row r="915" spans="6:12" x14ac:dyDescent="0.3">
      <c r="F915" s="20"/>
      <c r="G915" s="21"/>
      <c r="H915" s="21"/>
      <c r="I915" s="21"/>
      <c r="J915" s="22"/>
      <c r="K915" s="23"/>
      <c r="L915" s="47"/>
    </row>
    <row r="916" spans="6:12" x14ac:dyDescent="0.3">
      <c r="F916" s="20"/>
      <c r="G916" s="21"/>
      <c r="H916" s="21"/>
      <c r="I916" s="21"/>
      <c r="J916" s="22"/>
      <c r="K916" s="23"/>
      <c r="L916" s="47"/>
    </row>
    <row r="917" spans="6:12" x14ac:dyDescent="0.3">
      <c r="F917" s="20"/>
      <c r="G917" s="21"/>
      <c r="H917" s="21"/>
      <c r="I917" s="21"/>
      <c r="J917" s="22"/>
      <c r="K917" s="23"/>
      <c r="L917" s="47"/>
    </row>
    <row r="918" spans="6:12" x14ac:dyDescent="0.3">
      <c r="F918" s="20"/>
      <c r="G918" s="21"/>
      <c r="H918" s="21"/>
      <c r="I918" s="21"/>
      <c r="J918" s="22"/>
      <c r="K918" s="23"/>
      <c r="L918" s="47"/>
    </row>
    <row r="919" spans="6:12" x14ac:dyDescent="0.3">
      <c r="F919" s="20"/>
      <c r="G919" s="21"/>
      <c r="H919" s="21"/>
      <c r="I919" s="21"/>
      <c r="J919" s="22"/>
      <c r="K919" s="23"/>
      <c r="L919" s="47"/>
    </row>
    <row r="920" spans="6:12" x14ac:dyDescent="0.3">
      <c r="F920" s="20"/>
      <c r="G920" s="21"/>
      <c r="H920" s="21"/>
      <c r="I920" s="21"/>
      <c r="J920" s="22"/>
      <c r="K920" s="23"/>
      <c r="L920" s="47"/>
    </row>
    <row r="921" spans="6:12" x14ac:dyDescent="0.3">
      <c r="F921" s="20"/>
      <c r="G921" s="21"/>
      <c r="H921" s="21"/>
      <c r="I921" s="21"/>
      <c r="J921" s="22"/>
      <c r="K921" s="23"/>
      <c r="L921" s="47"/>
    </row>
    <row r="922" spans="6:12" x14ac:dyDescent="0.3">
      <c r="F922" s="20"/>
      <c r="G922" s="21"/>
      <c r="H922" s="21"/>
      <c r="I922" s="21"/>
      <c r="J922" s="22"/>
      <c r="K922" s="23"/>
      <c r="L922" s="47"/>
    </row>
    <row r="923" spans="6:12" x14ac:dyDescent="0.3">
      <c r="F923" s="20"/>
      <c r="G923" s="21"/>
      <c r="H923" s="21"/>
      <c r="I923" s="21"/>
      <c r="J923" s="22"/>
      <c r="K923" s="23"/>
      <c r="L923" s="47"/>
    </row>
    <row r="924" spans="6:12" x14ac:dyDescent="0.3">
      <c r="F924" s="20"/>
      <c r="G924" s="21"/>
      <c r="H924" s="21"/>
      <c r="I924" s="21"/>
      <c r="J924" s="22"/>
      <c r="K924" s="23"/>
      <c r="L924" s="47"/>
    </row>
    <row r="925" spans="6:12" x14ac:dyDescent="0.3">
      <c r="F925" s="20"/>
      <c r="G925" s="21"/>
      <c r="H925" s="21"/>
      <c r="I925" s="21"/>
      <c r="J925" s="22"/>
      <c r="K925" s="23"/>
      <c r="L925" s="47"/>
    </row>
    <row r="926" spans="6:12" x14ac:dyDescent="0.3">
      <c r="F926" s="20"/>
      <c r="G926" s="21"/>
      <c r="H926" s="21"/>
      <c r="I926" s="21"/>
      <c r="J926" s="22"/>
      <c r="K926" s="23"/>
      <c r="L926" s="47"/>
    </row>
    <row r="927" spans="6:12" x14ac:dyDescent="0.3">
      <c r="F927" s="20"/>
      <c r="G927" s="21"/>
      <c r="H927" s="21"/>
      <c r="I927" s="21"/>
      <c r="J927" s="22"/>
      <c r="K927" s="23"/>
      <c r="L927" s="47"/>
    </row>
    <row r="928" spans="6:12" x14ac:dyDescent="0.3">
      <c r="F928" s="20"/>
      <c r="G928" s="21"/>
      <c r="H928" s="21"/>
      <c r="I928" s="21"/>
      <c r="J928" s="22"/>
      <c r="K928" s="23"/>
      <c r="L928" s="47"/>
    </row>
    <row r="929" spans="6:12" x14ac:dyDescent="0.3">
      <c r="F929" s="20"/>
      <c r="G929" s="21"/>
      <c r="H929" s="21"/>
      <c r="I929" s="21"/>
      <c r="J929" s="22"/>
      <c r="K929" s="23"/>
      <c r="L929" s="47"/>
    </row>
    <row r="930" spans="6:12" x14ac:dyDescent="0.3">
      <c r="F930" s="20"/>
      <c r="G930" s="21"/>
      <c r="H930" s="21"/>
      <c r="I930" s="21"/>
      <c r="J930" s="22"/>
      <c r="K930" s="23"/>
      <c r="L930" s="47"/>
    </row>
    <row r="931" spans="6:12" x14ac:dyDescent="0.3">
      <c r="F931" s="20"/>
      <c r="G931" s="21"/>
      <c r="H931" s="21"/>
      <c r="I931" s="21"/>
      <c r="J931" s="22"/>
      <c r="K931" s="23"/>
      <c r="L931" s="47"/>
    </row>
    <row r="932" spans="6:12" x14ac:dyDescent="0.3">
      <c r="F932" s="20"/>
      <c r="G932" s="21"/>
      <c r="H932" s="21"/>
      <c r="I932" s="21"/>
      <c r="J932" s="22"/>
      <c r="K932" s="23"/>
      <c r="L932" s="47"/>
    </row>
    <row r="933" spans="6:12" x14ac:dyDescent="0.3">
      <c r="F933" s="20"/>
      <c r="G933" s="21"/>
      <c r="H933" s="21"/>
      <c r="I933" s="21"/>
      <c r="J933" s="22"/>
      <c r="K933" s="23"/>
      <c r="L933" s="47"/>
    </row>
    <row r="934" spans="6:12" x14ac:dyDescent="0.3">
      <c r="F934" s="20"/>
      <c r="G934" s="21"/>
      <c r="H934" s="21"/>
      <c r="I934" s="21"/>
      <c r="J934" s="22"/>
      <c r="K934" s="23"/>
      <c r="L934" s="47"/>
    </row>
    <row r="935" spans="6:12" x14ac:dyDescent="0.3">
      <c r="F935" s="20"/>
      <c r="G935" s="21"/>
      <c r="H935" s="21"/>
      <c r="I935" s="21"/>
      <c r="J935" s="22"/>
      <c r="K935" s="23"/>
      <c r="L935" s="47"/>
    </row>
    <row r="936" spans="6:12" x14ac:dyDescent="0.3">
      <c r="F936" s="20"/>
      <c r="G936" s="21"/>
      <c r="H936" s="21"/>
      <c r="I936" s="21"/>
      <c r="J936" s="22"/>
      <c r="K936" s="23"/>
      <c r="L936" s="47"/>
    </row>
    <row r="937" spans="6:12" x14ac:dyDescent="0.3">
      <c r="F937" s="20"/>
      <c r="G937" s="21"/>
      <c r="H937" s="21"/>
      <c r="I937" s="21"/>
      <c r="J937" s="22"/>
      <c r="K937" s="23"/>
      <c r="L937" s="47"/>
    </row>
    <row r="938" spans="6:12" x14ac:dyDescent="0.3">
      <c r="F938" s="20"/>
      <c r="G938" s="21"/>
      <c r="H938" s="21"/>
      <c r="I938" s="21"/>
      <c r="J938" s="22"/>
      <c r="K938" s="23"/>
      <c r="L938" s="47"/>
    </row>
    <row r="939" spans="6:12" x14ac:dyDescent="0.3">
      <c r="F939" s="20"/>
      <c r="G939" s="21"/>
      <c r="H939" s="21"/>
      <c r="I939" s="21"/>
      <c r="J939" s="22"/>
      <c r="K939" s="23"/>
      <c r="L939" s="47"/>
    </row>
    <row r="940" spans="6:12" x14ac:dyDescent="0.3">
      <c r="F940" s="20"/>
      <c r="G940" s="21"/>
      <c r="H940" s="21"/>
      <c r="I940" s="21"/>
      <c r="J940" s="22"/>
      <c r="K940" s="23"/>
      <c r="L940" s="47"/>
    </row>
    <row r="941" spans="6:12" x14ac:dyDescent="0.3">
      <c r="F941" s="20"/>
      <c r="G941" s="21"/>
      <c r="H941" s="21"/>
      <c r="I941" s="21"/>
      <c r="J941" s="22"/>
      <c r="K941" s="23"/>
      <c r="L941" s="47"/>
    </row>
    <row r="942" spans="6:12" x14ac:dyDescent="0.3">
      <c r="F942" s="20"/>
      <c r="G942" s="21"/>
      <c r="H942" s="21"/>
      <c r="I942" s="21"/>
      <c r="J942" s="22"/>
      <c r="K942" s="23"/>
      <c r="L942" s="47"/>
    </row>
    <row r="943" spans="6:12" x14ac:dyDescent="0.3">
      <c r="F943" s="20"/>
      <c r="G943" s="21"/>
      <c r="H943" s="21"/>
      <c r="I943" s="21"/>
      <c r="J943" s="22"/>
      <c r="K943" s="23"/>
      <c r="L943" s="47"/>
    </row>
    <row r="944" spans="6:12" x14ac:dyDescent="0.3">
      <c r="F944" s="20"/>
      <c r="G944" s="21"/>
      <c r="H944" s="21"/>
      <c r="I944" s="21"/>
      <c r="J944" s="22"/>
      <c r="K944" s="23"/>
      <c r="L944" s="47"/>
    </row>
    <row r="945" spans="6:12" x14ac:dyDescent="0.3">
      <c r="F945" s="20"/>
      <c r="G945" s="21"/>
      <c r="H945" s="21"/>
      <c r="I945" s="21"/>
      <c r="J945" s="22"/>
      <c r="K945" s="23"/>
      <c r="L945" s="47"/>
    </row>
    <row r="946" spans="6:12" x14ac:dyDescent="0.3">
      <c r="F946" s="20"/>
      <c r="G946" s="21"/>
      <c r="H946" s="21"/>
      <c r="I946" s="21"/>
      <c r="J946" s="22"/>
      <c r="K946" s="23"/>
      <c r="L946" s="47"/>
    </row>
    <row r="947" spans="6:12" x14ac:dyDescent="0.3">
      <c r="F947" s="20"/>
      <c r="G947" s="21"/>
      <c r="H947" s="21"/>
      <c r="I947" s="21"/>
      <c r="J947" s="22"/>
      <c r="K947" s="23"/>
      <c r="L947" s="47"/>
    </row>
    <row r="948" spans="6:12" x14ac:dyDescent="0.3">
      <c r="F948" s="20"/>
      <c r="G948" s="21"/>
      <c r="H948" s="21"/>
      <c r="I948" s="21"/>
      <c r="J948" s="22"/>
      <c r="K948" s="23"/>
      <c r="L948" s="47"/>
    </row>
    <row r="949" spans="6:12" x14ac:dyDescent="0.3">
      <c r="F949" s="20"/>
      <c r="G949" s="21"/>
      <c r="H949" s="21"/>
      <c r="I949" s="21"/>
      <c r="J949" s="22"/>
      <c r="K949" s="23"/>
      <c r="L949" s="47"/>
    </row>
    <row r="950" spans="6:12" x14ac:dyDescent="0.3">
      <c r="F950" s="20"/>
      <c r="G950" s="21"/>
      <c r="H950" s="21"/>
      <c r="I950" s="21"/>
      <c r="J950" s="22"/>
      <c r="K950" s="23"/>
      <c r="L950" s="47"/>
    </row>
    <row r="951" spans="6:12" x14ac:dyDescent="0.3">
      <c r="F951" s="20"/>
      <c r="G951" s="21"/>
      <c r="H951" s="21"/>
      <c r="I951" s="21"/>
      <c r="J951" s="22"/>
      <c r="K951" s="23"/>
      <c r="L951" s="47"/>
    </row>
    <row r="952" spans="6:12" x14ac:dyDescent="0.3">
      <c r="F952" s="20"/>
      <c r="G952" s="21"/>
      <c r="H952" s="21"/>
      <c r="I952" s="21"/>
      <c r="J952" s="22"/>
      <c r="K952" s="23"/>
      <c r="L952" s="47"/>
    </row>
    <row r="953" spans="6:12" x14ac:dyDescent="0.3">
      <c r="F953" s="20"/>
      <c r="G953" s="21"/>
      <c r="H953" s="21"/>
      <c r="I953" s="21"/>
      <c r="J953" s="22"/>
      <c r="K953" s="23"/>
      <c r="L953" s="47"/>
    </row>
    <row r="954" spans="6:12" x14ac:dyDescent="0.3">
      <c r="F954" s="20"/>
      <c r="G954" s="21"/>
      <c r="H954" s="21"/>
      <c r="I954" s="21"/>
      <c r="J954" s="22"/>
      <c r="K954" s="23"/>
      <c r="L954" s="47"/>
    </row>
    <row r="955" spans="6:12" x14ac:dyDescent="0.3">
      <c r="F955" s="20"/>
      <c r="G955" s="21"/>
      <c r="H955" s="21"/>
      <c r="I955" s="21"/>
      <c r="J955" s="22"/>
      <c r="K955" s="23"/>
      <c r="L955" s="47"/>
    </row>
    <row r="956" spans="6:12" x14ac:dyDescent="0.3">
      <c r="F956" s="20"/>
      <c r="G956" s="21"/>
      <c r="H956" s="21"/>
      <c r="I956" s="21"/>
      <c r="J956" s="22"/>
      <c r="K956" s="23"/>
      <c r="L956" s="47"/>
    </row>
    <row r="957" spans="6:12" x14ac:dyDescent="0.3">
      <c r="F957" s="20"/>
      <c r="G957" s="21"/>
      <c r="H957" s="21"/>
      <c r="I957" s="21"/>
      <c r="J957" s="22"/>
      <c r="K957" s="23"/>
      <c r="L957" s="47"/>
    </row>
    <row r="958" spans="6:12" x14ac:dyDescent="0.3">
      <c r="F958" s="20"/>
      <c r="G958" s="21"/>
      <c r="H958" s="21"/>
      <c r="I958" s="21"/>
      <c r="J958" s="22"/>
      <c r="K958" s="23"/>
      <c r="L958" s="47"/>
    </row>
    <row r="959" spans="6:12" x14ac:dyDescent="0.3">
      <c r="F959" s="20"/>
      <c r="G959" s="21"/>
      <c r="H959" s="21"/>
      <c r="I959" s="21"/>
      <c r="J959" s="22"/>
      <c r="K959" s="23"/>
      <c r="L959" s="47"/>
    </row>
    <row r="960" spans="6:12" x14ac:dyDescent="0.3">
      <c r="F960" s="20"/>
      <c r="G960" s="21"/>
      <c r="H960" s="21"/>
      <c r="I960" s="21"/>
      <c r="J960" s="22"/>
      <c r="K960" s="23"/>
      <c r="L960" s="47"/>
    </row>
    <row r="961" spans="6:12" x14ac:dyDescent="0.3">
      <c r="F961" s="20"/>
      <c r="G961" s="21"/>
      <c r="H961" s="21"/>
      <c r="I961" s="21"/>
      <c r="J961" s="22"/>
      <c r="K961" s="23"/>
      <c r="L961" s="47"/>
    </row>
    <row r="962" spans="6:12" x14ac:dyDescent="0.3">
      <c r="F962" s="20"/>
      <c r="G962" s="21"/>
      <c r="H962" s="21"/>
      <c r="I962" s="21"/>
      <c r="J962" s="22"/>
      <c r="K962" s="23"/>
      <c r="L962" s="47"/>
    </row>
    <row r="963" spans="6:12" x14ac:dyDescent="0.3">
      <c r="F963" s="20"/>
      <c r="G963" s="21"/>
      <c r="H963" s="21"/>
      <c r="I963" s="21"/>
      <c r="J963" s="22"/>
      <c r="K963" s="23"/>
      <c r="L963" s="47"/>
    </row>
    <row r="964" spans="6:12" x14ac:dyDescent="0.3">
      <c r="F964" s="20"/>
      <c r="G964" s="21"/>
      <c r="H964" s="21"/>
      <c r="I964" s="21"/>
      <c r="J964" s="22"/>
      <c r="K964" s="23"/>
      <c r="L964" s="47"/>
    </row>
    <row r="965" spans="6:12" x14ac:dyDescent="0.3">
      <c r="F965" s="20"/>
      <c r="G965" s="21"/>
      <c r="H965" s="21"/>
      <c r="I965" s="21"/>
      <c r="J965" s="22"/>
      <c r="K965" s="23"/>
      <c r="L965" s="47"/>
    </row>
    <row r="966" spans="6:12" x14ac:dyDescent="0.3">
      <c r="F966" s="20"/>
      <c r="G966" s="21"/>
      <c r="H966" s="21"/>
      <c r="I966" s="21"/>
      <c r="J966" s="22"/>
      <c r="K966" s="23"/>
      <c r="L966" s="47"/>
    </row>
    <row r="967" spans="6:12" x14ac:dyDescent="0.3">
      <c r="F967" s="20"/>
      <c r="G967" s="21"/>
      <c r="H967" s="21"/>
      <c r="I967" s="21"/>
      <c r="J967" s="22"/>
      <c r="K967" s="23"/>
      <c r="L967" s="47"/>
    </row>
    <row r="968" spans="6:12" x14ac:dyDescent="0.3">
      <c r="F968" s="20"/>
      <c r="G968" s="21"/>
      <c r="H968" s="21"/>
      <c r="I968" s="21"/>
      <c r="J968" s="22"/>
      <c r="K968" s="23"/>
      <c r="L968" s="47"/>
    </row>
    <row r="969" spans="6:12" x14ac:dyDescent="0.3">
      <c r="F969" s="20"/>
      <c r="G969" s="21"/>
      <c r="H969" s="21"/>
      <c r="I969" s="21"/>
      <c r="J969" s="22"/>
      <c r="K969" s="23"/>
      <c r="L969" s="47"/>
    </row>
    <row r="970" spans="6:12" x14ac:dyDescent="0.3">
      <c r="F970" s="20"/>
      <c r="G970" s="21"/>
      <c r="H970" s="21"/>
      <c r="I970" s="21"/>
      <c r="J970" s="22"/>
      <c r="K970" s="23"/>
      <c r="L970" s="47"/>
    </row>
    <row r="971" spans="6:12" x14ac:dyDescent="0.3">
      <c r="F971" s="20"/>
      <c r="G971" s="21"/>
      <c r="H971" s="21"/>
      <c r="I971" s="21"/>
      <c r="J971" s="22"/>
      <c r="K971" s="23"/>
      <c r="L971" s="47"/>
    </row>
    <row r="972" spans="6:12" x14ac:dyDescent="0.3">
      <c r="F972" s="20"/>
      <c r="G972" s="21"/>
      <c r="H972" s="21"/>
      <c r="I972" s="21"/>
      <c r="J972" s="22"/>
      <c r="K972" s="23"/>
      <c r="L972" s="47"/>
    </row>
    <row r="973" spans="6:12" x14ac:dyDescent="0.3">
      <c r="F973" s="20"/>
      <c r="G973" s="21"/>
      <c r="H973" s="21"/>
      <c r="I973" s="21"/>
      <c r="J973" s="22"/>
      <c r="K973" s="23"/>
      <c r="L973" s="47"/>
    </row>
    <row r="974" spans="6:12" x14ac:dyDescent="0.3">
      <c r="F974" s="20"/>
      <c r="G974" s="21"/>
      <c r="H974" s="21"/>
      <c r="I974" s="21"/>
      <c r="J974" s="22"/>
      <c r="K974" s="23"/>
      <c r="L974" s="47"/>
    </row>
    <row r="975" spans="6:12" x14ac:dyDescent="0.3">
      <c r="F975" s="20"/>
      <c r="G975" s="21"/>
      <c r="H975" s="21"/>
      <c r="I975" s="21"/>
      <c r="J975" s="22"/>
      <c r="K975" s="23"/>
      <c r="L975" s="47"/>
    </row>
    <row r="976" spans="6:12" x14ac:dyDescent="0.3">
      <c r="F976" s="20"/>
      <c r="G976" s="21"/>
      <c r="H976" s="21"/>
      <c r="I976" s="21"/>
      <c r="J976" s="22"/>
      <c r="K976" s="23"/>
      <c r="L976" s="47"/>
    </row>
    <row r="977" spans="6:12" x14ac:dyDescent="0.3">
      <c r="F977" s="20"/>
      <c r="G977" s="21"/>
      <c r="H977" s="21"/>
      <c r="I977" s="21"/>
      <c r="J977" s="22"/>
      <c r="K977" s="23"/>
      <c r="L977" s="47"/>
    </row>
    <row r="978" spans="6:12" x14ac:dyDescent="0.3">
      <c r="F978" s="20"/>
      <c r="G978" s="21"/>
      <c r="H978" s="21"/>
      <c r="I978" s="21"/>
      <c r="J978" s="22"/>
      <c r="K978" s="23"/>
      <c r="L978" s="47"/>
    </row>
    <row r="979" spans="6:12" x14ac:dyDescent="0.3">
      <c r="F979" s="20"/>
      <c r="G979" s="21"/>
      <c r="H979" s="21"/>
      <c r="I979" s="21"/>
      <c r="J979" s="22"/>
      <c r="K979" s="23"/>
      <c r="L979" s="47"/>
    </row>
    <row r="980" spans="6:12" x14ac:dyDescent="0.3">
      <c r="F980" s="20"/>
      <c r="G980" s="21"/>
      <c r="H980" s="21"/>
      <c r="I980" s="21"/>
      <c r="J980" s="22"/>
      <c r="K980" s="23"/>
      <c r="L980" s="47"/>
    </row>
    <row r="981" spans="6:12" x14ac:dyDescent="0.3">
      <c r="F981" s="20"/>
      <c r="G981" s="21"/>
      <c r="H981" s="21"/>
      <c r="I981" s="21"/>
      <c r="J981" s="22"/>
      <c r="K981" s="23"/>
      <c r="L981" s="47"/>
    </row>
    <row r="982" spans="6:12" x14ac:dyDescent="0.3">
      <c r="F982" s="20"/>
      <c r="G982" s="21"/>
      <c r="H982" s="21"/>
      <c r="I982" s="21"/>
      <c r="J982" s="22"/>
      <c r="K982" s="23"/>
      <c r="L982" s="47"/>
    </row>
    <row r="983" spans="6:12" x14ac:dyDescent="0.3">
      <c r="F983" s="20"/>
      <c r="G983" s="21"/>
      <c r="H983" s="21"/>
      <c r="I983" s="21"/>
      <c r="J983" s="22"/>
      <c r="K983" s="23"/>
      <c r="L983" s="47"/>
    </row>
    <row r="984" spans="6:12" x14ac:dyDescent="0.3">
      <c r="F984" s="20"/>
      <c r="G984" s="21"/>
      <c r="H984" s="21"/>
      <c r="I984" s="21"/>
      <c r="J984" s="22"/>
      <c r="K984" s="23"/>
      <c r="L984" s="47"/>
    </row>
    <row r="985" spans="6:12" x14ac:dyDescent="0.3">
      <c r="F985" s="20"/>
      <c r="G985" s="21"/>
      <c r="H985" s="21"/>
      <c r="I985" s="21"/>
      <c r="J985" s="22"/>
      <c r="K985" s="23"/>
      <c r="L985" s="47"/>
    </row>
    <row r="986" spans="6:12" x14ac:dyDescent="0.3">
      <c r="F986" s="20"/>
      <c r="G986" s="21"/>
      <c r="H986" s="21"/>
      <c r="I986" s="21"/>
      <c r="J986" s="22"/>
      <c r="K986" s="23"/>
      <c r="L986" s="47"/>
    </row>
    <row r="987" spans="6:12" x14ac:dyDescent="0.3">
      <c r="F987" s="20"/>
      <c r="G987" s="21"/>
      <c r="H987" s="21"/>
      <c r="I987" s="21"/>
      <c r="J987" s="22"/>
      <c r="K987" s="23"/>
      <c r="L987" s="47"/>
    </row>
    <row r="988" spans="6:12" x14ac:dyDescent="0.3">
      <c r="F988" s="20"/>
      <c r="G988" s="21"/>
      <c r="H988" s="21"/>
      <c r="I988" s="21"/>
      <c r="J988" s="22"/>
      <c r="K988" s="23"/>
      <c r="L988" s="47"/>
    </row>
    <row r="989" spans="6:12" x14ac:dyDescent="0.3">
      <c r="F989" s="20"/>
      <c r="G989" s="21"/>
      <c r="H989" s="21"/>
      <c r="I989" s="21"/>
      <c r="J989" s="22"/>
      <c r="K989" s="23"/>
      <c r="L989" s="47"/>
    </row>
    <row r="990" spans="6:12" x14ac:dyDescent="0.3">
      <c r="F990" s="20"/>
      <c r="G990" s="21"/>
      <c r="H990" s="21"/>
      <c r="I990" s="21"/>
      <c r="J990" s="22"/>
      <c r="K990" s="23"/>
      <c r="L990" s="47"/>
    </row>
    <row r="991" spans="6:12" x14ac:dyDescent="0.3">
      <c r="F991" s="20"/>
      <c r="G991" s="21"/>
      <c r="H991" s="21"/>
      <c r="I991" s="21"/>
      <c r="J991" s="22"/>
      <c r="K991" s="23"/>
      <c r="L991" s="47"/>
    </row>
    <row r="992" spans="6:12" x14ac:dyDescent="0.3">
      <c r="F992" s="20"/>
      <c r="G992" s="21"/>
      <c r="H992" s="21"/>
      <c r="I992" s="21"/>
      <c r="J992" s="22"/>
      <c r="K992" s="23"/>
      <c r="L992" s="47"/>
    </row>
    <row r="993" spans="6:12" x14ac:dyDescent="0.3">
      <c r="F993" s="20"/>
      <c r="G993" s="21"/>
      <c r="H993" s="21"/>
      <c r="I993" s="21"/>
      <c r="J993" s="22"/>
      <c r="K993" s="23"/>
      <c r="L993" s="47"/>
    </row>
    <row r="994" spans="6:12" x14ac:dyDescent="0.3">
      <c r="F994" s="20"/>
      <c r="G994" s="21"/>
      <c r="H994" s="21"/>
      <c r="I994" s="21"/>
      <c r="J994" s="22"/>
      <c r="K994" s="23"/>
      <c r="L994" s="47"/>
    </row>
    <row r="995" spans="6:12" x14ac:dyDescent="0.3">
      <c r="F995" s="20"/>
      <c r="G995" s="21"/>
      <c r="H995" s="21"/>
      <c r="I995" s="21"/>
      <c r="J995" s="22"/>
      <c r="K995" s="23"/>
      <c r="L995" s="47"/>
    </row>
    <row r="996" spans="6:12" x14ac:dyDescent="0.3">
      <c r="F996" s="20"/>
      <c r="G996" s="21"/>
      <c r="H996" s="21"/>
      <c r="I996" s="21"/>
      <c r="J996" s="22"/>
      <c r="K996" s="23"/>
      <c r="L996" s="47"/>
    </row>
    <row r="997" spans="6:12" x14ac:dyDescent="0.3">
      <c r="F997" s="20"/>
      <c r="G997" s="21"/>
      <c r="H997" s="21"/>
      <c r="I997" s="21"/>
      <c r="J997" s="22"/>
      <c r="K997" s="23"/>
      <c r="L997" s="47"/>
    </row>
    <row r="998" spans="6:12" x14ac:dyDescent="0.3">
      <c r="F998" s="20"/>
      <c r="G998" s="21"/>
      <c r="H998" s="21"/>
      <c r="I998" s="21"/>
      <c r="J998" s="22"/>
      <c r="K998" s="23"/>
      <c r="L998" s="47"/>
    </row>
    <row r="999" spans="6:12" x14ac:dyDescent="0.3">
      <c r="F999" s="20"/>
      <c r="G999" s="21"/>
      <c r="H999" s="21"/>
      <c r="I999" s="21"/>
      <c r="J999" s="22"/>
      <c r="K999" s="23"/>
      <c r="L999" s="47"/>
    </row>
    <row r="1000" spans="6:12" ht="23.25" thickBot="1" x14ac:dyDescent="0.35">
      <c r="F1000" s="20"/>
      <c r="G1000" s="21"/>
      <c r="H1000" s="21"/>
      <c r="I1000" s="21"/>
      <c r="J1000" s="22"/>
      <c r="K1000" s="23"/>
      <c r="L1000" s="48"/>
    </row>
  </sheetData>
  <autoFilter ref="F4:L1000" xr:uid="{00000000-0009-0000-0000-000001000000}"/>
  <mergeCells count="1">
    <mergeCell ref="U6:V6"/>
  </mergeCells>
  <hyperlinks>
    <hyperlink ref="H8" r:id="rId1" xr:uid="{4A089BA9-214A-451F-9C84-4C9447CA8B3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SHOW</vt:lpstr>
      <vt:lpstr>QUEUE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TCOM3</dc:creator>
  <cp:lastModifiedBy>TCOM3</cp:lastModifiedBy>
  <dcterms:created xsi:type="dcterms:W3CDTF">2017-10-05T15:01:00Z</dcterms:created>
  <dcterms:modified xsi:type="dcterms:W3CDTF">2018-02-15T09:55:11Z</dcterms:modified>
</cp:coreProperties>
</file>